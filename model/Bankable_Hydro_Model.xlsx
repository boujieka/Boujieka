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4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README" sheetId="1" state="visible" r:id="rId3"/>
    <sheet name="01_CONTROL_PANEL" sheetId="2" state="visible" r:id="rId4"/>
    <sheet name="02_PROJECT_INPUTS" sheetId="3" state="visible" r:id="rId5"/>
    <sheet name="03_HYDROLOGY" sheetId="4" state="visible" r:id="rId6"/>
    <sheet name="04_GENERATION" sheetId="5" state="visible" r:id="rId7"/>
    <sheet name="05_PLANT_CAPEX" sheetId="6" state="visible" r:id="rId8"/>
    <sheet name="06_CONSTRUCTION" sheetId="7" state="visible" r:id="rId9"/>
    <sheet name="07_OPEX" sheetId="8" state="visible" r:id="rId10"/>
    <sheet name="08_TRANSMISSION" sheetId="9" state="visible" r:id="rId11"/>
    <sheet name="09_GRID" sheetId="10" state="visible" r:id="rId12"/>
    <sheet name="10_DEMAND" sheetId="11" state="visible" r:id="rId13"/>
    <sheet name="11_OFFTAKER" sheetId="12" state="visible" r:id="rId14"/>
    <sheet name="12_UTILITY" sheetId="13" state="visible" r:id="rId15"/>
    <sheet name="13_REGULATION" sheetId="14" state="visible" r:id="rId16"/>
    <sheet name="14_PPA" sheetId="15" state="visible" r:id="rId17"/>
    <sheet name="15_TARIFF" sheetId="16" state="visible" r:id="rId18"/>
    <sheet name="16_REVENUE" sheetId="17" state="visible" r:id="rId19"/>
    <sheet name="17_PROJECT_FINANCE" sheetId="18" state="visible" r:id="rId20"/>
    <sheet name="17A_STRUCTURES" sheetId="19" state="visible" r:id="rId21"/>
    <sheet name="18_DEBT" sheetId="20" state="visible" r:id="rId22"/>
    <sheet name="19_EQUITY" sheetId="21" state="visible" r:id="rId23"/>
    <sheet name="20_CASH_FLOW" sheetId="22" state="visible" r:id="rId24"/>
    <sheet name="21_TAX" sheetId="23" state="visible" r:id="rId25"/>
    <sheet name="22_GOVERNMENT_SUPPORT" sheetId="24" state="visible" r:id="rId26"/>
    <sheet name="23_GUARANTEES" sheetId="25" state="visible" r:id="rId27"/>
    <sheet name="24_CONTINGENT_LIABILITIES" sheetId="26" state="visible" r:id="rId28"/>
    <sheet name="25_FISCAL_IMPACT" sheetId="27" state="visible" r:id="rId29"/>
    <sheet name="26_DEBT_SUSTAINABILITY" sheetId="28" state="visible" r:id="rId30"/>
    <sheet name="27_SCENARIOS" sheetId="29" state="visible" r:id="rId31"/>
    <sheet name="28_SENSITIVITY" sheetId="30" state="visible" r:id="rId32"/>
    <sheet name="29_RISK_ALLOCATION" sheetId="31" state="visible" r:id="rId33"/>
    <sheet name="30_BANKABILITY" sheetId="32" state="visible" r:id="rId34"/>
    <sheet name="31_CASE_STUDY" sheetId="33" state="visible" r:id="rId35"/>
    <sheet name="32_DASHBOARD" sheetId="34" state="visible" r:id="rId36"/>
    <sheet name="33_CHECKS" sheetId="35" state="visible" r:id="rId3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<sst xmlns="http://schemas.openxmlformats.org/spreadsheetml/2006/main" count="2084" uniqueCount="1323">
  <si>
    <t xml:space="preserve">BANKABLE HYDRO — Hydropower Project &amp; Power-System Bankability Model (v1.0)</t>
  </si>
  <si>
    <t xml:space="preserve">Can this project deliver bankable power WITHOUT creating unsustainable public liabilities?</t>
  </si>
  <si>
    <t xml:space="preserve">Purpose</t>
  </si>
  <si>
    <t xml:space="preserve">One integrated engine linking HYDRO RESOURCE → PLANT → TRANSMISSION → GRID → DEMAND → UTILITY → REGULATION → PPA → FINANCE → PPP/IPP → GOVERNMENT SUPPORT → FISCAL EXPOSURE → BANKABILITY.</t>
  </si>
  <si>
    <t xml:space="preserve">Core philosophy</t>
  </si>
  <si>
    <t xml:space="preserve">Technical feasibility is not financial bankability. Financial bankability is not sustainable public finance.</t>
  </si>
  <si>
    <t xml:space="preserve">Reference project</t>
  </si>
  <si>
    <t xml:space="preserve">Lumora Falls Hydropower Project, Republic of Navaria — ENTIRELY FICTIONAL. All inputs are illustrative and must be replaced with project data.</t>
  </si>
  <si>
    <t xml:space="preserve">Users</t>
  </si>
  <si>
    <t xml:space="preserve">Developer, investor, lender, Ministry of Finance / PPP unit, utility, DFI, transaction adviser — same engine, different read-outs (see User Manual).</t>
  </si>
  <si>
    <t xml:space="preserve">How to use</t>
  </si>
  <si>
    <t xml:space="preserve">1) Set case/structure/stresses on 01_CONTROL_PANEL. 2) Replace blue inputs on sheets 02-17A, 21-26. 3) Read 32_DASHBOARD and 30_BANKABILITY. 4) Check 33_CHECKS = ALL OK.</t>
  </si>
  <si>
    <t xml:space="preserve">Colour code</t>
  </si>
  <si>
    <t xml:space="preserve">Blue font = hard-coded input; yellow fill = key lever; black = formula; green = link to another sheet; green-shaded cell = key output.</t>
  </si>
  <si>
    <t xml:space="preserve">Units</t>
  </si>
  <si>
    <t xml:space="preserve">USD million nominal unless stated; energy GWh; capacity MW; real inputs in 2026 USD.</t>
  </si>
  <si>
    <t xml:space="preserve">Timeline</t>
  </si>
  <si>
    <t xml:space="preserve">Annual, 40 periods from model start year. Construction + concession must fit within 40 years (checked).</t>
  </si>
  <si>
    <t xml:space="preserve">Circularity</t>
  </si>
  <si>
    <t xml:space="preserve">None. IDC, fees and DSRA are equity-funded; commercial debt is sculpted on a lender-case CFADS with unlevered tax. Documented simplifications.</t>
  </si>
  <si>
    <t xml:space="preserve">Scenarios</t>
  </si>
  <si>
    <t xml:space="preserve">Three exclusive cases (Base/Low/High) + nine combinable stress toggles + five sensitivity flexes. Full-engine snapshots: python tools/run_snapshots.py.</t>
  </si>
  <si>
    <t xml:space="preserve">Structures</t>
  </si>
  <si>
    <t xml:space="preserve">Five structures on 17A_STRUCTURES evaluated by the full engine (select on control panel) and by a live closed-form comparison.</t>
  </si>
  <si>
    <t xml:space="preserve">Bankability</t>
  </si>
  <si>
    <t xml:space="preserve">Nine-gate weakest-link framework with explicit thresholds (30_BANKABILITY). No hidden weights.</t>
  </si>
  <si>
    <t xml:space="preserve">Fiscal screening</t>
  </si>
  <si>
    <t xml:space="preserve">26 is a PROJECT-LEVEL FISCAL EXPOSURE SCREENING. It does not replace IMF/World Bank debt sustainability analysis.</t>
  </si>
  <si>
    <t xml:space="preserve">Limitations</t>
  </si>
  <si>
    <t xml:space="preserve">Simplified utility model; normal-approximation P-values; proportional curtailment; annual periodicity; deterministic guarantee calls; user-judgement probabilities. Not investment, legal or tax advice.</t>
  </si>
  <si>
    <t xml:space="preserve">Sources</t>
  </si>
  <si>
    <t xml:space="preserve">See research/source_database.md and research/case_studies/. Benchmark placeholders are labelled; replace with verified values before use.</t>
  </si>
  <si>
    <t xml:space="preserve">Sheet map</t>
  </si>
  <si>
    <t xml:space="preserve">00 README | 01 Control | 02-07 Project | 08-10 Power system | 11-12 Offtaker/utility | 13-16 Regulation, PPA, tariff, revenue | 17-21 Finance | 22-26 Public finance | 27-28 Scenarios/sensitivity | 29-30 Risk &amp; bankability | 31 Case study | 32 Dashboard | 33 Checks</t>
  </si>
  <si>
    <t xml:space="preserve">01 CONTROL PANEL — Scenario, structure and case selection</t>
  </si>
  <si>
    <t xml:space="preserve">Blue = input. Yellow = key lever. Every stress toggle can be combined with any other.</t>
  </si>
  <si>
    <t xml:space="preserve">A. CASE &amp; GENERATION SELECTION</t>
  </si>
  <si>
    <t xml:space="preserve">Model case (1=Base, 2=Low, 3=High)</t>
  </si>
  <si>
    <t xml:space="preserve">1-3</t>
  </si>
  <si>
    <t xml:space="preserve">Case multipliers in 27_SCENARIOS</t>
  </si>
  <si>
    <t xml:space="preserve">Generation case for cash flows (1=P50, 2=P75, 3=P90)</t>
  </si>
  <si>
    <t xml:space="preserve">Equity / sponsor case usually P50</t>
  </si>
  <si>
    <t xml:space="preserve">Lender sizing generation case (1=P50, 2=P75, 3=P90)</t>
  </si>
  <si>
    <t xml:space="preserve">Lenders typically size debt on a P90 (one-year) case — verify with lenders' technical adviser</t>
  </si>
  <si>
    <t xml:space="preserve">B. TRANSACTION STRUCTURE</t>
  </si>
  <si>
    <t xml:space="preserve">Financing / PPP structure (1-5, see 17A_STRUCTURES)</t>
  </si>
  <si>
    <t xml:space="preserve">1-5</t>
  </si>
  <si>
    <t xml:space="preserve">1 Public | 2 IPP | 3 PPP | 4 Hybrid | 5 Blended finance</t>
  </si>
  <si>
    <t xml:space="preserve">Selected structure</t>
  </si>
  <si>
    <t xml:space="preserve">Debt sizing mode (1=sculpted in-model, 2=locked amounts)</t>
  </si>
  <si>
    <t xml:space="preserve">1-2</t>
  </si>
  <si>
    <t xml:space="preserve">Use 2 to stress a FIXED debt package (paste base-case amounts in 18_DEBT)</t>
  </si>
  <si>
    <t xml:space="preserve">Government budget backstop of utility PPA shortfall (1=yes, 0=no)</t>
  </si>
  <si>
    <t xml:space="preserve">0/1</t>
  </si>
  <si>
    <t xml:space="preserve">1: shortfall becomes a fiscal cost. 0: shortfall becomes a guarantee call or IPP arrears</t>
  </si>
  <si>
    <t xml:space="preserve">Share of the shortfall the budget backstop covers</t>
  </si>
  <si>
    <t xml:space="preserve">%</t>
  </si>
  <si>
    <t xml:space="preserve">Remainder goes to the PPA guarantee, then to arrears</t>
  </si>
  <si>
    <t xml:space="preserve">C. STRESS TOGGLES (1 = ON). Parameters in 27_SCENARIOS</t>
  </si>
  <si>
    <t xml:space="preserve">Drought case</t>
  </si>
  <si>
    <t xml:space="preserve">CAPEX overrun</t>
  </si>
  <si>
    <t xml:space="preserve">Construction delay</t>
  </si>
  <si>
    <t xml:space="preserve">Low demand</t>
  </si>
  <si>
    <t xml:space="preserve">Offtaker stress</t>
  </si>
  <si>
    <t xml:space="preserve">FX depreciation</t>
  </si>
  <si>
    <t xml:space="preserve">High interest rate</t>
  </si>
  <si>
    <t xml:space="preserve">Transmission delay</t>
  </si>
  <si>
    <t xml:space="preserve">Climate trend on flows</t>
  </si>
  <si>
    <t xml:space="preserve">D. SENSITIVITY FLEXES (applied on top of case &amp; stresses)</t>
  </si>
  <si>
    <t xml:space="preserve">CAPEX flex</t>
  </si>
  <si>
    <t xml:space="preserve">e.g. 0.10 = +10%</t>
  </si>
  <si>
    <t xml:space="preserve">Generation (flow) flex</t>
  </si>
  <si>
    <t xml:space="preserve">PPA tariff flex</t>
  </si>
  <si>
    <t xml:space="preserve">OPEX flex</t>
  </si>
  <si>
    <t xml:space="preserve">Commercial interest rate flex (absolute)</t>
  </si>
  <si>
    <t xml:space="preserve">e.g. 0.01 = +100 bps</t>
  </si>
  <si>
    <t xml:space="preserve">E. ACTIVE SCENARIO READ-OUT</t>
  </si>
  <si>
    <t xml:space="preserve">Active stress count</t>
  </si>
  <si>
    <t xml:space="preserve">#</t>
  </si>
  <si>
    <t xml:space="preserve">Project IRR (post-tax, unlevered)</t>
  </si>
  <si>
    <t xml:space="preserve">Private equity IRR</t>
  </si>
  <si>
    <t xml:space="preserve">Minimum DSCR (actual case)</t>
  </si>
  <si>
    <t xml:space="preserve">x</t>
  </si>
  <si>
    <t xml:space="preserve">Financing gap</t>
  </si>
  <si>
    <t xml:space="preserve">USDm</t>
  </si>
  <si>
    <t xml:space="preserve">Fiscal NPV to government (negative = net cost)</t>
  </si>
  <si>
    <t xml:space="preserve">Consolidated fiscal NPV incl. state utility</t>
  </si>
  <si>
    <t xml:space="preserve">Overall bankability verdict</t>
  </si>
  <si>
    <t xml:space="preserve">Model integrity checks</t>
  </si>
  <si>
    <t xml:space="preserve">02 PROJECT INPUTS — Fictional reference project: Lumora Falls Hydropower Project</t>
  </si>
  <si>
    <t xml:space="preserve">All data FICTIONAL, constructed for training. Not based on any confidential project data.</t>
  </si>
  <si>
    <t xml:space="preserve">A. PROJECT IDENTITY</t>
  </si>
  <si>
    <t xml:space="preserve">Project name</t>
  </si>
  <si>
    <t xml:space="preserve">Lumora Falls Hydropower Project (LFHP)</t>
  </si>
  <si>
    <t xml:space="preserve">Fictional</t>
  </si>
  <si>
    <t xml:space="preserve">Country</t>
  </si>
  <si>
    <t xml:space="preserve">Republic of Navaria</t>
  </si>
  <si>
    <t xml:space="preserve">Fictional sub-Saharan African country</t>
  </si>
  <si>
    <t xml:space="preserve">River / basin</t>
  </si>
  <si>
    <t xml:space="preserve">Lumora River</t>
  </si>
  <si>
    <t xml:space="preserve">Fictional; bimodal tropical regime</t>
  </si>
  <si>
    <t xml:space="preserve">Scheme type</t>
  </si>
  <si>
    <t xml:space="preserve">Run-of-river with daily pondage</t>
  </si>
  <si>
    <t xml:space="preserve">B. TIMING</t>
  </si>
  <si>
    <t xml:space="preserve">Model start / financial close year (t=1)</t>
  </si>
  <si>
    <t xml:space="preserve">year</t>
  </si>
  <si>
    <t xml:space="preserve">Price base year for real inputs</t>
  </si>
  <si>
    <t xml:space="preserve">All 'real' inputs in 2026 USD</t>
  </si>
  <si>
    <t xml:space="preserve">Base construction period</t>
  </si>
  <si>
    <t xml:space="preserve">years</t>
  </si>
  <si>
    <t xml:space="preserve">Large African hydro often 5-8 yrs (see case library)</t>
  </si>
  <si>
    <t xml:space="preserve">Concession / PPA operating term</t>
  </si>
  <si>
    <t xml:space="preserve">BOOT; transfer to state at zero value at end</t>
  </si>
  <si>
    <t xml:space="preserve">C. PLANT</t>
  </si>
  <si>
    <t xml:space="preserve">Installed capacity</t>
  </si>
  <si>
    <t xml:space="preserve">MW</t>
  </si>
  <si>
    <t xml:space="preserve">4 x 100 MW Francis units (fictional)</t>
  </si>
  <si>
    <t xml:space="preserve">Number of units</t>
  </si>
  <si>
    <t xml:space="preserve">D. MACRO (USD model with local-currency utility)</t>
  </si>
  <si>
    <t xml:space="preserve">US CPI (USD indexation)</t>
  </si>
  <si>
    <t xml:space="preserve">% p.a.</t>
  </si>
  <si>
    <t xml:space="preserve">Assumption</t>
  </si>
  <si>
    <t xml:space="preserve">Local CPI (Navarian lira, NVL)</t>
  </si>
  <si>
    <t xml:space="preserve">FX rate in base year</t>
  </si>
  <si>
    <t xml:space="preserve">NVL/USD</t>
  </si>
  <si>
    <t xml:space="preserve">Base-case nominal depreciation of NVL vs USD</t>
  </si>
  <si>
    <t xml:space="preserve">Roughly inflation differential (PPP) — assumption</t>
  </si>
  <si>
    <t xml:space="preserve">CAPEX escalation during construction</t>
  </si>
  <si>
    <t xml:space="preserve">Project discount rate (nominal USD) for NPV/LCOE</t>
  </si>
  <si>
    <t xml:space="preserve">Assumption; replace with sponsor WACC</t>
  </si>
  <si>
    <t xml:space="preserve">Government discount rate for fiscal PV</t>
  </si>
  <si>
    <t xml:space="preserve">Proxy: sovereign USD borrowing cost — assumption</t>
  </si>
  <si>
    <t xml:space="preserve">03 HYDROLOGY — Flow, head, efficiency → monthly &amp; annual energy; P50/P75/P90</t>
  </si>
  <si>
    <t xml:space="preserve">Installed vs available vs expected vs contracted energy are kept distinct (see 04_GENERATION)</t>
  </si>
  <si>
    <t xml:space="preserve">A. PLANT HYDRAULIC PARAMETERS</t>
  </si>
  <si>
    <t xml:space="preserve">Design (rated) turbine flow</t>
  </si>
  <si>
    <t xml:space="preserve">m3/s</t>
  </si>
  <si>
    <t xml:space="preserve">Net rated head</t>
  </si>
  <si>
    <t xml:space="preserve">m</t>
  </si>
  <si>
    <t xml:space="preserve">Turbine efficiency</t>
  </si>
  <si>
    <t xml:space="preserve">Assumption (not sourced)</t>
  </si>
  <si>
    <t xml:space="preserve">Generator &amp; transformer efficiency</t>
  </si>
  <si>
    <t xml:space="preserve">Environmental flow release</t>
  </si>
  <si>
    <t xml:space="preserve">Set by ESIA / water permit</t>
  </si>
  <si>
    <t xml:space="preserve">Plant availability (planned + forced outages)</t>
  </si>
  <si>
    <t xml:space="preserve">First operating year availability factor (commissioning ramp)</t>
  </si>
  <si>
    <t xml:space="preserve">Water density</t>
  </si>
  <si>
    <t xml:space="preserve">kg/m3</t>
  </si>
  <si>
    <t xml:space="preserve">Physical constant</t>
  </si>
  <si>
    <t xml:space="preserve">Gravity</t>
  </si>
  <si>
    <t xml:space="preserve">m/s2</t>
  </si>
  <si>
    <t xml:space="preserve">B. HYDROLOGICAL UNCERTAINTY</t>
  </si>
  <si>
    <t xml:space="preserve">Inter-annual coefficient of variation of energy</t>
  </si>
  <si>
    <t xml:space="preserve">Derive from long-term simulated generation series</t>
  </si>
  <si>
    <t xml:space="preserve">Normal z-score for P75</t>
  </si>
  <si>
    <t xml:space="preserve">Normal approximation; replace with empirical distribution if available</t>
  </si>
  <si>
    <t xml:space="preserve">Normal z-score for P90</t>
  </si>
  <si>
    <t xml:space="preserve">Length of reliable flow record</t>
  </si>
  <si>
    <t xml:space="preserve">Gate 1 test</t>
  </si>
  <si>
    <t xml:space="preserve">Hydrology study maturity (1=desk, 2=FS-level, 3=independent review)</t>
  </si>
  <si>
    <t xml:space="preserve">C. MONTHLY MEAN FLOW (long-term average, fictional bimodal regime)</t>
  </si>
  <si>
    <t xml:space="preserve">Month</t>
  </si>
  <si>
    <t xml:space="preserve">Annual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</si>
  <si>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</si>
  <si>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</si>
  <si>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</si>
  <si>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</si>
  <si>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</si>
  <si>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</si>
  <si>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</si>
  <si>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</si>
  <si>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</si>
  <si>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</si>
  <si>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</si>
  <si>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</si>
  <si>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Days in month</t>
  </si>
  <si>
    <t xml:space="preserve">days</t>
  </si>
  <si>
    <t xml:space="preserve">Mean river flow</t>
  </si>
  <si>
    <t xml:space="preserve">Usable turbine flow = MIN(MAX(Q - e-flow,0), Q design)</t>
  </si>
  <si>
    <t xml:space="preserve">Average power = MIN(rho*g*Q*H*eta/1e6, installed)</t>
  </si>
  <si>
    <t xml:space="preserve">Energy at 100% availability</t>
  </si>
  <si>
    <t xml:space="preserve">GWh</t>
  </si>
  <si>
    <t xml:space="preserve">Expected energy (x availability)</t>
  </si>
  <si>
    <t xml:space="preserve">Spilled flow above design flow</t>
  </si>
  <si>
    <t xml:space="preserve">Methodology note: energy from long-term mean monthly flows overstates energy when flows exceed design flow in some years (Jensen's inequality). Replace with a daily/monthly simulation over the full record when available.</t>
  </si>
  <si>
    <t xml:space="preserve">D. ANNUAL ENERGY STATISTICS</t>
  </si>
  <si>
    <t xml:space="preserve">P50 annual energy (expected, long-term)</t>
  </si>
  <si>
    <t xml:space="preserve">P75 annual energy</t>
  </si>
  <si>
    <t xml:space="preserve">P90 annual energy (one-year)</t>
  </si>
  <si>
    <t xml:space="preserve">Capacity factor at P50</t>
  </si>
  <si>
    <t xml:space="preserve">Available capacity (installed x availability)</t>
  </si>
  <si>
    <t xml:space="preserve">Average output at P50</t>
  </si>
  <si>
    <t xml:space="preserve">Dry-season firm output (lowest month)</t>
  </si>
  <si>
    <t xml:space="preserve">P90 / P50 ratio</t>
  </si>
  <si>
    <t xml:space="preserve">Check: theoretical power at design flow</t>
  </si>
  <si>
    <t xml:space="preserve">Should be ≥ installed capacity</t>
  </si>
  <si>
    <t xml:space="preserve">04 GENERATION — Installed vs available vs expected vs evacuated vs delivered vs contracted</t>
  </si>
  <si>
    <t xml:space="preserve">Hydrology case, drought window and climate trend applied here</t>
  </si>
  <si>
    <t xml:space="preserve">Selected generation case energy (P50/P75/P90)</t>
  </si>
  <si>
    <t xml:space="preserve">Lender sizing case energy</t>
  </si>
  <si>
    <t xml:space="preserve">A. CAPACITY</t>
  </si>
  <si>
    <t xml:space="preserve">Available capacity (x availability)</t>
  </si>
  <si>
    <t xml:space="preserve">B. HYDROLOGY FACTORS</t>
  </si>
  <si>
    <t xml:space="preserve">Drought factor</t>
  </si>
  <si>
    <t xml:space="preserve">Climate trend factor</t>
  </si>
  <si>
    <t xml:space="preserve">Commissioning ramp factor</t>
  </si>
  <si>
    <t xml:space="preserve">C. ENERGY (GWh)</t>
  </si>
  <si>
    <t xml:space="preserve">Expected generation, P50 (reference)</t>
  </si>
  <si>
    <t xml:space="preserve">Generation — selected case</t>
  </si>
  <si>
    <t xml:space="preserve">Evacuable energy (x evacuation ratio)</t>
  </si>
  <si>
    <t xml:space="preserve">Curtailment — transmission / grid</t>
  </si>
  <si>
    <t xml:space="preserve">Delivered energy (absorbed by demand)</t>
  </si>
  <si>
    <t xml:space="preserve">Curtailment — insufficient demand</t>
  </si>
  <si>
    <t xml:space="preserve">Contracted energy (P50 reference)</t>
  </si>
  <si>
    <t xml:space="preserve">Lender-case generation</t>
  </si>
  <si>
    <t xml:space="preserve">Capacity factor (selected case)</t>
  </si>
  <si>
    <t xml:space="preserve">05 PLANT CAPEX — Real 2026 USD, before escalation</t>
  </si>
  <si>
    <t xml:space="preserve">Fictional cost estimate; compare with benchmark ranges (source database)</t>
  </si>
  <si>
    <t xml:space="preserve">A. COST BREAKDOWN (real 2026 USDm)</t>
  </si>
  <si>
    <t xml:space="preserve">Civil works (dam/weir, intake, headrace, powerhouse)</t>
  </si>
  <si>
    <t xml:space="preserve">Hydro-mechanical (gates, penstocks)</t>
  </si>
  <si>
    <t xml:space="preserve">Electro-mechanical (turbines, generators, switchyard)</t>
  </si>
  <si>
    <t xml:space="preserve">Environmental &amp; social (RAP, livelihood, offsets)</t>
  </si>
  <si>
    <t xml:space="preserve">Engineering, supervision, owner's engineer</t>
  </si>
  <si>
    <t xml:space="preserve">Development costs &amp; owner's costs</t>
  </si>
  <si>
    <t xml:space="preserve">Subtotal before contingency</t>
  </si>
  <si>
    <t xml:space="preserve">Physical contingency</t>
  </si>
  <si>
    <t xml:space="preserve">Higher where geology uncertain</t>
  </si>
  <si>
    <t xml:space="preserve">Base plant CAPEX (real 2026)</t>
  </si>
  <si>
    <t xml:space="preserve">Unit CAPEX</t>
  </si>
  <si>
    <t xml:space="preserve">USD/kW</t>
  </si>
  <si>
    <t xml:space="preserve">Additional cost per year of delay (claims, owner's costs, escalation)</t>
  </si>
  <si>
    <t xml:space="preserve">% per yr</t>
  </si>
  <si>
    <t xml:space="preserve">Feasibility maturity (1=pre-FS, 2=FS, 3=bankable FS + LTA review)</t>
  </si>
  <si>
    <t xml:space="preserve">Gate 3 test</t>
  </si>
  <si>
    <t xml:space="preserve">B. BENCHMARK (see research/source_database.md)</t>
  </si>
  <si>
    <t xml:space="preserve">Benchmark unit CAPEX — central</t>
  </si>
  <si>
    <t xml:space="preserve">IRENA RPGC 2024 Table 6.3: Africa large hydro weighted avg 2018-24 = 2,515 (2024 USD/kW); range 2,330-3,290 [HY-01, PF-11]. Price-year difference vs 2026 not adjusted</t>
  </si>
  <si>
    <t xml:space="preserve">Unit CAPEX / benchmark</t>
  </si>
  <si>
    <t xml:space="preserve">06 CONSTRUCTION — Timeline master, escalation &amp; FX indices, CAPEX phasing</t>
  </si>
  <si>
    <t xml:space="preserve">Timeline flags drive every time-series sheet</t>
  </si>
  <si>
    <t xml:space="preserve">Calendar year</t>
  </si>
  <si>
    <t xml:space="preserve">Operating year</t>
  </si>
  <si>
    <t xml:space="preserve">Effective construction period</t>
  </si>
  <si>
    <t xml:space="preserve">Commercial operation date (first full operating year)</t>
  </si>
  <si>
    <t xml:space="preserve">Plant CAPEX (real 2026), incl. case, overrun &amp; delay costs</t>
  </si>
  <si>
    <t xml:space="preserve">TIMING FLAGS</t>
  </si>
  <si>
    <t xml:space="preserve">Period index t</t>
  </si>
  <si>
    <t xml:space="preserve">Construction flag</t>
  </si>
  <si>
    <t xml:space="preserve">flag</t>
  </si>
  <si>
    <t xml:space="preserve">Operations flag</t>
  </si>
  <si>
    <t xml:space="preserve">Last construction year flag</t>
  </si>
  <si>
    <t xml:space="preserve">INDICES</t>
  </si>
  <si>
    <t xml:space="preserve">US CPI index (2026 = 1)</t>
  </si>
  <si>
    <t xml:space="preserve">Local CPI index (2026 = 1)</t>
  </si>
  <si>
    <t xml:space="preserve">FX rate</t>
  </si>
  <si>
    <t xml:space="preserve">FX index (2026 = 1)</t>
  </si>
  <si>
    <t xml:space="preserve">CAPEX escalation index</t>
  </si>
  <si>
    <t xml:space="preserve">PLANT CAPEX PHASING (sine S-curve over effective construction period)</t>
  </si>
  <si>
    <t xml:space="preserve">CAPEX share (sums to 100%)</t>
  </si>
  <si>
    <t xml:space="preserve">Cumulative CAPEX share</t>
  </si>
  <si>
    <t xml:space="preserve">Plant CAPEX, nominal</t>
  </si>
  <si>
    <t xml:space="preserve">S-curve weight_t = sin(pi(t-0.5)/N)·sin(pi/2N) — closed form that sums exactly to 1 for any N. Replace with EPC payment schedule when available.</t>
  </si>
  <si>
    <t xml:space="preserve">07 OPEX — Plant operating costs and payments to government</t>
  </si>
  <si>
    <t xml:space="preserve">Real 2026 inputs escalated by US CPI</t>
  </si>
  <si>
    <t xml:space="preserve">A. INPUTS</t>
  </si>
  <si>
    <t xml:space="preserve">Fixed O&amp;M (staff, maintenance contracts)</t>
  </si>
  <si>
    <t xml:space="preserve">USDm/yr real</t>
  </si>
  <si>
    <t xml:space="preserve">Total fixed O&amp;M ≈1.7% of CAPEX; IRENA range 1-3% [HY-01]</t>
  </si>
  <si>
    <t xml:space="preserve">Variable O&amp;M</t>
  </si>
  <si>
    <t xml:space="preserve">USD/MWh real</t>
  </si>
  <si>
    <t xml:space="preserve">Insurance</t>
  </si>
  <si>
    <t xml:space="preserve">% of CAPEX p.a.</t>
  </si>
  <si>
    <t xml:space="preserve">Major maintenance reserve contribution</t>
  </si>
  <si>
    <t xml:space="preserve">Company G&amp;A, E&amp;S monitoring, community programmes</t>
  </si>
  <si>
    <t xml:space="preserve">Water-use royalty / resource fee to government</t>
  </si>
  <si>
    <t xml:space="preserve">Fiscal revenue</t>
  </si>
  <si>
    <t xml:space="preserve">B. CALCULATIONS (USDm nominal)</t>
  </si>
  <si>
    <t xml:space="preserve">Fixed O&amp;M</t>
  </si>
  <si>
    <t xml:space="preserve">Major maintenance reserve</t>
  </si>
  <si>
    <t xml:space="preserve">G&amp;A / E&amp;S / community</t>
  </si>
  <si>
    <t xml:space="preserve">Transmission O&amp;M &amp; wheeling (if project-owned)</t>
  </si>
  <si>
    <t xml:space="preserve">Total OPEX</t>
  </si>
  <si>
    <t xml:space="preserve">Water royalty (to government)</t>
  </si>
  <si>
    <t xml:space="preserve">Water royalty — lender case</t>
  </si>
  <si>
    <t xml:space="preserve">08 TRANSMISSION — Evacuation line, substations, reinforcement, readiness gap</t>
  </si>
  <si>
    <t xml:space="preserve">Question: can the plant evacuate the electricity it generates?</t>
  </si>
  <si>
    <t xml:space="preserve">Connection point</t>
  </si>
  <si>
    <t xml:space="preserve">Kabanga 400 kV substation (fictional)</t>
  </si>
  <si>
    <t xml:space="preserve">Line length</t>
  </si>
  <si>
    <t xml:space="preserve">km</t>
  </si>
  <si>
    <t xml:space="preserve">Voltage</t>
  </si>
  <si>
    <t xml:space="preserve">kV</t>
  </si>
  <si>
    <t xml:space="preserve">Line thermal / stability transfer capacity</t>
  </si>
  <si>
    <t xml:space="preserve">Confirm with load-flow study</t>
  </si>
  <si>
    <t xml:space="preserve">Line cost per km (real 2026)</t>
  </si>
  <si>
    <t xml:space="preserve">USDm/km</t>
  </si>
  <si>
    <t xml:space="preserve">EAPP Master Plan 2014: 400 kV AC 0.36-0.70 USDm(2012)/km incl. IDC [TX-04]; within range</t>
  </si>
  <si>
    <t xml:space="preserve">Substations &amp; switchyard extension</t>
  </si>
  <si>
    <t xml:space="preserve">Downstream grid reinforcement</t>
  </si>
  <si>
    <t xml:space="preserve">Fictional; from grid-impact study</t>
  </si>
  <si>
    <t xml:space="preserve">Transmission construction period</t>
  </si>
  <si>
    <t xml:space="preserve">Transmission losses to load centre</t>
  </si>
  <si>
    <t xml:space="preserve">Transmission O&amp;M</t>
  </si>
  <si>
    <t xml:space="preserve">% capex p.a.</t>
  </si>
  <si>
    <t xml:space="preserve">Who builds &amp; finances transmission (1=Government/utility, 2=Project company)</t>
  </si>
  <si>
    <t xml:space="preserve">Drives fiscal exposure vs project CAPEX</t>
  </si>
  <si>
    <t xml:space="preserve">Planned transmission COD relative to plant COD (years, + = late)</t>
  </si>
  <si>
    <t xml:space="preserve">Interim evacuation via existing network</t>
  </si>
  <si>
    <t xml:space="preserve">If line not ready</t>
  </si>
  <si>
    <t xml:space="preserve">Wheeling / use-of-system charge borne by project</t>
  </si>
  <si>
    <t xml:space="preserve">USD/MWh</t>
  </si>
  <si>
    <t xml:space="preserve">Set &gt;0 for third-party/export sales</t>
  </si>
  <si>
    <t xml:space="preserve">Transmission financing secured (1=yes, 0=no)</t>
  </si>
  <si>
    <t xml:space="preserve">Gate 4 test</t>
  </si>
  <si>
    <t xml:space="preserve">B. CALCULATIONS</t>
  </si>
  <si>
    <t xml:space="preserve">Transmission CAPEX (real 2026, incl. case &amp; overrun)</t>
  </si>
  <si>
    <t xml:space="preserve">Planned transmission COD (year)</t>
  </si>
  <si>
    <t xml:space="preserve">Actual transmission COD (year)</t>
  </si>
  <si>
    <t xml:space="preserve">Transmission readiness gap — timing</t>
  </si>
  <si>
    <t xml:space="preserve">Transmission readiness gap — capacity at plant COD</t>
  </si>
  <si>
    <t xml:space="preserve">Connection cost per kW of plant</t>
  </si>
  <si>
    <t xml:space="preserve">Transmission line in service flag</t>
  </si>
  <si>
    <t xml:space="preserve">Transmission CAPEX, nominal</t>
  </si>
  <si>
    <t xml:space="preserve">  of which public (Government/utility)</t>
  </si>
  <si>
    <t xml:space="preserve">  of which project company</t>
  </si>
  <si>
    <t xml:space="preserve">Transmission O&amp;M (once in service)</t>
  </si>
  <si>
    <t xml:space="preserve">Transmission losses on delivered energy</t>
  </si>
  <si>
    <t xml:space="preserve">Wheeling charges paid by project</t>
  </si>
  <si>
    <t xml:space="preserve">09 GRID — System size, absorption limit, project share of peak</t>
  </si>
  <si>
    <t xml:space="preserve">Simplified screening — not a substitute for load-flow / stability studies</t>
  </si>
  <si>
    <t xml:space="preserve">System peak demand (2026)</t>
  </si>
  <si>
    <t xml:space="preserve">Minimum load as % of peak</t>
  </si>
  <si>
    <t xml:space="preserve">Must-run generation at minimum load</t>
  </si>
  <si>
    <t xml:space="preserve">Existing baseload / run-of-river</t>
  </si>
  <si>
    <t xml:space="preserve">Export interconnector capacity</t>
  </si>
  <si>
    <t xml:space="preserve">Existing installed capacity</t>
  </si>
  <si>
    <t xml:space="preserve">System peak demand</t>
  </si>
  <si>
    <t xml:space="preserve">Grid absorption limit at minimum load</t>
  </si>
  <si>
    <t xml:space="preserve">Line capacity available to project</t>
  </si>
  <si>
    <t xml:space="preserve">Effective evacuation capacity = MIN(line, absorption)</t>
  </si>
  <si>
    <t xml:space="preserve">Evacuation ratio (capped at 1)</t>
  </si>
  <si>
    <t xml:space="preserve">Project share of system peak</t>
  </si>
  <si>
    <t xml:space="preserve">Reserve margin incl. project</t>
  </si>
  <si>
    <t xml:space="preserve">Evacuation capacity in first operating year</t>
  </si>
  <si>
    <t xml:space="preserve">Project share of peak in first operating year</t>
  </si>
  <si>
    <t xml:space="preserve">Proportional curtailment simplification: delivered = generation x MIN(1, evacuation MW / installed MW). Conservative for peaking plants with storage; replace with dispatch simulation if available.</t>
  </si>
  <si>
    <t xml:space="preserve">10 DEMAND — Potential vs commercial vs contracted vs bankable demand</t>
  </si>
  <si>
    <t xml:space="preserve">Segment growth by case; 'bankable' = contracted AND absorbable by creditworthy demand</t>
  </si>
  <si>
    <t xml:space="preserve">A. SEGMENT INPUTS (base year 2026)</t>
  </si>
  <si>
    <t xml:space="preserve">Segment</t>
  </si>
  <si>
    <t xml:space="preserve">GWh 2026</t>
  </si>
  <si>
    <t xml:space="preserve">Growth base</t>
  </si>
  <si>
    <t xml:space="preserve">Growth low</t>
  </si>
  <si>
    <t xml:space="preserve">Growth high</t>
  </si>
  <si>
    <t xml:space="preserve">Commercial share</t>
  </si>
  <si>
    <t xml:space="preserve">Residential</t>
  </si>
  <si>
    <t xml:space="preserve">Commercial</t>
  </si>
  <si>
    <t xml:space="preserve">Industrial</t>
  </si>
  <si>
    <t xml:space="preserve">Mining</t>
  </si>
  <si>
    <t xml:space="preserve">Productive use (agri-processing etc.)</t>
  </si>
  <si>
    <t xml:space="preserve">Public sector</t>
  </si>
  <si>
    <t xml:space="preserve">Fictional values. Commercial share = share of segment demand from customers able and willing to pay cost-reflective tariffs (assumption).</t>
  </si>
  <si>
    <t xml:space="preserve">Export potential via regional power pool</t>
  </si>
  <si>
    <t xml:space="preserve">GWh/yr</t>
  </si>
  <si>
    <t xml:space="preserve">Potential only</t>
  </si>
  <si>
    <t xml:space="preserve">Contracted (signed) export sales</t>
  </si>
  <si>
    <t xml:space="preserve">Existing firm domestic supply (2026)</t>
  </si>
  <si>
    <t xml:space="preserve">Incl. committed plants; fictional</t>
  </si>
  <si>
    <t xml:space="preserve">Growth of other supply available to the utility (committed + planned)</t>
  </si>
  <si>
    <t xml:space="preserve">Caps utility sales: demand above available supply is unserved</t>
  </si>
  <si>
    <t xml:space="preserve">Displaceable existing thermal generation</t>
  </si>
  <si>
    <t xml:space="preserve">Diesel/HFO that new hydro can displace</t>
  </si>
  <si>
    <t xml:space="preserve">B. DEMAND PROJECTION (GWh)</t>
  </si>
  <si>
    <t xml:space="preserve">Total domestic demand (potential, at customer meter)</t>
  </si>
  <si>
    <t xml:space="preserve">POTENTIAL demand incl. export potential</t>
  </si>
  <si>
    <t xml:space="preserve">COMMERCIAL demand (ability-to-pay weighted)</t>
  </si>
  <si>
    <t xml:space="preserve">Required sent-out supply (grossed up for utility losses)</t>
  </si>
  <si>
    <t xml:space="preserve">Other committed supply</t>
  </si>
  <si>
    <t xml:space="preserve">Supply gap before project</t>
  </si>
  <si>
    <t xml:space="preserve">Absorbable project energy (gap + thermal displacement + export contracts)</t>
  </si>
  <si>
    <t xml:space="preserve">CONTRACTED demand (PPA contracted energy, P50)</t>
  </si>
  <si>
    <t xml:space="preserve">BANKABLE demand = MIN(contracted, absorbable x commercial ratio)</t>
  </si>
  <si>
    <t xml:space="preserve">Bankable / contracted</t>
  </si>
  <si>
    <t xml:space="preserve">  Ratio in first 5 operating years</t>
  </si>
  <si>
    <t xml:space="preserve">Base-year (2026) domestic demand</t>
  </si>
  <si>
    <t xml:space="preserve">11 OFFTAKER — Offtake split, credit quality and payment security</t>
  </si>
  <si>
    <t xml:space="preserve">Qualitative inputs feed Gate 5</t>
  </si>
  <si>
    <t xml:space="preserve">Main offtaker</t>
  </si>
  <si>
    <t xml:space="preserve">Navaria Electricity Company (NEC) — vertically integrated, state-owned</t>
  </si>
  <si>
    <t xml:space="preserve">Offtaker credit standing</t>
  </si>
  <si>
    <t xml:space="preserve">Unrated; sovereign rated B- (fictional)</t>
  </si>
  <si>
    <t xml:space="preserve">Share of plant output sold to utility</t>
  </si>
  <si>
    <t xml:space="preserve">Share sold to mining offtaker (bilateral, USD, via wheeling)</t>
  </si>
  <si>
    <t xml:space="preserve">Payment security: letter of credit / escrow cover</t>
  </si>
  <si>
    <t xml:space="preserve">months of PPA billing</t>
  </si>
  <si>
    <t xml:space="preserve">Gate 5 test. ATI RLSF covers up to 12 months [PF-04]; 6 months READY threshold is an assumption</t>
  </si>
  <si>
    <t xml:space="preserve">Historical utility payment delays to existing IPPs</t>
  </si>
  <si>
    <t xml:space="preserve">LC amount required (first full operating year)</t>
  </si>
  <si>
    <t xml:space="preserve">12 UTILITY — Simplified utility cash model and MAXIMUM SUSTAINABLE PPA PAYMENT</t>
  </si>
  <si>
    <t xml:space="preserve">The model does not assume the offtaker can pay; it tests it. USD equivalents of local-currency flows.</t>
  </si>
  <si>
    <t xml:space="preserve">A. INPUTS (2026)</t>
  </si>
  <si>
    <t xml:space="preserve">Customers</t>
  </si>
  <si>
    <t xml:space="preserve">Customer growth</t>
  </si>
  <si>
    <t xml:space="preserve">Average retail tariff</t>
  </si>
  <si>
    <t xml:space="preserve">NVL/kWh</t>
  </si>
  <si>
    <t xml:space="preserve">Equals USD 0.135/kWh at 20 NVL/USD (fictional)</t>
  </si>
  <si>
    <t xml:space="preserve">Tariff adjustment: pass-through of local inflation</t>
  </si>
  <si>
    <t xml:space="preserve">1.0 = full indexation in base case; offtaker stress freezes tariff</t>
  </si>
  <si>
    <t xml:space="preserve">Technical losses</t>
  </si>
  <si>
    <t xml:space="preserve">% of sent-out</t>
  </si>
  <si>
    <t xml:space="preserve">Commercial (non-technical) losses</t>
  </si>
  <si>
    <t xml:space="preserve">Collection rate</t>
  </si>
  <si>
    <t xml:space="preserve">% of billing</t>
  </si>
  <si>
    <t xml:space="preserve">Cost of other supply (own generation + other IPPs)</t>
  </si>
  <si>
    <t xml:space="preserve">USD/MWh 2026</t>
  </si>
  <si>
    <t xml:space="preserve">USD-linked share of other supply cost</t>
  </si>
  <si>
    <t xml:space="preserve">Utility OPEX (T&amp;D, retail, overheads)</t>
  </si>
  <si>
    <t xml:space="preserve">USDm 2026</t>
  </si>
  <si>
    <t xml:space="preserve">Local-currency; 50% fixed, 50% scales with sales volume</t>
  </si>
  <si>
    <t xml:space="preserve">Government operating transfers / subsidies</t>
  </si>
  <si>
    <t xml:space="preserve">Local-currency</t>
  </si>
  <si>
    <t xml:space="preserve">Existing utility debt service</t>
  </si>
  <si>
    <t xml:space="preserve">USDm/yr</t>
  </si>
  <si>
    <t xml:space="preserve">USD-denominated, flat</t>
  </si>
  <si>
    <t xml:space="preserve">Opening receivables</t>
  </si>
  <si>
    <t xml:space="preserve">Annual write-off of aged receivables</t>
  </si>
  <si>
    <t xml:space="preserve">% of stock</t>
  </si>
  <si>
    <t xml:space="preserve">Required cash coverage of new PPA payments</t>
  </si>
  <si>
    <t xml:space="preserve">Prudential buffer — assumption</t>
  </si>
  <si>
    <t xml:space="preserve">B. ENERGY BALANCE (GWh)</t>
  </si>
  <si>
    <t xml:space="preserve">Utility demand (domestic, excl. mining load served directly by the project)</t>
  </si>
  <si>
    <t xml:space="preserve">Sent-out energy required to meet utility demand</t>
  </si>
  <si>
    <t xml:space="preserve">  from Lumora Falls (utility share, net of transmission losses)</t>
  </si>
  <si>
    <t xml:space="preserve">  from other supply (capped at available supply)</t>
  </si>
  <si>
    <t xml:space="preserve">Energy purchased / sent-out</t>
  </si>
  <si>
    <t xml:space="preserve">Electricity sales (demand served)</t>
  </si>
  <si>
    <t xml:space="preserve">Unserved demand (load shedding)</t>
  </si>
  <si>
    <t xml:space="preserve">C. INCOME &amp; CASH (USDm equivalent)</t>
  </si>
  <si>
    <t xml:space="preserve">Average retail tariff (USD/MWh)</t>
  </si>
  <si>
    <t xml:space="preserve">Billed revenue</t>
  </si>
  <si>
    <t xml:space="preserve">Cash collected</t>
  </si>
  <si>
    <t xml:space="preserve">Government transfers</t>
  </si>
  <si>
    <t xml:space="preserve">Utility OPEX</t>
  </si>
  <si>
    <t xml:space="preserve">Cost of other supply</t>
  </si>
  <si>
    <t xml:space="preserve">Existing debt service</t>
  </si>
  <si>
    <t xml:space="preserve">Cash available after displaced supply, before paying the new PPA</t>
  </si>
  <si>
    <t xml:space="preserve">MAXIMUM SUSTAINABLE PPA PAYMENT</t>
  </si>
  <si>
    <t xml:space="preserve">PPA payment billed by project (utility share)</t>
  </si>
  <si>
    <t xml:space="preserve">OFFTAKER PAYMENT CAPACITY GAP</t>
  </si>
  <si>
    <t xml:space="preserve">Payment capacity / PPA payment</t>
  </si>
  <si>
    <t xml:space="preserve">  Ratio in first 10 operating years</t>
  </si>
  <si>
    <t xml:space="preserve">Pre-existing utility cash deficit (before any new PPA)</t>
  </si>
  <si>
    <t xml:space="preserve">D. PERFORMANCE METRICS</t>
  </si>
  <si>
    <t xml:space="preserve">Utility EBITDA (excl. transfers)</t>
  </si>
  <si>
    <t xml:space="preserve">Utility EBITDA incl. government transfers</t>
  </si>
  <si>
    <t xml:space="preserve">Operating margin (EBITDA / billed)</t>
  </si>
  <si>
    <t xml:space="preserve">PPA paid from utility own cash</t>
  </si>
  <si>
    <t xml:space="preserve">Utility cash flow after PPA paid</t>
  </si>
  <si>
    <t xml:space="preserve">Utility DSCR on existing debt</t>
  </si>
  <si>
    <t xml:space="preserve">Receivables (closing)</t>
  </si>
  <si>
    <t xml:space="preserve">Receivable days</t>
  </si>
  <si>
    <t xml:space="preserve">Cumulative unpaid PPA arrears to project</t>
  </si>
  <si>
    <t xml:space="preserve">No-project case: purchases from other supply</t>
  </si>
  <si>
    <t xml:space="preserve">No-project case: sales</t>
  </si>
  <si>
    <t xml:space="preserve">No-project case: utility cash flow</t>
  </si>
  <si>
    <t xml:space="preserve">Incremental utility (SOE) cash from the project, net of new arrears</t>
  </si>
  <si>
    <t xml:space="preserve">PPA payment as % of utility billed revenue</t>
  </si>
  <si>
    <t xml:space="preserve">Collected revenue per MWh sent-out</t>
  </si>
  <si>
    <t xml:space="preserve">13 REGULATION — Regulatory Bankability Matrix (readiness screening, NOT legal advice)</t>
  </si>
  <si>
    <t xml:space="preserve">Status options: READY / PARTIAL / GAP / CRITICAL GAP. Fictional statuses for Navaria.</t>
  </si>
  <si>
    <t xml:space="preserve">Item</t>
  </si>
  <si>
    <t xml:space="preserve">Status</t>
  </si>
  <si>
    <t xml:space="preserve">Score (3-0)</t>
  </si>
  <si>
    <t xml:space="preserve">Evidence required / comment</t>
  </si>
  <si>
    <t xml:space="preserve">Electricity law (IPP participation permitted)</t>
  </si>
  <si>
    <t xml:space="preserve">READY</t>
  </si>
  <si>
    <t xml:space="preserve">Act in force; IPP chapter</t>
  </si>
  <si>
    <t xml:space="preserve">Generation licence</t>
  </si>
  <si>
    <t xml:space="preserve">PARTIAL</t>
  </si>
  <si>
    <t xml:space="preserve">Provisional licence; final on financial close</t>
  </si>
  <si>
    <t xml:space="preserve">Water rights / water-use permit</t>
  </si>
  <si>
    <t xml:space="preserve">Permit volume vs e-flow to be reconciled</t>
  </si>
  <si>
    <t xml:space="preserve">Concession agreement / implementation agreement</t>
  </si>
  <si>
    <t xml:space="preserve">Term sheet agreed</t>
  </si>
  <si>
    <t xml:space="preserve">PPP legislation &amp; PPP unit approvals</t>
  </si>
  <si>
    <t xml:space="preserve">IPP procurement framework</t>
  </si>
  <si>
    <t xml:space="preserve">Unsolicited proposal rules unclear</t>
  </si>
  <si>
    <t xml:space="preserve">PPA enforceability (arbitration, waiver of immunity)</t>
  </si>
  <si>
    <t xml:space="preserve">Offshore arbitration accepted in principle</t>
  </si>
  <si>
    <t xml:space="preserve">Tariff regulation (cost-reflective, pass-through)</t>
  </si>
  <si>
    <t xml:space="preserve">GAP</t>
  </si>
  <si>
    <t xml:space="preserve">No automatic pass-through of PPA costs</t>
  </si>
  <si>
    <t xml:space="preserve">Regulator independence</t>
  </si>
  <si>
    <t xml:space="preserve">Grid access / connection rules</t>
  </si>
  <si>
    <t xml:space="preserve">Grid code</t>
  </si>
  <si>
    <t xml:space="preserve">Outdated; no ancillary-service rules</t>
  </si>
  <si>
    <t xml:space="preserve">Environmental &amp; social permits (ESIA approval)</t>
  </si>
  <si>
    <t xml:space="preserve">ESIA approved; RAP pending</t>
  </si>
  <si>
    <t xml:space="preserve">Land rights / acquisition</t>
  </si>
  <si>
    <t xml:space="preserve">Reservoir land acquisition incomplete</t>
  </si>
  <si>
    <t xml:space="preserve">FX convertibility</t>
  </si>
  <si>
    <t xml:space="preserve">Central bank allocation queues</t>
  </si>
  <si>
    <t xml:space="preserve">Tax regime (stability, incentives)</t>
  </si>
  <si>
    <t xml:space="preserve">Stabilisation clause available</t>
  </si>
  <si>
    <t xml:space="preserve">Repatriation of dividends &amp; debt service</t>
  </si>
  <si>
    <t xml:space="preserve">Count: CRITICAL GAP</t>
  </si>
  <si>
    <t xml:space="preserve">Count: GAP</t>
  </si>
  <si>
    <t xml:space="preserve">Count: PARTIAL</t>
  </si>
  <si>
    <t xml:space="preserve">Count: READY</t>
  </si>
  <si>
    <t xml:space="preserve">Average readiness score (0-3)</t>
  </si>
  <si>
    <t xml:space="preserve">E&amp;S / SUSTAINABILITY READINESS (feeds Gate 9)</t>
  </si>
  <si>
    <t xml:space="preserve">ESIA &amp; lender E&amp;S standards compliance (1=gaps, 2=in progress, 3=compliant &amp; disclosed)</t>
  </si>
  <si>
    <t xml:space="preserve">e.g. IFC Performance Standards / Hydropower Sustainability Standard</t>
  </si>
  <si>
    <t xml:space="preserve">Resettlement Action Plan status (1=not started, 2=approved, 3=implemented &amp; monitored)</t>
  </si>
  <si>
    <t xml:space="preserve">Transboundary water / riparian notification (1=unresolved, 2=in progress, 3=resolved or n/a)</t>
  </si>
  <si>
    <t xml:space="preserve">14 PPA — Two-part tariff, indexation, deemed energy, take-or-pay, termination</t>
  </si>
  <si>
    <t xml:space="preserve">Commercial terms are fictional; structure reflects common African hydro IPP practice</t>
  </si>
  <si>
    <t xml:space="preserve">A. TARIFF</t>
  </si>
  <si>
    <t xml:space="preserve">Capacity / availability charge</t>
  </si>
  <si>
    <t xml:space="preserve">USD/kW-month (2026)</t>
  </si>
  <si>
    <t xml:space="preserve">Covers fixed costs incl. debt service</t>
  </si>
  <si>
    <t xml:space="preserve">Energy charge</t>
  </si>
  <si>
    <t xml:space="preserve">USD/MWh (2026)</t>
  </si>
  <si>
    <t xml:space="preserve">Share of capacity charge indexed to US CPI</t>
  </si>
  <si>
    <t xml:space="preserve">Debt-service portion usually not indexed</t>
  </si>
  <si>
    <t xml:space="preserve">Share of energy charge indexed to US CPI</t>
  </si>
  <si>
    <t xml:space="preserve">Share of tariff denominated in local currency (NVL)</t>
  </si>
  <si>
    <t xml:space="preserve">0% = full USD (FX risk on utility/government)</t>
  </si>
  <si>
    <t xml:space="preserve">B. VOLUME &amp; RISK TERMS</t>
  </si>
  <si>
    <t xml:space="preserve">Deemed energy payable for buyer/grid curtailment (1=yes)</t>
  </si>
  <si>
    <t xml:space="preserve">Transfers transmission &amp; demand risk to offtaker</t>
  </si>
  <si>
    <t xml:space="preserve">Take-or-pay floor (share of contracted P50 energy)</t>
  </si>
  <si>
    <t xml:space="preserve">Alternative to deemed energy</t>
  </si>
  <si>
    <t xml:space="preserve">Declared availability / contractual availability</t>
  </si>
  <si>
    <t xml:space="preserve">&lt;1 reduces capacity payment</t>
  </si>
  <si>
    <t xml:space="preserve">Termination: equity compensation premium on unrecovered equity</t>
  </si>
  <si>
    <t xml:space="preserve">Government-default / political FM termination</t>
  </si>
  <si>
    <t xml:space="preserve">C. CONTRACT RISK MAP (qualitative)</t>
  </si>
  <si>
    <t xml:space="preserve">Change in law</t>
  </si>
  <si>
    <t xml:space="preserve">Compensated by offtaker; tariff adjustment</t>
  </si>
  <si>
    <t xml:space="preserve">Natural force majeure</t>
  </si>
  <si>
    <t xml:space="preserve">Capacity payments suspended after 180 days (fictional)</t>
  </si>
  <si>
    <t xml:space="preserve">Political force majeure</t>
  </si>
  <si>
    <t xml:space="preserve">Capacity payments continue; buy-out right</t>
  </si>
  <si>
    <t xml:space="preserve">Hydrology risk</t>
  </si>
  <si>
    <t xml:space="preserve">Borne by project (energy charge only)</t>
  </si>
  <si>
    <t xml:space="preserve">FX convertibility &amp; transfer</t>
  </si>
  <si>
    <t xml:space="preserve">Government undertaking in implementation agreement</t>
  </si>
  <si>
    <t xml:space="preserve">15 TARIFF — Escalated tariff components, blended tariff, affordability</t>
  </si>
  <si>
    <t xml:space="preserve">Currency factor on tariff (local-currency portion)</t>
  </si>
  <si>
    <t xml:space="preserve">Capacity charge (nominal)</t>
  </si>
  <si>
    <t xml:space="preserve">USD/kW-mo</t>
  </si>
  <si>
    <t xml:space="preserve">Energy charge (nominal)</t>
  </si>
  <si>
    <t xml:space="preserve">Blended PPA tariff (billed revenue / energy paid)</t>
  </si>
  <si>
    <t xml:space="preserve">Project LCOE (constant, nominal levelised)</t>
  </si>
  <si>
    <t xml:space="preserve">Utility average retail tariff</t>
  </si>
  <si>
    <t xml:space="preserve">Utility collected revenue per MWh sent-out</t>
  </si>
  <si>
    <t xml:space="preserve">Affordability headroom: collected/MWh – blended PPA tariff</t>
  </si>
  <si>
    <t xml:space="preserve">16 REVENUE — Billed vs cash revenue; offtaker exposure; unpaid amounts</t>
  </si>
  <si>
    <t xml:space="preserve">A. ENERGY PAID (GWh)</t>
  </si>
  <si>
    <t xml:space="preserve">Deemed energy (curtailment not caused by seller)</t>
  </si>
  <si>
    <t xml:space="preserve">Take-or-pay shortfall energy</t>
  </si>
  <si>
    <t xml:space="preserve">Energy paid</t>
  </si>
  <si>
    <t xml:space="preserve">B. BILLED REVENUE (USDm)</t>
  </si>
  <si>
    <t xml:space="preserve">Capacity payments</t>
  </si>
  <si>
    <t xml:space="preserve">Energy payments (delivered)</t>
  </si>
  <si>
    <t xml:space="preserve">Deemed energy &amp; take-or-pay payments</t>
  </si>
  <si>
    <t xml:space="preserve">Total billed revenue</t>
  </si>
  <si>
    <t xml:space="preserve">  billed to utility</t>
  </si>
  <si>
    <t xml:space="preserve">  billed to utility — first full year (op yr 2)</t>
  </si>
  <si>
    <t xml:space="preserve">  billed to mining offtaker</t>
  </si>
  <si>
    <t xml:space="preserve">C. PAYMENT OF UTILITY SHORTFALL</t>
  </si>
  <si>
    <t xml:space="preserve">Covered by government budget backstop</t>
  </si>
  <si>
    <t xml:space="preserve">PPA guarantee limit (months of utility billing)</t>
  </si>
  <si>
    <t xml:space="preserve">Utility reimbursement of earlier guarantee calls</t>
  </si>
  <si>
    <t xml:space="preserve">Covered by sovereign PPA payment guarantee call (within available limit)</t>
  </si>
  <si>
    <t xml:space="preserve">Guarantee calls outstanding (not yet reimbursed)</t>
  </si>
  <si>
    <t xml:space="preserve">UNPAID (arrears to project)</t>
  </si>
  <si>
    <t xml:space="preserve">Cash revenue received by project</t>
  </si>
  <si>
    <t xml:space="preserve">D. LENDER CASE REVENUE (for debt sizing)</t>
  </si>
  <si>
    <t xml:space="preserve">Lender-case revenue</t>
  </si>
  <si>
    <t xml:space="preserve">E. REVENUE QUALITY METRICS</t>
  </si>
  <si>
    <t xml:space="preserve">Revenue certainty: fixed (capacity) share of billed revenue</t>
  </si>
  <si>
    <t xml:space="preserve">Revenue volatility: P90 vs P50 energy revenue at risk (yr 2)</t>
  </si>
  <si>
    <t xml:space="preserve">% of revenue</t>
  </si>
  <si>
    <t xml:space="preserve">Offtaker exposure: utility share of lifetime billed revenue</t>
  </si>
  <si>
    <t xml:space="preserve">Government support requirement to sustain PPA payments (lifetime, nominal)</t>
  </si>
  <si>
    <t xml:space="preserve">17 PROJECT FINANCE — Funding base, sources &amp; uses, debt capacity, financing gap, KPIs</t>
  </si>
  <si>
    <t xml:space="preserve">Structure parameters from 17A_STRUCTURES</t>
  </si>
  <si>
    <t xml:space="preserve">A. FUNDING BASE &amp; USES (nominal USDm)</t>
  </si>
  <si>
    <t xml:space="preserve">Plant CAPEX (nominal)</t>
  </si>
  <si>
    <t xml:space="preserve">Transmission CAPEX funded by project</t>
  </si>
  <si>
    <t xml:space="preserve">Project-built transmission spend falling in the construction period</t>
  </si>
  <si>
    <t xml:space="preserve">FUNDING BASE (CAPEX)</t>
  </si>
  <si>
    <t xml:space="preserve">Interest during construction (equity-funded)</t>
  </si>
  <si>
    <t xml:space="preserve">Upfront financing fees</t>
  </si>
  <si>
    <t xml:space="preserve">Initial DSRA funding</t>
  </si>
  <si>
    <t xml:space="preserve">TOTAL USES</t>
  </si>
  <si>
    <t xml:space="preserve">B. SOURCES</t>
  </si>
  <si>
    <t xml:space="preserve">Grants / VGF / public capital contribution</t>
  </si>
  <si>
    <t xml:space="preserve">Government equity (structural)</t>
  </si>
  <si>
    <t xml:space="preserve">Concessional senior debt</t>
  </si>
  <si>
    <t xml:space="preserve">Commercial senior debt (gearing cap applied to CAPEX + debt-funded IDC and fees)</t>
  </si>
  <si>
    <t xml:space="preserve">Residual equity required</t>
  </si>
  <si>
    <t xml:space="preserve">  of which government (if residual provider)</t>
  </si>
  <si>
    <t xml:space="preserve">  of which private sponsors</t>
  </si>
  <si>
    <t xml:space="preserve">TOTAL SOURCES</t>
  </si>
  <si>
    <t xml:space="preserve">C. DEBT CAPACITY &amp; FINANCING GAP</t>
  </si>
  <si>
    <t xml:space="preserve">Commercial debt capacity (DSCR-sculpted, lender case)</t>
  </si>
  <si>
    <t xml:space="preserve">Total senior debt capacity</t>
  </si>
  <si>
    <t xml:space="preserve">Senior debt / total uses</t>
  </si>
  <si>
    <t xml:space="preserve">Private equity available</t>
  </si>
  <si>
    <t xml:space="preserve">FINANCING GAP (private equity required beyond availability)</t>
  </si>
  <si>
    <t xml:space="preserve">Government residual funding (public structure)</t>
  </si>
  <si>
    <t xml:space="preserve">Financing gap / total uses</t>
  </si>
  <si>
    <t xml:space="preserve">D. KEY RESULTS</t>
  </si>
  <si>
    <t xml:space="preserve">Project IRR (post-tax, unlevered, nominal)</t>
  </si>
  <si>
    <t xml:space="preserve">Project NPV @ discount rate</t>
  </si>
  <si>
    <t xml:space="preserve">Private equity IRR (nominal)</t>
  </si>
  <si>
    <t xml:space="preserve">Government equity IRR (nominal)</t>
  </si>
  <si>
    <t xml:space="preserve">LCOE — plant (nominal levelised)</t>
  </si>
  <si>
    <t xml:space="preserve">LCOE — delivered system cost incl. public transmission &amp; losses</t>
  </si>
  <si>
    <t xml:space="preserve">Average DSCR (actual case)</t>
  </si>
  <si>
    <t xml:space="preserve">LLCR at COD (all tranches, weighted rate, longest tranche life)</t>
  </si>
  <si>
    <t xml:space="preserve">PLCR at COD</t>
  </si>
  <si>
    <t xml:space="preserve">Cumulative debt-service shortfall</t>
  </si>
  <si>
    <t xml:space="preserve">OPEX in operating year 2</t>
  </si>
  <si>
    <t xml:space="preserve">Utility payment headroom per MWh (avg max sustainable payment / energy paid, op yrs 1-10)</t>
  </si>
  <si>
    <t xml:space="preserve">17A STRUCTURES — Public / IPP / PPP / Hybrid / Blended for the SAME project</t>
  </si>
  <si>
    <t xml:space="preserve">Column C = structure selected on 01_CONTROL_PANEL; library columns E:I are inputs</t>
  </si>
  <si>
    <t xml:space="preserve">Parameter</t>
  </si>
  <si>
    <t xml:space="preserve">Unit</t>
  </si>
  <si>
    <t xml:space="preserve">SELECTED</t>
  </si>
  <si>
    <t xml:space="preserve">1 Public</t>
  </si>
  <si>
    <t xml:space="preserve">2 IPP</t>
  </si>
  <si>
    <t xml:space="preserve">3 PPP</t>
  </si>
  <si>
    <t xml:space="preserve">4 Hybrid</t>
  </si>
  <si>
    <t xml:space="preserve">5 Blended</t>
  </si>
  <si>
    <t xml:space="preserve">Structure</t>
  </si>
  <si>
    <t xml:space="preserve">Public (SOE, sovereign-borrowed)</t>
  </si>
  <si>
    <t xml:space="preserve">IPP (private BOOT)</t>
  </si>
  <si>
    <t xml:space="preserve">PPP (SOE + private, DFI-backed)</t>
  </si>
  <si>
    <t xml:space="preserve">Hybrid (public civil works, private E&amp;M/O&amp;M)</t>
  </si>
  <si>
    <t xml:space="preserve">Blended finance (grants + concessional + private)</t>
  </si>
  <si>
    <t xml:space="preserve">Government equity</t>
  </si>
  <si>
    <t xml:space="preserve">% of funding base</t>
  </si>
  <si>
    <t xml:space="preserve">Concessional debt</t>
  </si>
  <si>
    <t xml:space="preserve">Maximum total senior debt (gearing cap)</t>
  </si>
  <si>
    <t xml:space="preserve">Maximum private equity available</t>
  </si>
  <si>
    <t xml:space="preserve">Residual equity provider (1=private, 2=government)</t>
  </si>
  <si>
    <t xml:space="preserve">Share of senior debt guaranteed / counter-indemnified by sovereign</t>
  </si>
  <si>
    <t xml:space="preserve">Share of senior debt recorded as public debt</t>
  </si>
  <si>
    <t xml:space="preserve">Sovereign PPA payment guarantee (1=yes)</t>
  </si>
  <si>
    <t xml:space="preserve">Concession termination payment obligation (1=yes)</t>
  </si>
  <si>
    <t xml:space="preserve">Government FX convertibility guarantee on remittances</t>
  </si>
  <si>
    <t xml:space="preserve">% covered</t>
  </si>
  <si>
    <t xml:space="preserve">Concessional interest rate</t>
  </si>
  <si>
    <t xml:space="preserve">Concessional grace after COD</t>
  </si>
  <si>
    <t xml:space="preserve">Concessional repayment period</t>
  </si>
  <si>
    <t xml:space="preserve">Commercial / DFI senior debt rate (all-in, fixed/swapped)</t>
  </si>
  <si>
    <t xml:space="preserve">Commercial debt repayment tenor after COD</t>
  </si>
  <si>
    <t xml:space="preserve">Target sizing DSCR</t>
  </si>
  <si>
    <t xml:space="preserve">Private equity target IRR (nominal USD)</t>
  </si>
  <si>
    <t xml:space="preserve">Check: grants + gov equity + max debt + max private equity ≥ 100%</t>
  </si>
  <si>
    <t xml:space="preserve">Distribution lock-up DSCR</t>
  </si>
  <si>
    <t xml:space="preserve">Upfront &amp; commitment fees</t>
  </si>
  <si>
    <t xml:space="preserve">% of senior debt</t>
  </si>
  <si>
    <t xml:space="preserve">DSRA requirement</t>
  </si>
  <si>
    <t xml:space="preserve">months of next-year DS</t>
  </si>
  <si>
    <t xml:space="preserve">LIVE CLOSED-FORM STRUCTURE COMPARISON (screening; pre-tax, level real annuity, P50)</t>
  </si>
  <si>
    <t xml:space="preserve">Metric</t>
  </si>
  <si>
    <t xml:space="preserve">WACC_s = Σ weights x costs (grants cost 0 to project; government equity at government discount rate). Required tariff = (funding base x (1-grant%) x CRF(WACC, term) + year-2 OPEX) / P50. Not a substitute for full-engine runs (snapshot below).</t>
  </si>
  <si>
    <t xml:space="preserve">Commercial debt share (assumed at gearing cap)</t>
  </si>
  <si>
    <t xml:space="preserve">Private equity share</t>
  </si>
  <si>
    <t xml:space="preserve">Government residual equity share</t>
  </si>
  <si>
    <t xml:space="preserve">Blended pre-tax cost of capital (private equity grossed up for tax)</t>
  </si>
  <si>
    <t xml:space="preserve">Cost of capital on non-grant funding</t>
  </si>
  <si>
    <t xml:space="preserve">Capital recovery factor</t>
  </si>
  <si>
    <t xml:space="preserve">Required levelised tariff (screening; capital incl. IDC and fees)</t>
  </si>
  <si>
    <t xml:space="preserve">Utility payment headroom per MWh (max sustainable payment / energy, first 10 yrs avg)</t>
  </si>
  <si>
    <t xml:space="preserve">Implied annual subsidy to close affordability gap</t>
  </si>
  <si>
    <t xml:space="preserve">Upfront public capital (gov equity + grants)</t>
  </si>
  <si>
    <t xml:space="preserve">Private equity</t>
  </si>
  <si>
    <t xml:space="preserve">Senior debt</t>
  </si>
  <si>
    <t xml:space="preserve">Indicative annual debt service (blended annuity)</t>
  </si>
  <si>
    <t xml:space="preserve">Direct public debt</t>
  </si>
  <si>
    <t xml:space="preserve">Guaranteed debt (contingent)</t>
  </si>
  <si>
    <t xml:space="preserve">PPA guarantee exposure (12 months of payments)</t>
  </si>
  <si>
    <t xml:space="preserve">Termination exposure at COD (debt + private equity x (1+premium))</t>
  </si>
  <si>
    <t xml:space="preserve">Gross public exposure at COD. Near the funding base by construction: every dollar is public or termination-protected</t>
  </si>
  <si>
    <t xml:space="preserve">Gross public exposure / GDP</t>
  </si>
  <si>
    <t xml:space="preserve">18 DEBT — Concessional &amp; commercial tranches, DSCR sculpting, DSRA</t>
  </si>
  <si>
    <t xml:space="preserve">Non-circular: IDC and DSRA are equity-funded; sizing uses an unlevered-tax lender case</t>
  </si>
  <si>
    <t xml:space="preserve">Locked commercial debt (debt_mode = 2)</t>
  </si>
  <si>
    <t xml:space="preserve">Base-case debt_m (written by tools/run_snapshots.py)</t>
  </si>
  <si>
    <t xml:space="preserve">Locked concessional debt (debt_mode = 2)</t>
  </si>
  <si>
    <t xml:space="preserve">Base-case debt_c</t>
  </si>
  <si>
    <t xml:space="preserve">Locked grant / VGF (debt_mode = 2)</t>
  </si>
  <si>
    <t xml:space="preserve">Base-case s_grant</t>
  </si>
  <si>
    <t xml:space="preserve">Locked government equity (debt_mode = 2)</t>
  </si>
  <si>
    <t xml:space="preserve">Base-case s_goveq</t>
  </si>
  <si>
    <t xml:space="preserve">Share of commercial debt fixed or swapped</t>
  </si>
  <si>
    <t xml:space="preserve">Rate stress applies only to the unhedged share</t>
  </si>
  <si>
    <t xml:space="preserve">Effective commercial rate</t>
  </si>
  <si>
    <t xml:space="preserve">Locked commercial principal schedule by OPERATING year (debt_mode = 2; column E = op year 1, F = op year 2, ...)</t>
  </si>
  <si>
    <t xml:space="preserve">Tax rate used in lender-case CFADS</t>
  </si>
  <si>
    <t xml:space="preserve">IDC per USD of concessional debt (non-circular factor)</t>
  </si>
  <si>
    <t xml:space="preserve">IDC per USD of commercial debt (non-circular factor)</t>
  </si>
  <si>
    <t xml:space="preserve">A. LENDER-CASE CFADS &amp; SCULPTING</t>
  </si>
  <si>
    <t xml:space="preserve">Lender-case CFADS (unlevered tax)</t>
  </si>
  <si>
    <t xml:space="preserve">Commercial loan life flag</t>
  </si>
  <si>
    <t xml:space="preserve">Discount factor at commercial rate (to COD)</t>
  </si>
  <si>
    <t xml:space="preserve">Weighted senior debt rate</t>
  </si>
  <si>
    <t xml:space="preserve">Any senior tranche outstanding (loan life)</t>
  </si>
  <si>
    <t xml:space="preserve">Discount factor at weighted rate</t>
  </si>
  <si>
    <t xml:space="preserve">Sculpted commercial DS capacity</t>
  </si>
  <si>
    <t xml:space="preserve">B. CONCESSIONAL TRANCHE</t>
  </si>
  <si>
    <t xml:space="preserve">Opening balance</t>
  </si>
  <si>
    <t xml:space="preserve">Drawdown</t>
  </si>
  <si>
    <t xml:space="preserve">Interest</t>
  </si>
  <si>
    <t xml:space="preserve">Principal repayment</t>
  </si>
  <si>
    <t xml:space="preserve">Closing balance</t>
  </si>
  <si>
    <t xml:space="preserve">Debt service (operations)</t>
  </si>
  <si>
    <t xml:space="preserve">C. COMMERCIAL TRANCHE</t>
  </si>
  <si>
    <t xml:space="preserve">Target debt service (sculpted or annuity)</t>
  </si>
  <si>
    <t xml:space="preserve">D. TOTALS &amp; DSRA</t>
  </si>
  <si>
    <t xml:space="preserve">Total senior debt service</t>
  </si>
  <si>
    <t xml:space="preserve">Interest during construction</t>
  </si>
  <si>
    <t xml:space="preserve">Total senior debt outstanding</t>
  </si>
  <si>
    <t xml:space="preserve">DSRA target balance</t>
  </si>
  <si>
    <t xml:space="preserve">Initial DSRA funding (end of construction)</t>
  </si>
  <si>
    <t xml:space="preserve">19 EQUITY — Contributions, distributions, returns by holder</t>
  </si>
  <si>
    <t xml:space="preserve">Total equity (government + private)</t>
  </si>
  <si>
    <t xml:space="preserve">Government share of equity</t>
  </si>
  <si>
    <t xml:space="preserve">Target private equity IRR</t>
  </si>
  <si>
    <t xml:space="preserve">Government equity IRR</t>
  </si>
  <si>
    <t xml:space="preserve">Private equity multiple (distributions / contributions)</t>
  </si>
  <si>
    <t xml:space="preserve">Private equity contributed</t>
  </si>
  <si>
    <t xml:space="preserve">Distributions to private equity</t>
  </si>
  <si>
    <t xml:space="preserve">Net private equity cash flow</t>
  </si>
  <si>
    <t xml:space="preserve">Dividends to government</t>
  </si>
  <si>
    <t xml:space="preserve">Value of remaining private distributions at target IRR (backward recursion)</t>
  </si>
  <si>
    <t xml:space="preserve">Unrecovered private equity (for termination amount)</t>
  </si>
  <si>
    <t xml:space="preserve">20 CASH FLOW — Construction funding, operating waterfall, unlevered cash flow, LCOE streams</t>
  </si>
  <si>
    <t xml:space="preserve">A. CONSTRUCTION FUNDING</t>
  </si>
  <si>
    <t xml:space="preserve">Uses: CAPEX + project transmission + IDC + fees + DSRA</t>
  </si>
  <si>
    <t xml:space="preserve">Grants drawn</t>
  </si>
  <si>
    <t xml:space="preserve">Senior debt drawn</t>
  </si>
  <si>
    <t xml:space="preserve">Equity contributions (total)</t>
  </si>
  <si>
    <t xml:space="preserve">  Government equity</t>
  </si>
  <si>
    <t xml:space="preserve">  Private equity</t>
  </si>
  <si>
    <t xml:space="preserve">B. OPERATING WATERFALL</t>
  </si>
  <si>
    <t xml:space="preserve">Cash revenue</t>
  </si>
  <si>
    <t xml:space="preserve">OPEX</t>
  </si>
  <si>
    <t xml:space="preserve">Water royalty</t>
  </si>
  <si>
    <t xml:space="preserve">EBITDA</t>
  </si>
  <si>
    <t xml:space="preserve">Tax</t>
  </si>
  <si>
    <t xml:space="preserve">CFADS (after any project-funded transmission spend in operations)</t>
  </si>
  <si>
    <t xml:space="preserve">Senior debt service</t>
  </si>
  <si>
    <t xml:space="preserve">DSCR</t>
  </si>
  <si>
    <t xml:space="preserve">Cash after debt service before reserve movements (incl. trapped cash)</t>
  </si>
  <si>
    <t xml:space="preserve">DSRA drawn to meet debt service</t>
  </si>
  <si>
    <t xml:space="preserve">DSRA release of excess over target</t>
  </si>
  <si>
    <t xml:space="preserve">DSRA top-up from available cash</t>
  </si>
  <si>
    <t xml:space="preserve">DSRA actual balance</t>
  </si>
  <si>
    <t xml:space="preserve">DSRA draw + release - top-up</t>
  </si>
  <si>
    <t xml:space="preserve">Cash after debt service</t>
  </si>
  <si>
    <t xml:space="preserve">Cash brought forward (trapped)</t>
  </si>
  <si>
    <t xml:space="preserve">Debt-service shortfall funded by guarantor/sponsor</t>
  </si>
  <si>
    <t xml:space="preserve">Distribution test passed (1=yes)</t>
  </si>
  <si>
    <t xml:space="preserve">Cash available after shortfall funding</t>
  </si>
  <si>
    <t xml:space="preserve">Repayment of sovereign guarantee claims (ahead of distributions)</t>
  </si>
  <si>
    <t xml:space="preserve">Distributions to equity</t>
  </si>
  <si>
    <t xml:space="preserve">Cash carried forward</t>
  </si>
  <si>
    <t xml:space="preserve">C. EQUITY CASH FLOWS</t>
  </si>
  <si>
    <t xml:space="preserve">Shortfall paid by sovereign guarantee</t>
  </si>
  <si>
    <t xml:space="preserve">Shortfall paid by equity (sponsor support)</t>
  </si>
  <si>
    <t xml:space="preserve">Sovereign guarantee claim outstanding</t>
  </si>
  <si>
    <t xml:space="preserve">Government equity cash flow</t>
  </si>
  <si>
    <t xml:space="preserve">Private equity cash flow</t>
  </si>
  <si>
    <t xml:space="preserve">Private equity cumulative (unrecovered if negative)</t>
  </si>
  <si>
    <t xml:space="preserve">D. UNLEVERED &amp; LCOE STREAMS</t>
  </si>
  <si>
    <t xml:space="preserve">Unlevered post-tax project cash flow</t>
  </si>
  <si>
    <t xml:space="preserve">Plant cost stream (CAPEX + OPEX + royalty)</t>
  </si>
  <si>
    <t xml:space="preserve">Energy delivered + deemed</t>
  </si>
  <si>
    <t xml:space="preserve">System cost stream (+ public transmission CAPEX &amp; O&amp;M)</t>
  </si>
  <si>
    <t xml:space="preserve">Energy delivered to load (net of transmission losses)</t>
  </si>
  <si>
    <t xml:space="preserve">21 TAX — Depreciation, interest deductibility, loss carry-forward, tax holiday</t>
  </si>
  <si>
    <t xml:space="preserve">Corporate income tax rate</t>
  </si>
  <si>
    <t xml:space="preserve">Tax holiday (operating years)</t>
  </si>
  <si>
    <t xml:space="preserve">Fiscal incentive = forgone revenue</t>
  </si>
  <si>
    <t xml:space="preserve">Tax depreciation life (straight line)</t>
  </si>
  <si>
    <t xml:space="preserve">Depreciable base (funding base + IDC + fees − grants)</t>
  </si>
  <si>
    <t xml:space="preserve">Tax depreciation</t>
  </si>
  <si>
    <t xml:space="preserve">Lender-case depreciation (excl. IDC &amp; fees, avoids circularity)</t>
  </si>
  <si>
    <t xml:space="preserve">Interest expense (operations)</t>
  </si>
  <si>
    <t xml:space="preserve">Taxable income before losses</t>
  </si>
  <si>
    <t xml:space="preserve">Losses brought forward</t>
  </si>
  <si>
    <t xml:space="preserve">Losses used</t>
  </si>
  <si>
    <t xml:space="preserve">Losses carried forward</t>
  </si>
  <si>
    <t xml:space="preserve">Corporate tax paid</t>
  </si>
  <si>
    <t xml:space="preserve">Tax forgone due to holiday</t>
  </si>
  <si>
    <t xml:space="preserve">Unlevered tax (for project IRR)</t>
  </si>
  <si>
    <t xml:space="preserve">22 GOVERNMENT SUPPORT — Direct exposure (cash)</t>
  </si>
  <si>
    <t xml:space="preserve">Equity, grants/VGF, transmission investment, utility support</t>
  </si>
  <si>
    <t xml:space="preserve">Government equity contributions</t>
  </si>
  <si>
    <t xml:space="preserve">Public transmission CAPEX</t>
  </si>
  <si>
    <t xml:space="preserve">Public transmission O&amp;M</t>
  </si>
  <si>
    <t xml:space="preserve">Utility support: budget backstop of PPA shortfall</t>
  </si>
  <si>
    <t xml:space="preserve">TOTAL DIRECT GOVERNMENT CASH EXPOSURE</t>
  </si>
  <si>
    <t xml:space="preserve">Transmission is shown on a cash (capex) basis. If financed by a sovereign loan, the fiscal profile becomes the loan's debt service; the PV comparison is in 25_FISCAL_IMPACT.</t>
  </si>
  <si>
    <t xml:space="preserve">23 GUARANTEES — Nominal exposure by instrument (maximum amount at risk each year)</t>
  </si>
  <si>
    <t xml:space="preserve">Exposures are NOT additive: see 24 for non-double-counted maximum</t>
  </si>
  <si>
    <t xml:space="preserve">PPA guarantee cap</t>
  </si>
  <si>
    <t xml:space="preserve">months of utility billing</t>
  </si>
  <si>
    <t xml:space="preserve">Exposure measure for the guarantee</t>
  </si>
  <si>
    <t xml:space="preserve">Minimum revenue guarantee level (0 = none)</t>
  </si>
  <si>
    <t xml:space="preserve">% of P50 billed revenue</t>
  </si>
  <si>
    <t xml:space="preserve">Debt guarantee / counter-indemnity exposure</t>
  </si>
  <si>
    <t xml:space="preserve">PPA payment guarantee exposure</t>
  </si>
  <si>
    <t xml:space="preserve">Termination payment exposure</t>
  </si>
  <si>
    <t xml:space="preserve">FX convertibility guarantee (annual remittances covered)</t>
  </si>
  <si>
    <t xml:space="preserve">Minimum revenue guarantee — deterministic call</t>
  </si>
  <si>
    <t xml:space="preserve">Project debt recorded as direct public debt</t>
  </si>
  <si>
    <t xml:space="preserve">24 CONTINGENT LIABILITIES — Maximum exposure, deterministic calls, user-defined expected loss</t>
  </si>
  <si>
    <t xml:space="preserve">Probabilities are USER JUDGEMENTS for screening, not calibrated default probabilities</t>
  </si>
  <si>
    <t xml:space="preserve">Annual probability: debt guarantee called</t>
  </si>
  <si>
    <t xml:space="preserve">User judgement</t>
  </si>
  <si>
    <t xml:space="preserve">Annual probability: PPA guarantee called</t>
  </si>
  <si>
    <t xml:space="preserve">User judgement — informed by utility arrears history</t>
  </si>
  <si>
    <t xml:space="preserve">Annual probability: termination for government default / PFM</t>
  </si>
  <si>
    <t xml:space="preserve">Loss given call (net of recoveries)</t>
  </si>
  <si>
    <t xml:space="preserve">A. EXPOSURE</t>
  </si>
  <si>
    <t xml:space="preserve">Maximum simultaneous exposure = MAX(termination, debt guarantee + PPA guarantee + FX cover)</t>
  </si>
  <si>
    <t xml:space="preserve">B. DETERMINISTIC CALLS IN ACTIVE SCENARIO</t>
  </si>
  <si>
    <t xml:space="preserve">PPA guarantee calls</t>
  </si>
  <si>
    <t xml:space="preserve">Debt guarantee calls (DS shortfall x guaranteed share)</t>
  </si>
  <si>
    <t xml:space="preserve">Minimum revenue guarantee calls</t>
  </si>
  <si>
    <t xml:space="preserve">Total deterministic calls</t>
  </si>
  <si>
    <t xml:space="preserve">C. EXPECTED LOSS (only as good as the probabilities entered)</t>
  </si>
  <si>
    <t xml:space="preserve">Expected annual loss</t>
  </si>
  <si>
    <t xml:space="preserve">Government discount factor</t>
  </si>
  <si>
    <t xml:space="preserve">Peak maximum contingent exposure</t>
  </si>
  <si>
    <t xml:space="preserve">PV of expected loss (screening)</t>
  </si>
  <si>
    <t xml:space="preserve">PV of deterministic calls in active scenario</t>
  </si>
  <si>
    <t xml:space="preserve">25 FISCAL IMPACT — Annual government cash requirement and fiscal NPV</t>
  </si>
  <si>
    <t xml:space="preserve">Negative = cost to government</t>
  </si>
  <si>
    <t xml:space="preserve">A. OUTFLOWS</t>
  </si>
  <si>
    <t xml:space="preserve">Direct support (22)</t>
  </si>
  <si>
    <t xml:space="preserve">Guarantee calls in active scenario (24)</t>
  </si>
  <si>
    <t xml:space="preserve">B. INFLOWS</t>
  </si>
  <si>
    <t xml:space="preserve">Corporate tax</t>
  </si>
  <si>
    <t xml:space="preserve">Dividends on government equity</t>
  </si>
  <si>
    <t xml:space="preserve">Recoveries of guarantee calls (project and utility)</t>
  </si>
  <si>
    <t xml:space="preserve">NET FISCAL CASH FLOW (central government)</t>
  </si>
  <si>
    <t xml:space="preserve">Incremental cash of the state-owned utility (incl. new arrears as a cost)</t>
  </si>
  <si>
    <t xml:space="preserve">NET CONSOLIDATED PUBLIC-SECTOR CASH FLOW</t>
  </si>
  <si>
    <t xml:space="preserve">Cumulative net fiscal cash flow</t>
  </si>
  <si>
    <t xml:space="preserve">Annual government cash requirement (outflows)</t>
  </si>
  <si>
    <t xml:space="preserve">Annual cash requirement / government revenue</t>
  </si>
  <si>
    <t xml:space="preserve">FISCAL NPV @ government discount rate</t>
  </si>
  <si>
    <t xml:space="preserve">CONSOLIDATED FISCAL NPV (government + state utility)</t>
  </si>
  <si>
    <t xml:space="preserve">Fiscal NPV less PV of expected loss on remaining contingent exposure</t>
  </si>
  <si>
    <t xml:space="preserve">Peak annual government cash requirement</t>
  </si>
  <si>
    <t xml:space="preserve">Peak annual requirement / government revenue</t>
  </si>
  <si>
    <t xml:space="preserve">Maximum cumulative fiscal outlay</t>
  </si>
  <si>
    <t xml:space="preserve">Tax forgone through holiday (nominal)</t>
  </si>
  <si>
    <t xml:space="preserve">26 PROJECT-LEVEL FISCAL EXPOSURE SCREENING</t>
  </si>
  <si>
    <t xml:space="preserve">NOT a debt sustainability analysis. Does not replace IMF/World Bank DSA. Fictional country data.</t>
  </si>
  <si>
    <t xml:space="preserve">A. COUNTRY INPUTS (fictional Navaria, 2026)</t>
  </si>
  <si>
    <t xml:space="preserve">Nominal GDP</t>
  </si>
  <si>
    <t xml:space="preserve">USD bn</t>
  </si>
  <si>
    <t xml:space="preserve">Nominal USD GDP growth</t>
  </si>
  <si>
    <t xml:space="preserve">Government revenue (excl. grants)</t>
  </si>
  <si>
    <t xml:space="preserve">% GDP</t>
  </si>
  <si>
    <t xml:space="preserve">Public debt</t>
  </si>
  <si>
    <t xml:space="preserve">External / FX share of public debt</t>
  </si>
  <si>
    <t xml:space="preserve">Public debt service / revenue</t>
  </si>
  <si>
    <t xml:space="preserve">Overall fiscal balance</t>
  </si>
  <si>
    <t xml:space="preserve">Latest published DSA risk of debt distress (1=low, 2=moderate, 3=high, 4=in distress)</t>
  </si>
  <si>
    <t xml:space="preserve">1-4</t>
  </si>
  <si>
    <t xml:space="preserve">Take from latest IMF/WB DSA — fictional here</t>
  </si>
  <si>
    <t xml:space="preserve">B. SCREENING THRESHOLDS (user-editable, illustrative)</t>
  </si>
  <si>
    <t xml:space="preserve">Public debt / GDP benchmark</t>
  </si>
  <si>
    <t xml:space="preserve">LIC-DSF PV total public debt benchmark 35/55/70% (weak/medium/strong) [FR-09]; nominal vs PV not adjusted</t>
  </si>
  <si>
    <t xml:space="preserve">Material increment in debt / GDP from one project</t>
  </si>
  <si>
    <t xml:space="preserve">Screening convention — user-defined</t>
  </si>
  <si>
    <t xml:space="preserve">Material contingent exposure</t>
  </si>
  <si>
    <t xml:space="preserve">Material annual cash requirement</t>
  </si>
  <si>
    <t xml:space="preserve">% revenue</t>
  </si>
  <si>
    <t xml:space="preserve">C. PROJECTIONS</t>
  </si>
  <si>
    <t xml:space="preserve">Government revenue</t>
  </si>
  <si>
    <t xml:space="preserve">On-budget project debt / GDP</t>
  </si>
  <si>
    <t xml:space="preserve">Maximum contingent exposure / GDP</t>
  </si>
  <si>
    <t xml:space="preserve">Government cash requirement / revenue</t>
  </si>
  <si>
    <t xml:space="preserve">Cumulative fiscal outlay / GDP</t>
  </si>
  <si>
    <t xml:space="preserve">Utility arrears to the IPP / GDP</t>
  </si>
  <si>
    <t xml:space="preserve">On-budget increment in the same year (direct debt + cumulative outlay + SOE arrears) / GDP</t>
  </si>
  <si>
    <t xml:space="preserve">D. SCREENING RESULT</t>
  </si>
  <si>
    <t xml:space="preserve">Peak on-budget increment / GDP</t>
  </si>
  <si>
    <t xml:space="preserve">Peak contingent exposure / GDP</t>
  </si>
  <si>
    <t xml:space="preserve">Peak cash requirement / revenue</t>
  </si>
  <si>
    <t xml:space="preserve">% rev</t>
  </si>
  <si>
    <t xml:space="preserve">Public debt / GDP incl. peak project increment</t>
  </si>
  <si>
    <t xml:space="preserve">Thresholds breached (0-4; 4th = project pushes debt above benchmark)</t>
  </si>
  <si>
    <t xml:space="preserve">PROJECT-LEVEL FISCAL EXPOSURE SCREENING RESULT</t>
  </si>
  <si>
    <t xml:space="preserve">27 SCENARIOS — Case table, stress parameters and effective levers</t>
  </si>
  <si>
    <t xml:space="preserve">Cases are mutually exclusive; stresses are additive toggles (01_CONTROL_PANEL). Snapshot table filled by tools/run_snapshots.py</t>
  </si>
  <si>
    <t xml:space="preserve">Case parameter</t>
  </si>
  <si>
    <t xml:space="preserve">Base</t>
  </si>
  <si>
    <t xml:space="preserve">Low</t>
  </si>
  <si>
    <t xml:space="preserve">High</t>
  </si>
  <si>
    <t xml:space="preserve">Note</t>
  </si>
  <si>
    <t xml:space="preserve">Hydrology (flow) factor</t>
  </si>
  <si>
    <t xml:space="preserve">Applies to all years</t>
  </si>
  <si>
    <t xml:space="preserve">CAPEX factor</t>
  </si>
  <si>
    <t xml:space="preserve">Demand growth adjustment (added to each segment)</t>
  </si>
  <si>
    <t xml:space="preserve">pp</t>
  </si>
  <si>
    <t xml:space="preserve">OPEX factor</t>
  </si>
  <si>
    <t xml:space="preserve">STRESS PARAMETERS (applied only when the toggle is ON)</t>
  </si>
  <si>
    <t xml:space="preserve">Drought: flow factor during drought window</t>
  </si>
  <si>
    <t xml:space="preserve">Kariba 2024 allocation cut ~47% (news) [CL-04]; calibrate to the basin's worst sequence</t>
  </si>
  <si>
    <t xml:space="preserve">Drought: first operating year affected</t>
  </si>
  <si>
    <t xml:space="preserve">op yr</t>
  </si>
  <si>
    <t xml:space="preserve">Drought: duration</t>
  </si>
  <si>
    <t xml:space="preserve">Multi-year droughts occurred at Kariba (see case library)</t>
  </si>
  <si>
    <t xml:space="preserve">Ansar et al. 2014: median real overrun +27%, mean +96% [HY-08]</t>
  </si>
  <si>
    <t xml:space="preserve">Ansar et al. 2014: mean schedule overrun 2.3 yrs, median 1.7 [HY-08]</t>
  </si>
  <si>
    <t xml:space="preserve">Low demand: demand level factor</t>
  </si>
  <si>
    <t xml:space="preserve">Offtaker stress: fall in collection rate (from COD)</t>
  </si>
  <si>
    <t xml:space="preserve">Offtaker stress: cut in government transfers to utility (from COD)</t>
  </si>
  <si>
    <t xml:space="preserve">Offtaker stress: retail tariff freeze from COD</t>
  </si>
  <si>
    <t xml:space="preserve">Nominal freeze, then indexation resumes (level not recovered)</t>
  </si>
  <si>
    <t xml:space="preserve">FX stress: one-off step devaluation (NVL per USD rises by)</t>
  </si>
  <si>
    <t xml:space="preserve">Step at plant COD, on top of trend; cf. recent large devaluations in SSA</t>
  </si>
  <si>
    <t xml:space="preserve">High interest: add-on to commercial rate</t>
  </si>
  <si>
    <t xml:space="preserve">% abs</t>
  </si>
  <si>
    <t xml:space="preserve">Concessional debt assumed fixed-rate</t>
  </si>
  <si>
    <t xml:space="preserve">Climate trend on mean flows</t>
  </si>
  <si>
    <t xml:space="preserve">% / decade</t>
  </si>
  <si>
    <t xml:space="preserve">Illustrative; must come from basin-specific climate study</t>
  </si>
  <si>
    <t xml:space="preserve">EFFECTIVE LEVERS USED BY THE ENGINE</t>
  </si>
  <si>
    <t xml:space="preserve">Effective flow factor</t>
  </si>
  <si>
    <t xml:space="preserve">Effective CAPEX factor</t>
  </si>
  <si>
    <t xml:space="preserve">Effective construction delay</t>
  </si>
  <si>
    <t xml:space="preserve">Demand growth adjustment</t>
  </si>
  <si>
    <t xml:space="preserve">Demand level factor</t>
  </si>
  <si>
    <t xml:space="preserve">Collection-rate adjustment</t>
  </si>
  <si>
    <t xml:space="preserve">Government transfer factor</t>
  </si>
  <si>
    <t xml:space="preserve">Retail tariff freeze</t>
  </si>
  <si>
    <t xml:space="preserve">FX trend depreciation</t>
  </si>
  <si>
    <t xml:space="preserve">FX step devaluation at COD</t>
  </si>
  <si>
    <t xml:space="preserve">Commercial rate add-on</t>
  </si>
  <si>
    <t xml:space="preserve">Climate trend</t>
  </si>
  <si>
    <t xml:space="preserve">%/decade</t>
  </si>
  <si>
    <t xml:space="preserve">Tariff factor</t>
  </si>
  <si>
    <t xml:space="preserve">28 SENSITIVITY — Live closed-form LCOE tornado + full-engine snapshot</t>
  </si>
  <si>
    <t xml:space="preserve">Live section recalculates instantly; snapshot section is generated by tools/run_snapshots.py</t>
  </si>
  <si>
    <t xml:space="preserve">A. LIVE LCOE TORNADO (screening: real annuity on plant CAPEX, P50, discount rate)</t>
  </si>
  <si>
    <t xml:space="preserve">Base capital (funding base + IDC)</t>
  </si>
  <si>
    <t xml:space="preserve">Screening LCOE — base</t>
  </si>
  <si>
    <t xml:space="preserve">Driver</t>
  </si>
  <si>
    <t xml:space="preserve">Flex</t>
  </si>
  <si>
    <t xml:space="preserve">LCOE low</t>
  </si>
  <si>
    <t xml:space="preserve">LCOE high</t>
  </si>
  <si>
    <t xml:space="preserve">Swing</t>
  </si>
  <si>
    <t xml:space="preserve">CAPEX ±20%</t>
  </si>
  <si>
    <t xml:space="preserve">Generation ±10%</t>
  </si>
  <si>
    <t xml:space="preserve">Discount rate ±2pp</t>
  </si>
  <si>
    <t xml:space="preserve">OPEX ±20%</t>
  </si>
  <si>
    <t xml:space="preserve">Delivered share (curtailment 0-15%)</t>
  </si>
  <si>
    <t xml:space="preserve">Closed-form screening: ignores tax, financing structure and timing. Use full-engine snapshot for financing metrics.</t>
  </si>
  <si>
    <t xml:space="preserve">29 RISK ALLOCATION — Who bears each risk, and can it be contractually mitigated?</t>
  </si>
  <si>
    <t xml:space="preserve">P = primary bearer, S = shares risk, blank = none. Indicative allocation for the selected PPP/IPP structure (fictional).</t>
  </si>
  <si>
    <t xml:space="preserve">Risk</t>
  </si>
  <si>
    <t xml:space="preserve">Government</t>
  </si>
  <si>
    <t xml:space="preserve">Developer</t>
  </si>
  <si>
    <t xml:space="preserve">EPC</t>
  </si>
  <si>
    <t xml:space="preserve">Lender</t>
  </si>
  <si>
    <t xml:space="preserve">Utility</t>
  </si>
  <si>
    <t xml:space="preserve">Consumer</t>
  </si>
  <si>
    <t xml:space="preserve">Insurer</t>
  </si>
  <si>
    <t xml:space="preserve">DFI</t>
  </si>
  <si>
    <t xml:space="preserve">Contractually mitigable?</t>
  </si>
  <si>
    <t xml:space="preserve">Main instruments</t>
  </si>
  <si>
    <t xml:space="preserve">Model link</t>
  </si>
  <si>
    <t xml:space="preserve">Hydrology</t>
  </si>
  <si>
    <t xml:space="preserve">P</t>
  </si>
  <si>
    <t xml:space="preserve">S</t>
  </si>
  <si>
    <t xml:space="preserve">Partial</t>
  </si>
  <si>
    <t xml:space="preserve">Energy-only exposure via two-part tariff; DSRA; P90 sizing; hydrology reserve; parametric drought cover (where available)</t>
  </si>
  <si>
    <t xml:space="preserve">03/04, st_drought</t>
  </si>
  <si>
    <t xml:space="preserve">Construction (geology, quality)</t>
  </si>
  <si>
    <t xml:space="preserve">Yes (largely)</t>
  </si>
  <si>
    <t xml:space="preserve">Fixed-price date-certain EPC, LDs, performance bonds, CAR insurance, geotechnical baseline report</t>
  </si>
  <si>
    <t xml:space="preserve">05/06</t>
  </si>
  <si>
    <t xml:space="preserve">Cost overrun</t>
  </si>
  <si>
    <t xml:space="preserve">Contingency, standby debt/equity, sponsor completion support; unforeseen geology often reverts to owner</t>
  </si>
  <si>
    <t xml:space="preserve">st_capex</t>
  </si>
  <si>
    <t xml:space="preserve">Delay</t>
  </si>
  <si>
    <t xml:space="preserve">Delay LDs, DSU insurance, IDC contingency</t>
  </si>
  <si>
    <t xml:space="preserve">st_delay</t>
  </si>
  <si>
    <t xml:space="preserve">Demand</t>
  </si>
  <si>
    <t xml:space="preserve">Take-or-pay / deemed energy shifts risk to utility → ultimately government/consumers</t>
  </si>
  <si>
    <t xml:space="preserve">10, st_demand</t>
  </si>
  <si>
    <t xml:space="preserve">Offtaker payment</t>
  </si>
  <si>
    <t xml:space="preserve">LC/escrow, liquidity facility, sovereign guarantee, PRG, MIGA NHSFO, utility recovery plan</t>
  </si>
  <si>
    <t xml:space="preserve">12, st_offtaker</t>
  </si>
  <si>
    <t xml:space="preserve">Tariff / regulatory reset</t>
  </si>
  <si>
    <t xml:space="preserve">Yes</t>
  </si>
  <si>
    <t xml:space="preserve">PPA tariff fixed by contract; regulator approval of pass-through</t>
  </si>
  <si>
    <t xml:space="preserve">13/14</t>
  </si>
  <si>
    <t xml:space="preserve">FX</t>
  </si>
  <si>
    <t xml:space="preserve">USD tariff (moves risk to utility), FX convertibility undertaking, local-currency debt tranche</t>
  </si>
  <si>
    <t xml:space="preserve">st_fx</t>
  </si>
  <si>
    <t xml:space="preserve">Interest rate</t>
  </si>
  <si>
    <t xml:space="preserve">Fixed-rate DFI loans, swaps, concessional fixed-rate tranches</t>
  </si>
  <si>
    <t xml:space="preserve">st_rate</t>
  </si>
  <si>
    <t xml:space="preserve">Political</t>
  </si>
  <si>
    <t xml:space="preserve">Yes (insurable)</t>
  </si>
  <si>
    <t xml:space="preserve">MIGA/ATI political risk insurance, PRG, stabilisation, arbitration</t>
  </si>
  <si>
    <t xml:space="preserve">23</t>
  </si>
  <si>
    <t xml:space="preserve">Regulatory / change in law</t>
  </si>
  <si>
    <t xml:space="preserve">Change-in-law compensation in PPA/IA</t>
  </si>
  <si>
    <t xml:space="preserve">13</t>
  </si>
  <si>
    <t xml:space="preserve">Transmission</t>
  </si>
  <si>
    <t xml:space="preserve">Interface agreement, deemed energy, parallel financing of line, transmission PPP</t>
  </si>
  <si>
    <t xml:space="preserve">08/09, st_trans</t>
  </si>
  <si>
    <t xml:space="preserve">Grid stability / curtailment</t>
  </si>
  <si>
    <t xml:space="preserve">Grid code compliance, deemed energy, dispatch rules</t>
  </si>
  <si>
    <t xml:space="preserve">09</t>
  </si>
  <si>
    <t xml:space="preserve">Environmental &amp; social</t>
  </si>
  <si>
    <t xml:space="preserve">ESIA/ESMP to lender standards, RAP budget, independent monitoring, e-flow covenants</t>
  </si>
  <si>
    <t xml:space="preserve">13 (Gate 9)</t>
  </si>
  <si>
    <t xml:space="preserve">Insurance; FM relief; extension of term</t>
  </si>
  <si>
    <t xml:space="preserve">14</t>
  </si>
  <si>
    <t xml:space="preserve">Termination</t>
  </si>
  <si>
    <t xml:space="preserve">Yes (defines liability)</t>
  </si>
  <si>
    <t xml:space="preserve">Termination payment formulae; buy-out; step-in rights</t>
  </si>
  <si>
    <t xml:space="preserve">23 x_term</t>
  </si>
  <si>
    <t xml:space="preserve">Risks where Government is primary bearer</t>
  </si>
  <si>
    <t xml:space="preserve">Risks where Utility is primary bearer</t>
  </si>
  <si>
    <t xml:space="preserve">Allocation reflects a generic risk-matrix logic for discussion; actual allocation depends on negotiated contracts. Not legal advice.</t>
  </si>
  <si>
    <t xml:space="preserve">30 BANKABILITY — Hydropower Bankability Framework™ (9 gates, weakest-link, auditable thresholds)</t>
  </si>
  <si>
    <t xml:space="preserve">Score: 3 READY, 2 CONDITIONAL, 1 DEVELOPMENT GAP, 0 CRITICAL GAP. Gate status = weakest test. Thresholds are illustrative and editable.</t>
  </si>
  <si>
    <t xml:space="preserve">Gate / test</t>
  </si>
  <si>
    <t xml:space="preserve">Direction</t>
  </si>
  <si>
    <t xml:space="preserve">READY if</t>
  </si>
  <si>
    <t xml:space="preserve">COND. if</t>
  </si>
  <si>
    <t xml:space="preserve">DEV. GAP if</t>
  </si>
  <si>
    <t xml:space="preserve">Score</t>
  </si>
  <si>
    <t xml:space="preserve">Source / logic</t>
  </si>
  <si>
    <t xml:space="preserve">GATE 1 — RESOURCE</t>
  </si>
  <si>
    <t xml:space="preserve">   Reliable flow record (years)</t>
  </si>
  <si>
    <t xml:space="preserve">H</t>
  </si>
  <si>
    <t xml:space="preserve">03_HYDROLOGY</t>
  </si>
  <si>
    <t xml:space="preserve">   P90 / P50 energy ratio</t>
  </si>
  <si>
    <t xml:space="preserve">   Hydrology study maturity (1-3)</t>
  </si>
  <si>
    <t xml:space="preserve">GATE 2 — DEMAND</t>
  </si>
  <si>
    <t xml:space="preserve">   Bankable / contracted demand, worst of op yrs 1-5</t>
  </si>
  <si>
    <t xml:space="preserve">10_DEMAND</t>
  </si>
  <si>
    <t xml:space="preserve">   Project share of system peak at COD</t>
  </si>
  <si>
    <t xml:space="preserve">L</t>
  </si>
  <si>
    <t xml:space="preserve">09_GRID</t>
  </si>
  <si>
    <t xml:space="preserve">GATE 3 — CONFIGURATION</t>
  </si>
  <si>
    <t xml:space="preserve">   Unit CAPEX / benchmark</t>
  </si>
  <si>
    <t xml:space="preserve">05_PLANT_CAPEX</t>
  </si>
  <si>
    <t xml:space="preserve">   Capacity factor (P50)</t>
  </si>
  <si>
    <t xml:space="preserve">   Feasibility maturity (1-3)</t>
  </si>
  <si>
    <t xml:space="preserve">GATE 4 — TRANSMISSION</t>
  </si>
  <si>
    <t xml:space="preserve">   Evacuation capacity at COD / installed</t>
  </si>
  <si>
    <t xml:space="preserve">   Transmission lag behind plant COD (years)</t>
  </si>
  <si>
    <t xml:space="preserve">08_TRANSMISSION</t>
  </si>
  <si>
    <t xml:space="preserve">   Transmission financing secured (1/0)</t>
  </si>
  <si>
    <t xml:space="preserve">GATE 5 — OFFTAKER / UTILITY</t>
  </si>
  <si>
    <t xml:space="preserve">   Utility payment capacity / PPA payment, worst of op yrs 1-10</t>
  </si>
  <si>
    <t xml:space="preserve">12_UTILITY</t>
  </si>
  <si>
    <t xml:space="preserve">   Utility collection rate</t>
  </si>
  <si>
    <t xml:space="preserve">   Payment security (months of billing)</t>
  </si>
  <si>
    <t xml:space="preserve">11_OFFTAKER</t>
  </si>
  <si>
    <t xml:space="preserve">GATE 6 — REGULATION / PPA</t>
  </si>
  <si>
    <t xml:space="preserve">   Regulatory items at CRITICAL GAP</t>
  </si>
  <si>
    <t xml:space="preserve">13_REGULATION</t>
  </si>
  <si>
    <t xml:space="preserve">   Regulatory items at GAP</t>
  </si>
  <si>
    <t xml:space="preserve">   Fixed (capacity) share of revenue</t>
  </si>
  <si>
    <t xml:space="preserve">16_REVENUE</t>
  </si>
  <si>
    <t xml:space="preserve">GATE 7 — FINANCING</t>
  </si>
  <si>
    <t xml:space="preserve">   Minimum DSCR, actual case</t>
  </si>
  <si>
    <t xml:space="preserve">20_CASH_FLOW</t>
  </si>
  <si>
    <t xml:space="preserve">   Financing gap / total uses</t>
  </si>
  <si>
    <t xml:space="preserve">17_PROJECT_FINANCE</t>
  </si>
  <si>
    <t xml:space="preserve">   Private equity IRR vs target (n/a = met)</t>
  </si>
  <si>
    <t xml:space="preserve">19_EQUITY</t>
  </si>
  <si>
    <t xml:space="preserve">GATE 8 — PUBLIC FINANCE</t>
  </si>
  <si>
    <t xml:space="preserve">   Peak annual government cash requirement / revenue</t>
  </si>
  <si>
    <t xml:space="preserve">26_DEBT_SUSTAINABILITY</t>
  </si>
  <si>
    <t xml:space="preserve">   Peak contingent exposure / GDP</t>
  </si>
  <si>
    <t xml:space="preserve">24/26</t>
  </si>
  <si>
    <t xml:space="preserve">   Peak on-budget increment / GDP (direct debt, outlays, SOE arrears)</t>
  </si>
  <si>
    <t xml:space="preserve">   Consolidated fiscal NPV (incl. state utility) / GDP</t>
  </si>
  <si>
    <t xml:space="preserve">25_FISCAL_IMPACT</t>
  </si>
  <si>
    <t xml:space="preserve">   Country DSA risk rating (1-4)</t>
  </si>
  <si>
    <t xml:space="preserve">GATE 9 — E&amp;S / SUSTAINABILITY</t>
  </si>
  <si>
    <t xml:space="preserve">   ESIA &amp; lender-standard compliance (1-3)</t>
  </si>
  <si>
    <t xml:space="preserve">   Resettlement plan status (1-3)</t>
  </si>
  <si>
    <t xml:space="preserve">   Transboundary / riparian issues (1-3)</t>
  </si>
  <si>
    <t xml:space="preserve">GATE SUMMARY &amp; RANKING (tie-break: gate order)</t>
  </si>
  <si>
    <t xml:space="preserve">Gate</t>
  </si>
  <si>
    <t xml:space="preserve">Rank key</t>
  </si>
  <si>
    <t xml:space="preserve">Action</t>
  </si>
  <si>
    <t xml:space="preserve">Lowest gate score</t>
  </si>
  <si>
    <t xml:space="preserve">Gates at CRITICAL GAP</t>
  </si>
  <si>
    <t xml:space="preserve">Gates at DEVELOPMENT GAP</t>
  </si>
  <si>
    <t xml:space="preserve">OVERALL VERDICT</t>
  </si>
  <si>
    <t xml:space="preserve">Methodology: each test maps a metric to a status using three explicit thresholds. A gate's status is its weakest test (no averaging, no hidden weights). Thresholds are illustrative screening values chosen by the model author; calibrate them to lender term sheets, IMF/WB guidance and the project's context.</t>
  </si>
  <si>
    <t xml:space="preserve">31 CASE STUDY — Fictional reference project vs public benchmark cases</t>
  </si>
  <si>
    <t xml:space="preserve">Benchmarks only from public sources (see research/). 'PUBLIC DATA NOT FOUND' where not verified.</t>
  </si>
  <si>
    <t xml:space="preserve">Project</t>
  </si>
  <si>
    <t xml:space="preserve">Reported cost (as published)</t>
  </si>
  <si>
    <t xml:space="preserve">Cost used (USDm, nominal)</t>
  </si>
  <si>
    <t xml:space="preserve">USD/kW (nominal, unadjusted)</t>
  </si>
  <si>
    <t xml:space="preserve">Overrun / delay</t>
  </si>
  <si>
    <t xml:space="preserve">Credit support</t>
  </si>
  <si>
    <t xml:space="preserve">Lesson (analyst inference)</t>
  </si>
  <si>
    <t xml:space="preserve">Source (research/ file &amp; IDs)</t>
  </si>
  <si>
    <t xml:space="preserve">Nachtigal</t>
  </si>
  <si>
    <t xml:space="preserve">Cameroon</t>
  </si>
  <si>
    <t xml:space="preserve">IPP/PPP, IFC-led DFI debt</t>
  </si>
  <si>
    <t xml:space="preserve">EUR 1.2bn; US$1,383m per World Bank PAD</t>
  </si>
  <si>
    <t xml:space="preserve">FC Nov 2018; plan 5 yrs; full COD slipped to Dec 2024 / 2025</t>
  </si>
  <si>
    <t xml:space="preserve">COD ~1-2 yrs late; defects found by regulator 2023</t>
  </si>
  <si>
    <t xml:space="preserve">IBRD payment guarantee EUR 86m + loan guarantee EUR 171m; MIGA; 75:25 debt:equity</t>
  </si>
  <si>
    <t xml:space="preserve">Guarantees move payment risk to the sovereign via indemnities</t>
  </si>
  <si>
    <t xml:space="preserve">africa_part2 S1-S6; source_database PF-11</t>
  </si>
  <si>
    <t xml:space="preserve">Bujagali</t>
  </si>
  <si>
    <t xml:space="preserve">Uganda</t>
  </si>
  <si>
    <t xml:space="preserve">IPP + IDA PRG</t>
  </si>
  <si>
    <t xml:space="preserve">US$582m (2001) → 799m (2007) → 862m (2012)</t>
  </si>
  <si>
    <t xml:space="preserve">c.2007-2012</t>
  </si>
  <si>
    <t xml:space="preserve">+48% vs 2001 design (re-procurement, escalation)</t>
  </si>
  <si>
    <t xml:space="preserve">IDA PRG US$115m with sovereign indemnity; MIGA US$115m; liquidity facility</t>
  </si>
  <si>
    <t xml:space="preserve">Short tenor front-loaded tariff; 2018 refinancing cost the state a tax waiver</t>
  </si>
  <si>
    <t xml:space="preserve">africa_part2 S48-S54</t>
  </si>
  <si>
    <t xml:space="preserve">Bui</t>
  </si>
  <si>
    <t xml:space="preserve">Ghana</t>
  </si>
  <si>
    <t xml:space="preserve">Public (BPA), China Exim, cocoa escrow</t>
  </si>
  <si>
    <t xml:space="preserve">US$622m → 790m (2012 review)</t>
  </si>
  <si>
    <t xml:space="preserve">COD Dec 2013</t>
  </si>
  <si>
    <t xml:space="preserve">+US$168m (+27%)</t>
  </si>
  <si>
    <t xml:space="preserve">China Exim tranches secured on cocoa export escrow</t>
  </si>
  <si>
    <t xml:space="preserve">Commodity escrow can substitute for a weak offtaker; utility arrears persist</t>
  </si>
  <si>
    <t xml:space="preserve">africa_part1 S38-S43</t>
  </si>
  <si>
    <t xml:space="preserve">Kafue Gorge Lower</t>
  </si>
  <si>
    <t xml:space="preserve">Zambia</t>
  </si>
  <si>
    <t xml:space="preserve">State-owned, sovereign-guaranteed Chinese debt</t>
  </si>
  <si>
    <t xml:space="preserve">US$2.0bn incl. US$312m capitalised interest</t>
  </si>
  <si>
    <t xml:space="preserve">Nov 2015 → full COD Mar 2023</t>
  </si>
  <si>
    <t xml:space="preserve">from US$1.48bn; ~3 yrs late</t>
  </si>
  <si>
    <t xml:space="preserve">Sovereign guarantee; ZESCO arrears entered sovereign DSA</t>
  </si>
  <si>
    <t xml:space="preserve">Utility liabilities migrate onto sovereign balance sheet</t>
  </si>
  <si>
    <t xml:space="preserve">africa_part1 S57-S60; source_database DB-03</t>
  </si>
  <si>
    <t xml:space="preserve">Isimba</t>
  </si>
  <si>
    <t xml:space="preserve">Public, 85% China Exim / 15% GoU</t>
  </si>
  <si>
    <t xml:space="preserve">US$567.7m</t>
  </si>
  <si>
    <t xml:space="preserve">Apr 2015 → Mar 2019</t>
  </si>
  <si>
    <t xml:space="preserve">~7 months late; ~700 defects reported</t>
  </si>
  <si>
    <t xml:space="preserve">Sovereign borrower</t>
  </si>
  <si>
    <t xml:space="preserve">Fast state finance ≠ quality; owner's engineer matters</t>
  </si>
  <si>
    <t xml:space="preserve">africa_part2 S34-S35</t>
  </si>
  <si>
    <t xml:space="preserve">Karuma</t>
  </si>
  <si>
    <t xml:space="preserve">US$1.7bn</t>
  </si>
  <si>
    <t xml:space="preserve">Contract 2013 (5 yrs) → COD Jun 2024</t>
  </si>
  <si>
    <t xml:space="preserve">~5-6 yrs late</t>
  </si>
  <si>
    <t xml:space="preserve">Delay cost borne by state utility (capitalised interest)</t>
  </si>
  <si>
    <t xml:space="preserve">africa_part2 S40-S42</t>
  </si>
  <si>
    <t xml:space="preserve">Julius Nyerere (Rufiji)</t>
  </si>
  <si>
    <t xml:space="preserve">Tanzania</t>
  </si>
  <si>
    <t xml:space="preserve">100% state budget</t>
  </si>
  <si>
    <t xml:space="preserve">US$2.8-2.9bn (TZS 6.5-7.45tn)</t>
  </si>
  <si>
    <t xml:space="preserve">Construction 2019 → 2025/26 (42-month EPC)</t>
  </si>
  <si>
    <t xml:space="preserve">~3 yrs late; estimate rose TZS 6.5 → 7.45tn</t>
  </si>
  <si>
    <t xml:space="preserve">None (budget-funded)</t>
  </si>
  <si>
    <t xml:space="preserve">Creates surplus over peak; depends on exports/demand growth</t>
  </si>
  <si>
    <t xml:space="preserve">africa_part2 S30-S32</t>
  </si>
  <si>
    <t xml:space="preserve">Rusumo Falls</t>
  </si>
  <si>
    <t xml:space="preserve">Rwanda/Tanzania/Burundi</t>
  </si>
  <si>
    <t xml:space="preserve">Regional public, IDA-financed</t>
  </si>
  <si>
    <t xml:space="preserve">US$468.9m project cost</t>
  </si>
  <si>
    <t xml:space="preserve">Approval 2013 → COD Feb 2025</t>
  </si>
  <si>
    <t xml:space="preserve">Civil works +47%; resettlement cost doubled</t>
  </si>
  <si>
    <t xml:space="preserve">IDA grants/credits; transmission parallel-financed AfDB/EU</t>
  </si>
  <si>
    <t xml:space="preserve">Multi-country transmission &amp; PPAs gate the revenue</t>
  </si>
  <si>
    <t xml:space="preserve">africa_part2 S16-S18</t>
  </si>
  <si>
    <t xml:space="preserve">Mpatamanga</t>
  </si>
  <si>
    <t xml:space="preserve">Malawi</t>
  </si>
  <si>
    <t xml:space="preserve">PPP, storage + peaking</t>
  </si>
  <si>
    <t xml:space="preserve">US$1.5-1.64bn (estimate)</t>
  </si>
  <si>
    <t xml:space="preserve">Pre-construction; 5-yr build in 35-yr PPA</t>
  </si>
  <si>
    <t xml:space="preserve">Estimate grew from ~US$1bn (snippet)</t>
  </si>
  <si>
    <t xml:space="preserve">IDA PRG US$100m; MIGA US$180m; IDA grant US$350m to govt</t>
  </si>
  <si>
    <t xml:space="preserve">Heavy concessional layering to make tariff affordable</t>
  </si>
  <si>
    <t xml:space="preserve">africa_part2 S26-S29</t>
  </si>
  <si>
    <t xml:space="preserve">Ruzizi III</t>
  </si>
  <si>
    <t xml:space="preserve">DRC/Rwanda/Burundi</t>
  </si>
  <si>
    <t xml:space="preserve">Regional PPP (stalled)</t>
  </si>
  <si>
    <t xml:space="preserve">US$760m</t>
  </si>
  <si>
    <t xml:space="preserve">Target 2030 before conflict pause</t>
  </si>
  <si>
    <t xml:space="preserve">Stalled since c.2009</t>
  </si>
  <si>
    <t xml:space="preserve">IFIs ~60% expected; EIB lead arranger</t>
  </si>
  <si>
    <t xml:space="preserve">Multi-state &amp; conflict risk prevents close</t>
  </si>
  <si>
    <t xml:space="preserve">africa_part2 S20-S25</t>
  </si>
  <si>
    <t xml:space="preserve">GERD</t>
  </si>
  <si>
    <t xml:space="preserve">Ethiopia</t>
  </si>
  <si>
    <t xml:space="preserve">State, domestically financed</t>
  </si>
  <si>
    <t xml:space="preserve">≈US$5bn (budget US$4.8bn)</t>
  </si>
  <si>
    <t xml:space="preserve">2011 → inauguration Sep 2025</t>
  </si>
  <si>
    <t xml:space="preserve">~14-yr build</t>
  </si>
  <si>
    <t xml:space="preserve">Domestic bonds/budget; no MDB finance</t>
  </si>
  <si>
    <t xml:space="preserve">Transboundary disputes; low cost/kW but very long build</t>
  </si>
  <si>
    <t xml:space="preserve">africa_part1 S1-S6</t>
  </si>
  <si>
    <t xml:space="preserve">Gibe III</t>
  </si>
  <si>
    <t xml:space="preserve">State, ICBC-financed EPC</t>
  </si>
  <si>
    <t xml:space="preserve">EUR 1.47-1.55bn</t>
  </si>
  <si>
    <t xml:space="preserve">Inaugurated Dec 2016</t>
  </si>
  <si>
    <t xml:space="preserve">PUBLIC DATA NOT FOUND</t>
  </si>
  <si>
    <t xml:space="preserve">ICBC loan after MDBs withdrew</t>
  </si>
  <si>
    <t xml:space="preserve">Procurement governance drives lender eligibility</t>
  </si>
  <si>
    <t xml:space="preserve">africa_part1 S53-S55</t>
  </si>
  <si>
    <t xml:space="preserve">Nam Theun 2 (intl.)</t>
  </si>
  <si>
    <t xml:space="preserve">Lao PDR</t>
  </si>
  <si>
    <t xml:space="preserve">Export IPP, MDB-guaranteed</t>
  </si>
  <si>
    <t xml:space="preserve">US$1.25bn base + US$200m contingency</t>
  </si>
  <si>
    <t xml:space="preserve">FC Jun 2005 → COD Apr 2010 (snippet)</t>
  </si>
  <si>
    <t xml:space="preserve">Turnkey price-capped EPC; overrun PUBLIC DATA NOT FOUND</t>
  </si>
  <si>
    <t xml:space="preserve">IDA &amp; ADB PRGs, MIGA (~US$186m debt covered); EGAT take-or-pay PPA</t>
  </si>
  <si>
    <t xml:space="preserve">Creditworthy export offtaker, not the local utility, underpinned bankability</t>
  </si>
  <si>
    <t xml:space="preserve">international_benchmarks S9-S13</t>
  </si>
  <si>
    <t xml:space="preserve">Upper Trishuli-1 (intl.)</t>
  </si>
  <si>
    <t xml:space="preserve">Nepal</t>
  </si>
  <si>
    <t xml:space="preserve">DFI-led domestic IPP</t>
  </si>
  <si>
    <t xml:space="preserve">US$647.4m</t>
  </si>
  <si>
    <t xml:space="preserve">Completion slipped 2024 → Dec 2026 (snippet)</t>
  </si>
  <si>
    <t xml:space="preserve">~2 yrs</t>
  </si>
  <si>
    <t xml:space="preserve">DFI debt ~70%</t>
  </si>
  <si>
    <t xml:space="preserve">Domestic-utility IPP needs layered DFI risk cover</t>
  </si>
  <si>
    <t xml:space="preserve">international_benchmarks S15-S19</t>
  </si>
  <si>
    <t xml:space="preserve">Reventazón (intl.)</t>
  </si>
  <si>
    <t xml:space="preserve">Costa Rica</t>
  </si>
  <si>
    <t xml:space="preserve">Utility trust &amp; lease, project bond</t>
  </si>
  <si>
    <t xml:space="preserve">US$1.4bn</t>
  </si>
  <si>
    <t xml:space="preserve">FC Jan 2014 → inaugurated Sep 2016 (snippet)</t>
  </si>
  <si>
    <t xml:space="preserve">Post-COD spillway repairs ~US$15m</t>
  </si>
  <si>
    <t xml:space="preserve">Trust owns plant, leased to ICE; IDB A-loan, IFC, IG-rated bond, local-currency bank debt</t>
  </si>
  <si>
    <t xml:space="preserve">Off-balance-sheet form, but risk remains with the state utility</t>
  </si>
  <si>
    <t xml:space="preserve">international_benchmarks S20-S23</t>
  </si>
  <si>
    <t xml:space="preserve">Lumora Falls (FICTIONAL reference)</t>
  </si>
  <si>
    <t xml:space="preserve">Navaria (fictional)</t>
  </si>
  <si>
    <t xml:space="preserve">Model: plant CAPEX nominal</t>
  </si>
  <si>
    <t xml:space="preserve">Median USD/kW of benchmark cases with USD cost (nominal, unadjusted)</t>
  </si>
  <si>
    <t xml:space="preserve">Lumora Falls / median</t>
  </si>
  <si>
    <t xml:space="preserve">Costs are as published, in nominal currency of the year reported, with different scopes (some include IDC, transmission, resettlement). Unit costs are NOT price- or scope-adjusted and are indicative only. Full field-by-field case files (A-AD) incl. 'PUBLIC DATA NOT FOUND' entries are in research/case_studies/. EUR costs not converted (n/a).</t>
  </si>
  <si>
    <t xml:space="preserve">32 DASHBOARD — Can this project deliver bankable power without unsustainable public liabilities?</t>
  </si>
  <si>
    <t xml:space="preserve">PROJECT STATUS</t>
  </si>
  <si>
    <t xml:space="preserve">FINANCIAL</t>
  </si>
  <si>
    <t xml:space="preserve">Installed capacity (MW)</t>
  </si>
  <si>
    <t xml:space="preserve">Project IRR</t>
  </si>
  <si>
    <t xml:space="preserve">P50 generation (GWh/yr)</t>
  </si>
  <si>
    <t xml:space="preserve">Capacity factor (P50)</t>
  </si>
  <si>
    <t xml:space="preserve">Project NPV (USDm)</t>
  </si>
  <si>
    <t xml:space="preserve">Plant CAPEX real 2026 (USDm)</t>
  </si>
  <si>
    <t xml:space="preserve">Minimum DSCR</t>
  </si>
  <si>
    <t xml:space="preserve">Unit CAPEX (USD/kW, base)</t>
  </si>
  <si>
    <t xml:space="preserve">Average DSCR</t>
  </si>
  <si>
    <t xml:space="preserve">COD</t>
  </si>
  <si>
    <t xml:space="preserve">LLCR</t>
  </si>
  <si>
    <t xml:space="preserve">Blended PPA tariff, op yr 2 (USD/MWh)</t>
  </si>
  <si>
    <t xml:space="preserve">Senior debt capacity (USDm)</t>
  </si>
  <si>
    <t xml:space="preserve">LCOE plant (USD/MWh)</t>
  </si>
  <si>
    <t xml:space="preserve">Senior debt raised (USDm)</t>
  </si>
  <si>
    <t xml:space="preserve">LCOE delivered system (USD/MWh)</t>
  </si>
  <si>
    <t xml:space="preserve">Financing gap (USDm)</t>
  </si>
  <si>
    <t xml:space="preserve">POWER SYSTEM</t>
  </si>
  <si>
    <t xml:space="preserve">UTILITY</t>
  </si>
  <si>
    <t xml:space="preserve">Transmission readiness gap (years)</t>
  </si>
  <si>
    <t xml:space="preserve">Utility EBITDA op yr 2 (USDm)</t>
  </si>
  <si>
    <t xml:space="preserve">Evacuation capacity at COD (MW)</t>
  </si>
  <si>
    <t xml:space="preserve">Project share of system peak at COD</t>
  </si>
  <si>
    <t xml:space="preserve">Receivable days op yr 2</t>
  </si>
  <si>
    <t xml:space="preserve">Bankable/contracted demand (worst yr 1-5)</t>
  </si>
  <si>
    <t xml:space="preserve">Payment capacity / PPA (worst yr 1-10)</t>
  </si>
  <si>
    <t xml:space="preserve">Lifetime curtailment (GWh)</t>
  </si>
  <si>
    <t xml:space="preserve">Lifetime offtaker payment gap (USDm)</t>
  </si>
  <si>
    <t xml:space="preserve">Deemed energy paid (GWh)</t>
  </si>
  <si>
    <t xml:space="preserve">Unpaid arrears to IPP (USDm)</t>
  </si>
  <si>
    <t xml:space="preserve">PUBLIC FINANCE</t>
  </si>
  <si>
    <t xml:space="preserve">BANKABILITY GATES</t>
  </si>
  <si>
    <t xml:space="preserve">Government upfront contribution (USDm)</t>
  </si>
  <si>
    <t xml:space="preserve">Peak contingent exposure (USDm)</t>
  </si>
  <si>
    <t xml:space="preserve">PV expected loss (USDm, user probs)</t>
  </si>
  <si>
    <t xml:space="preserve">Fiscal NPV, central government (USDm)</t>
  </si>
  <si>
    <t xml:space="preserve">Consolidated fiscal NPV incl. utility (USDm)</t>
  </si>
  <si>
    <t xml:space="preserve">Peak annual cash need / revenue</t>
  </si>
  <si>
    <t xml:space="preserve">Screening result</t>
  </si>
  <si>
    <t xml:space="preserve">TOP 5 BANKABILITY GAPS</t>
  </si>
  <si>
    <t xml:space="preserve">TOP 5 ACTIONS BEFORE FINANCIAL CLOSE</t>
  </si>
  <si>
    <t xml:space="preserve">33 CHECKS — Model integrity</t>
  </si>
  <si>
    <t xml:space="preserve">All checks should read OK</t>
  </si>
  <si>
    <t xml:space="preserve">Sources = uses</t>
  </si>
  <si>
    <t xml:space="preserve">Construction funding balances every year</t>
  </si>
  <si>
    <t xml:space="preserve">CAPEX phasing sums to 100%</t>
  </si>
  <si>
    <t xml:space="preserve">Concessional debt fully repaid by end of term</t>
  </si>
  <si>
    <t xml:space="preserve">Commercial debt fully repaid by end of term</t>
  </si>
  <si>
    <t xml:space="preserve">Concessional repayment within concession</t>
  </si>
  <si>
    <t xml:space="preserve">Commercial tenor within concession</t>
  </si>
  <si>
    <t xml:space="preserve">Timeline fits model horizon</t>
  </si>
  <si>
    <t xml:space="preserve">Energy chain: delivered ≤ generation</t>
  </si>
  <si>
    <t xml:space="preserve">Unpaid amounts non-negative</t>
  </si>
  <si>
    <t xml:space="preserve">Commercial debt: no forced balloon in final year</t>
  </si>
  <si>
    <t xml:space="preserve">DSRA balance never negative</t>
  </si>
  <si>
    <t xml:space="preserve">Project-funded transmission fully funded (construction + CFADS)</t>
  </si>
  <si>
    <t xml:space="preserve">Structure check</t>
  </si>
  <si>
    <t xml:space="preserve">ALL CHECKS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</si>
</sst>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;\(0\);\-"/>
    <numFmt numFmtId="166" formatCode="0.0%;\(0.0%\);\-"/>
    <numFmt numFmtId="167" formatCode="0.00%;\(0.00%\);\-"/>
    <numFmt numFmtId="168" formatCode="0.00\x;\(0.00&quot;x)&quot;;\-"/>
    <numFmt numFmtId="169" formatCode="#,##0.0;\(#,##0.0\);\-"/>
    <numFmt numFmtId="170" formatCode="0"/>
    <numFmt numFmtId="171" formatCode="#,##0.00;\(#,##0.00\);\-"/>
    <numFmt numFmtId="172" formatCode="#,##0;\(#,##0\);\-"/>
    <numFmt numFmtId="173" formatCode="0.0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2F5597"/>
        <bgColor rgb="FF1F386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FF7C8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78787"/>
      <rgbColor rgb="FF9999FF"/>
      <rgbColor rgb="FFBE4B48"/>
      <rgbColor rgb="FFFFF2CC"/>
      <rgbColor rgb="FFE2EFDA"/>
      <rgbColor rgb="FF660066"/>
      <rgbColor rgb="FFFF7C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B9C"/>
      <rgbColor rgb="FF99CCFF"/>
      <rgbColor rgb="FFFF99CC"/>
      <rgbColor rgb="FFCC99FF"/>
      <rgbColor rgb="FFF8CBAD"/>
      <rgbColor rgb="FF4A7EBB"/>
      <rgbColor rgb="FF33CCCC"/>
      <rgbColor rgb="FF98B855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Energy: generation vs delivered (GWh)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"Generation"</c:f>
              <c:strCache>
                <c:ptCount val="1"/>
                <c:pt idx="0">
                  <c:v>Generation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04_GENERATION!$E$17:$AR$17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1415.99105106065</c:v>
                </c:pt>
                <c:pt idx="6">
                  <c:v>1665.87182477724</c:v>
                </c:pt>
                <c:pt idx="7">
                  <c:v>1665.87182477724</c:v>
                </c:pt>
                <c:pt idx="8">
                  <c:v>1665.87182477724</c:v>
                </c:pt>
                <c:pt idx="9">
                  <c:v>1665.87182477724</c:v>
                </c:pt>
                <c:pt idx="10">
                  <c:v>1665.87182477724</c:v>
                </c:pt>
                <c:pt idx="11">
                  <c:v>1665.87182477724</c:v>
                </c:pt>
                <c:pt idx="12">
                  <c:v>1665.87182477724</c:v>
                </c:pt>
                <c:pt idx="13">
                  <c:v>1665.87182477724</c:v>
                </c:pt>
                <c:pt idx="14">
                  <c:v>1665.87182477724</c:v>
                </c:pt>
                <c:pt idx="15">
                  <c:v>1665.87182477724</c:v>
                </c:pt>
                <c:pt idx="16">
                  <c:v>1665.87182477724</c:v>
                </c:pt>
                <c:pt idx="17">
                  <c:v>1665.87182477724</c:v>
                </c:pt>
                <c:pt idx="18">
                  <c:v>1665.87182477724</c:v>
                </c:pt>
                <c:pt idx="19">
                  <c:v>1665.87182477724</c:v>
                </c:pt>
                <c:pt idx="20">
                  <c:v>1665.87182477724</c:v>
                </c:pt>
                <c:pt idx="21">
                  <c:v>1665.87182477724</c:v>
                </c:pt>
                <c:pt idx="22">
                  <c:v>1665.87182477724</c:v>
                </c:pt>
                <c:pt idx="23">
                  <c:v>1665.87182477724</c:v>
                </c:pt>
                <c:pt idx="24">
                  <c:v>1665.87182477724</c:v>
                </c:pt>
                <c:pt idx="25">
                  <c:v>1665.87182477724</c:v>
                </c:pt>
                <c:pt idx="26">
                  <c:v>1665.87182477724</c:v>
                </c:pt>
                <c:pt idx="27">
                  <c:v>1665.87182477724</c:v>
                </c:pt>
                <c:pt idx="28">
                  <c:v>1665.87182477724</c:v>
                </c:pt>
                <c:pt idx="29">
                  <c:v>1665.87182477724</c:v>
                </c:pt>
                <c:pt idx="30">
                  <c:v>1665.87182477724</c:v>
                </c:pt>
                <c:pt idx="31">
                  <c:v>1665.87182477724</c:v>
                </c:pt>
                <c:pt idx="32">
                  <c:v>1665.87182477724</c:v>
                </c:pt>
                <c:pt idx="33">
                  <c:v>1665.87182477724</c:v>
                </c:pt>
                <c:pt idx="34">
                  <c:v>1665.87182477724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"Delivered"</c:f>
              <c:strCache>
                <c:ptCount val="1"/>
                <c:pt idx="0">
                  <c:v>Delivered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04_GENERATION!$E$20:$AR$20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1415.99105106065</c:v>
                </c:pt>
                <c:pt idx="6">
                  <c:v>1665.87182477724</c:v>
                </c:pt>
                <c:pt idx="7">
                  <c:v>1665.87182477724</c:v>
                </c:pt>
                <c:pt idx="8">
                  <c:v>1665.87182477724</c:v>
                </c:pt>
                <c:pt idx="9">
                  <c:v>1665.87182477724</c:v>
                </c:pt>
                <c:pt idx="10">
                  <c:v>1665.87182477724</c:v>
                </c:pt>
                <c:pt idx="11">
                  <c:v>1665.87182477724</c:v>
                </c:pt>
                <c:pt idx="12">
                  <c:v>1665.87182477724</c:v>
                </c:pt>
                <c:pt idx="13">
                  <c:v>1665.87182477724</c:v>
                </c:pt>
                <c:pt idx="14">
                  <c:v>1665.87182477724</c:v>
                </c:pt>
                <c:pt idx="15">
                  <c:v>1665.87182477724</c:v>
                </c:pt>
                <c:pt idx="16">
                  <c:v>1665.87182477724</c:v>
                </c:pt>
                <c:pt idx="17">
                  <c:v>1665.87182477724</c:v>
                </c:pt>
                <c:pt idx="18">
                  <c:v>1665.87182477724</c:v>
                </c:pt>
                <c:pt idx="19">
                  <c:v>1665.87182477724</c:v>
                </c:pt>
                <c:pt idx="20">
                  <c:v>1665.87182477724</c:v>
                </c:pt>
                <c:pt idx="21">
                  <c:v>1665.87182477724</c:v>
                </c:pt>
                <c:pt idx="22">
                  <c:v>1665.87182477724</c:v>
                </c:pt>
                <c:pt idx="23">
                  <c:v>1665.87182477724</c:v>
                </c:pt>
                <c:pt idx="24">
                  <c:v>1665.87182477724</c:v>
                </c:pt>
                <c:pt idx="25">
                  <c:v>1665.87182477724</c:v>
                </c:pt>
                <c:pt idx="26">
                  <c:v>1665.87182477724</c:v>
                </c:pt>
                <c:pt idx="27">
                  <c:v>1665.87182477724</c:v>
                </c:pt>
                <c:pt idx="28">
                  <c:v>1665.87182477724</c:v>
                </c:pt>
                <c:pt idx="29">
                  <c:v>1665.87182477724</c:v>
                </c:pt>
                <c:pt idx="30">
                  <c:v>1665.87182477724</c:v>
                </c:pt>
                <c:pt idx="31">
                  <c:v>1665.87182477724</c:v>
                </c:pt>
                <c:pt idx="32">
                  <c:v>1665.87182477724</c:v>
                </c:pt>
                <c:pt idx="33">
                  <c:v>1665.87182477724</c:v>
                </c:pt>
                <c:pt idx="34">
                  <c:v>1665.87182477724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"P50"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04_GENERATION!$E$16:$AR$16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1415.99105106065</c:v>
                </c:pt>
                <c:pt idx="6">
                  <c:v>1665.87182477724</c:v>
                </c:pt>
                <c:pt idx="7">
                  <c:v>1665.87182477724</c:v>
                </c:pt>
                <c:pt idx="8">
                  <c:v>1665.87182477724</c:v>
                </c:pt>
                <c:pt idx="9">
                  <c:v>1665.87182477724</c:v>
                </c:pt>
                <c:pt idx="10">
                  <c:v>1665.87182477724</c:v>
                </c:pt>
                <c:pt idx="11">
                  <c:v>1665.87182477724</c:v>
                </c:pt>
                <c:pt idx="12">
                  <c:v>1665.87182477724</c:v>
                </c:pt>
                <c:pt idx="13">
                  <c:v>1665.87182477724</c:v>
                </c:pt>
                <c:pt idx="14">
                  <c:v>1665.87182477724</c:v>
                </c:pt>
                <c:pt idx="15">
                  <c:v>1665.87182477724</c:v>
                </c:pt>
                <c:pt idx="16">
                  <c:v>1665.87182477724</c:v>
                </c:pt>
                <c:pt idx="17">
                  <c:v>1665.87182477724</c:v>
                </c:pt>
                <c:pt idx="18">
                  <c:v>1665.87182477724</c:v>
                </c:pt>
                <c:pt idx="19">
                  <c:v>1665.87182477724</c:v>
                </c:pt>
                <c:pt idx="20">
                  <c:v>1665.87182477724</c:v>
                </c:pt>
                <c:pt idx="21">
                  <c:v>1665.87182477724</c:v>
                </c:pt>
                <c:pt idx="22">
                  <c:v>1665.87182477724</c:v>
                </c:pt>
                <c:pt idx="23">
                  <c:v>1665.87182477724</c:v>
                </c:pt>
                <c:pt idx="24">
                  <c:v>1665.87182477724</c:v>
                </c:pt>
                <c:pt idx="25">
                  <c:v>1665.87182477724</c:v>
                </c:pt>
                <c:pt idx="26">
                  <c:v>1665.87182477724</c:v>
                </c:pt>
                <c:pt idx="27">
                  <c:v>1665.87182477724</c:v>
                </c:pt>
                <c:pt idx="28">
                  <c:v>1665.87182477724</c:v>
                </c:pt>
                <c:pt idx="29">
                  <c:v>1665.87182477724</c:v>
                </c:pt>
                <c:pt idx="30">
                  <c:v>1665.87182477724</c:v>
                </c:pt>
                <c:pt idx="31">
                  <c:v>1665.87182477724</c:v>
                </c:pt>
                <c:pt idx="32">
                  <c:v>1665.87182477724</c:v>
                </c:pt>
                <c:pt idx="33">
                  <c:v>1665.87182477724</c:v>
                </c:pt>
                <c:pt idx="34">
                  <c:v>1665.87182477724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0771597"/>
        <c:axId val="67700321"/>
      </c:lineChart>
      <c:catAx>
        <c:axId val="90771597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700321"/>
        <c:crosses val="autoZero"/>
        <c:auto val="1"/>
        <c:lblAlgn val="ctr"/>
        <c:lblOffset val="100"/>
        <c:noMultiLvlLbl val="0"/>
      </c:catAx>
      <c:valAx>
        <c:axId val="677003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7715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Utility: PPA payment vs payment capacity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"PPA billed (utility)"</c:f>
              <c:strCache>
                <c:ptCount val="1"/>
                <c:pt idx="0">
                  <c:v>PPA billed (utility)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12_UTILITY!$E$42:$AR$42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129.741919549119</c:v>
                </c:pt>
                <c:pt idx="6">
                  <c:v>154.629503458943</c:v>
                </c:pt>
                <c:pt idx="7">
                  <c:v>156.661293528122</c:v>
                </c:pt>
                <c:pt idx="8">
                  <c:v>158.733719398684</c:v>
                </c:pt>
                <c:pt idx="9">
                  <c:v>160.847593786658</c:v>
                </c:pt>
                <c:pt idx="10">
                  <c:v>163.003745662391</c:v>
                </c:pt>
                <c:pt idx="11">
                  <c:v>165.203020575639</c:v>
                </c:pt>
                <c:pt idx="12">
                  <c:v>167.446280987152</c:v>
                </c:pt>
                <c:pt idx="13">
                  <c:v>169.734406606895</c:v>
                </c:pt>
                <c:pt idx="14">
                  <c:v>172.068294739033</c:v>
                </c:pt>
                <c:pt idx="15">
                  <c:v>174.448860633814</c:v>
                </c:pt>
                <c:pt idx="16">
                  <c:v>176.87703784649</c:v>
                </c:pt>
                <c:pt idx="17">
                  <c:v>179.35377860342</c:v>
                </c:pt>
                <c:pt idx="18">
                  <c:v>181.880054175488</c:v>
                </c:pt>
                <c:pt idx="19">
                  <c:v>184.456855258998</c:v>
                </c:pt>
                <c:pt idx="20">
                  <c:v>187.085192364178</c:v>
                </c:pt>
                <c:pt idx="21">
                  <c:v>189.766096211461</c:v>
                </c:pt>
                <c:pt idx="22">
                  <c:v>192.50061813569</c:v>
                </c:pt>
                <c:pt idx="23">
                  <c:v>195.289830498404</c:v>
                </c:pt>
                <c:pt idx="24">
                  <c:v>198.134827108372</c:v>
                </c:pt>
                <c:pt idx="25">
                  <c:v>201.03672365054</c:v>
                </c:pt>
                <c:pt idx="26">
                  <c:v>203.996658123551</c:v>
                </c:pt>
                <c:pt idx="27">
                  <c:v>207.015791286022</c:v>
                </c:pt>
                <c:pt idx="28">
                  <c:v>210.095307111742</c:v>
                </c:pt>
                <c:pt idx="29">
                  <c:v>213.236413253977</c:v>
                </c:pt>
                <c:pt idx="30">
                  <c:v>216.440341519056</c:v>
                </c:pt>
                <c:pt idx="31">
                  <c:v>219.708348349438</c:v>
                </c:pt>
                <c:pt idx="32">
                  <c:v>223.041715316426</c:v>
                </c:pt>
                <c:pt idx="33">
                  <c:v>226.441749622755</c:v>
                </c:pt>
                <c:pt idx="34">
                  <c:v>229.90978461521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sustainable"</c:f>
              <c:strCache>
                <c:ptCount val="1"/>
                <c:pt idx="0">
                  <c:v>Max sustainable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12_UTILITY!$E$41:$AR$41</c:f>
              <c:numCache>
                <c:formatCode>#,##0.0;\(#,##0.0\);\-</c:formatCode>
                <c:ptCount val="40"/>
                <c:pt idx="0">
                  <c:v>126.137236259585</c:v>
                </c:pt>
                <c:pt idx="1">
                  <c:v>139.219985455316</c:v>
                </c:pt>
                <c:pt idx="2">
                  <c:v>153.14405082505</c:v>
                </c:pt>
                <c:pt idx="3">
                  <c:v>167.963008421896</c:v>
                </c:pt>
                <c:pt idx="4">
                  <c:v>183.733834377905</c:v>
                </c:pt>
                <c:pt idx="5">
                  <c:v>290.785195342435</c:v>
                </c:pt>
                <c:pt idx="6">
                  <c:v>326.578768662561</c:v>
                </c:pt>
                <c:pt idx="7">
                  <c:v>347.625908490988</c:v>
                </c:pt>
                <c:pt idx="8">
                  <c:v>369.929859904027</c:v>
                </c:pt>
                <c:pt idx="9">
                  <c:v>393.568843610325</c:v>
                </c:pt>
                <c:pt idx="10">
                  <c:v>418.626009285094</c:v>
                </c:pt>
                <c:pt idx="11">
                  <c:v>445.189747138176</c:v>
                </c:pt>
                <c:pt idx="12">
                  <c:v>473.354019182582</c:v>
                </c:pt>
                <c:pt idx="13">
                  <c:v>503.21871144839</c:v>
                </c:pt>
                <c:pt idx="14">
                  <c:v>534.89000846552</c:v>
                </c:pt>
                <c:pt idx="15">
                  <c:v>568.480791422432</c:v>
                </c:pt>
                <c:pt idx="16">
                  <c:v>604.111061496635</c:v>
                </c:pt>
                <c:pt idx="17">
                  <c:v>641.908389947298</c:v>
                </c:pt>
                <c:pt idx="18">
                  <c:v>682.008396660656</c:v>
                </c:pt>
                <c:pt idx="19">
                  <c:v>724.55525894556</c:v>
                </c:pt>
                <c:pt idx="20">
                  <c:v>769.702252490034</c:v>
                </c:pt>
                <c:pt idx="21">
                  <c:v>817.61232651018</c:v>
                </c:pt>
                <c:pt idx="22">
                  <c:v>868.458715251061</c:v>
                </c:pt>
                <c:pt idx="23">
                  <c:v>922.425588135364</c:v>
                </c:pt>
                <c:pt idx="24">
                  <c:v>979.708741000579</c:v>
                </c:pt>
                <c:pt idx="25">
                  <c:v>1040.51633101932</c:v>
                </c:pt>
                <c:pt idx="26">
                  <c:v>1105.06965806119</c:v>
                </c:pt>
                <c:pt idx="27">
                  <c:v>1173.60399542854</c:v>
                </c:pt>
                <c:pt idx="28">
                  <c:v>1246.36947308343</c:v>
                </c:pt>
                <c:pt idx="29">
                  <c:v>1323.63201667968</c:v>
                </c:pt>
                <c:pt idx="30">
                  <c:v>1405.67434592307</c:v>
                </c:pt>
                <c:pt idx="31">
                  <c:v>1492.7970360047</c:v>
                </c:pt>
                <c:pt idx="32">
                  <c:v>1585.31964608868</c:v>
                </c:pt>
                <c:pt idx="33">
                  <c:v>1683.58191908676</c:v>
                </c:pt>
                <c:pt idx="34">
                  <c:v>1787.94505721861</c:v>
                </c:pt>
                <c:pt idx="35">
                  <c:v>1712.73352993403</c:v>
                </c:pt>
                <c:pt idx="36">
                  <c:v>1826.96415100945</c:v>
                </c:pt>
                <c:pt idx="37">
                  <c:v>1948.45575775187</c:v>
                </c:pt>
                <c:pt idx="38">
                  <c:v>2077.66858504477</c:v>
                </c:pt>
                <c:pt idx="39">
                  <c:v>2215.09199644754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68144"/>
        <c:axId val="84956808"/>
      </c:lineChart>
      <c:catAx>
        <c:axId val="56814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956808"/>
        <c:crosses val="autoZero"/>
        <c:auto val="1"/>
        <c:lblAlgn val="ctr"/>
        <c:lblOffset val="100"/>
        <c:noMultiLvlLbl val="0"/>
      </c:catAx>
      <c:valAx>
        <c:axId val="849568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814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Government: net fiscal cash flow &amp; contingent exposure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"Net fiscal cash flow"</c:f>
              <c:strCache>
                <c:ptCount val="1"/>
                <c:pt idx="0">
                  <c:v>Net fiscal cash flow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25_FISCAL_IMPACT!$E$14:$AR$14</c:f>
              <c:numCache>
                <c:formatCode>#,##0.0;\(#,##0.0\);\-</c:formatCode>
                <c:ptCount val="40"/>
                <c:pt idx="0">
                  <c:v>-14.8723146839573</c:v>
                </c:pt>
                <c:pt idx="1">
                  <c:v>-24.9686548197286</c:v>
                </c:pt>
                <c:pt idx="2">
                  <c:v>-117.596597328611</c:v>
                </c:pt>
                <c:pt idx="3">
                  <c:v>-122.979721330636</c:v>
                </c:pt>
                <c:pt idx="4">
                  <c:v>-127.875227395609</c:v>
                </c:pt>
                <c:pt idx="5">
                  <c:v>14.6382423974394</c:v>
                </c:pt>
                <c:pt idx="6">
                  <c:v>22.3214408538635</c:v>
                </c:pt>
                <c:pt idx="7">
                  <c:v>22.6082564141708</c:v>
                </c:pt>
                <c:pt idx="8">
                  <c:v>22.9008082856842</c:v>
                </c:pt>
                <c:pt idx="9">
                  <c:v>25.9085856625902</c:v>
                </c:pt>
                <c:pt idx="10">
                  <c:v>37.8749637761125</c:v>
                </c:pt>
                <c:pt idx="11">
                  <c:v>39.0978339191826</c:v>
                </c:pt>
                <c:pt idx="12">
                  <c:v>40.3017104771897</c:v>
                </c:pt>
                <c:pt idx="13">
                  <c:v>41.5612805878415</c:v>
                </c:pt>
                <c:pt idx="14">
                  <c:v>42.8802725620897</c:v>
                </c:pt>
                <c:pt idx="15">
                  <c:v>44.2626984322972</c:v>
                </c:pt>
                <c:pt idx="16">
                  <c:v>45.7128763590816</c:v>
                </c:pt>
                <c:pt idx="17">
                  <c:v>47.2354548248885</c:v>
                </c:pt>
                <c:pt idx="18">
                  <c:v>48.8354387571175</c:v>
                </c:pt>
                <c:pt idx="19">
                  <c:v>50.518217735046</c:v>
                </c:pt>
                <c:pt idx="20">
                  <c:v>52.2895964471325</c:v>
                </c:pt>
                <c:pt idx="21">
                  <c:v>54.1558275786088</c:v>
                </c:pt>
                <c:pt idx="22">
                  <c:v>68.8845504840216</c:v>
                </c:pt>
                <c:pt idx="23">
                  <c:v>83.9754178603094</c:v>
                </c:pt>
                <c:pt idx="24">
                  <c:v>85.6291204169362</c:v>
                </c:pt>
                <c:pt idx="25">
                  <c:v>98.9056502608569</c:v>
                </c:pt>
                <c:pt idx="26">
                  <c:v>100.614902893244</c:v>
                </c:pt>
                <c:pt idx="27">
                  <c:v>102.352766564653</c:v>
                </c:pt>
                <c:pt idx="28">
                  <c:v>104.119813495861</c:v>
                </c:pt>
                <c:pt idx="29">
                  <c:v>108.984321588318</c:v>
                </c:pt>
                <c:pt idx="30">
                  <c:v>113.787161117183</c:v>
                </c:pt>
                <c:pt idx="31">
                  <c:v>115.366606064291</c:v>
                </c:pt>
                <c:pt idx="32">
                  <c:v>116.977639910341</c:v>
                </c:pt>
                <c:pt idx="33">
                  <c:v>118.620894433312</c:v>
                </c:pt>
                <c:pt idx="34">
                  <c:v>120.297014046742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contingent exposure"</c:f>
              <c:strCache>
                <c:ptCount val="1"/>
                <c:pt idx="0">
                  <c:v>Max contingent exposure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24_CONTINGENT_LIABILITIES!$E$11:$AR$11</c:f>
              <c:numCache>
                <c:formatCode>#,##0.0;\(#,##0.0\);\-</c:formatCode>
                <c:ptCount val="40"/>
                <c:pt idx="0">
                  <c:v>240.534216534136</c:v>
                </c:pt>
                <c:pt idx="1">
                  <c:v>502.7849610242</c:v>
                </c:pt>
                <c:pt idx="2">
                  <c:v>825.022454633229</c:v>
                </c:pt>
                <c:pt idx="3">
                  <c:v>1094.47595729344</c:v>
                </c:pt>
                <c:pt idx="4">
                  <c:v>1220.08337392383</c:v>
                </c:pt>
                <c:pt idx="5">
                  <c:v>1220.92785723634</c:v>
                </c:pt>
                <c:pt idx="6">
                  <c:v>1194.40891205636</c:v>
                </c:pt>
                <c:pt idx="7">
                  <c:v>1164.65068587315</c:v>
                </c:pt>
                <c:pt idx="8">
                  <c:v>1131.38253438298</c:v>
                </c:pt>
                <c:pt idx="9">
                  <c:v>1089.66996054378</c:v>
                </c:pt>
                <c:pt idx="10">
                  <c:v>1061.95400777446</c:v>
                </c:pt>
                <c:pt idx="11">
                  <c:v>1032.52149011629</c:v>
                </c:pt>
                <c:pt idx="12">
                  <c:v>1001.22715131257</c:v>
                </c:pt>
                <c:pt idx="13">
                  <c:v>967.99243845772</c:v>
                </c:pt>
                <c:pt idx="14">
                  <c:v>932.74571918316</c:v>
                </c:pt>
                <c:pt idx="15">
                  <c:v>895.424868932667</c:v>
                </c:pt>
                <c:pt idx="16">
                  <c:v>855.980371323031</c:v>
                </c:pt>
                <c:pt idx="17">
                  <c:v>814.379018573402</c:v>
                </c:pt>
                <c:pt idx="18">
                  <c:v>770.6083128364</c:v>
                </c:pt>
                <c:pt idx="19">
                  <c:v>724.681685255284</c:v>
                </c:pt>
                <c:pt idx="20">
                  <c:v>676.644668030644</c:v>
                </c:pt>
                <c:pt idx="21">
                  <c:v>626.582176083034</c:v>
                </c:pt>
                <c:pt idx="22">
                  <c:v>552.75615681392</c:v>
                </c:pt>
                <c:pt idx="23">
                  <c:v>520.906394059347</c:v>
                </c:pt>
                <c:pt idx="24">
                  <c:v>485.488926972533</c:v>
                </c:pt>
                <c:pt idx="25">
                  <c:v>457.542586335172</c:v>
                </c:pt>
                <c:pt idx="26">
                  <c:v>426.570946230268</c:v>
                </c:pt>
                <c:pt idx="27">
                  <c:v>392.098008750374</c:v>
                </c:pt>
                <c:pt idx="28">
                  <c:v>353.575932242179</c:v>
                </c:pt>
                <c:pt idx="29">
                  <c:v>312.734112889122</c:v>
                </c:pt>
                <c:pt idx="30">
                  <c:v>305.310157931736</c:v>
                </c:pt>
                <c:pt idx="31">
                  <c:v>309.803859365607</c:v>
                </c:pt>
                <c:pt idx="32">
                  <c:v>314.387434828155</c:v>
                </c:pt>
                <c:pt idx="33">
                  <c:v>319.062681799954</c:v>
                </c:pt>
                <c:pt idx="34">
                  <c:v>323.831433711189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3887441"/>
        <c:axId val="35381168"/>
      </c:lineChart>
      <c:catAx>
        <c:axId val="13887441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381168"/>
        <c:crosses val="autoZero"/>
        <c:auto val="1"/>
        <c:lblAlgn val="ctr"/>
        <c:lblOffset val="100"/>
        <c:noMultiLvlLbl val="0"/>
      </c:catAx>
      <c:valAx>
        <c:axId val="353811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88744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Debt service vs CFADS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"CFADS"</c:f>
              <c:strCache>
                <c:ptCount val="1"/>
                <c:pt idx="0">
                  <c:v>CFADS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20_CASH_FLOW!$E$19:$AR$19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120.949179065368</c:v>
                </c:pt>
                <c:pt idx="6">
                  <c:v>148.590301458743</c:v>
                </c:pt>
                <c:pt idx="7">
                  <c:v>150.314107487918</c:v>
                </c:pt>
                <c:pt idx="8">
                  <c:v>152.072389637677</c:v>
                </c:pt>
                <c:pt idx="9">
                  <c:v>153.86583743043</c:v>
                </c:pt>
                <c:pt idx="10">
                  <c:v>141.640630346848</c:v>
                </c:pt>
                <c:pt idx="11">
                  <c:v>142.306939663491</c:v>
                </c:pt>
                <c:pt idx="12">
                  <c:v>143.054265064093</c:v>
                </c:pt>
                <c:pt idx="13">
                  <c:v>143.765360938843</c:v>
                </c:pt>
                <c:pt idx="14">
                  <c:v>144.435362824909</c:v>
                </c:pt>
                <c:pt idx="15">
                  <c:v>145.05897778042</c:v>
                </c:pt>
                <c:pt idx="16">
                  <c:v>145.630449319696</c:v>
                </c:pt>
                <c:pt idx="17">
                  <c:v>146.143519527581</c:v>
                </c:pt>
                <c:pt idx="18">
                  <c:v>146.59138812687</c:v>
                </c:pt>
                <c:pt idx="19">
                  <c:v>146.966668254764</c:v>
                </c:pt>
                <c:pt idx="20">
                  <c:v>147.261338684761</c:v>
                </c:pt>
                <c:pt idx="21">
                  <c:v>147.466692209262</c:v>
                </c:pt>
                <c:pt idx="22">
                  <c:v>147.573279875424</c:v>
                </c:pt>
                <c:pt idx="23">
                  <c:v>147.570850742171</c:v>
                </c:pt>
                <c:pt idx="24">
                  <c:v>149.110614439225</c:v>
                </c:pt>
                <c:pt idx="25">
                  <c:v>132.323383507241</c:v>
                </c:pt>
                <c:pt idx="26">
                  <c:v>133.931407901603</c:v>
                </c:pt>
                <c:pt idx="27">
                  <c:v>135.574589934321</c:v>
                </c:pt>
                <c:pt idx="28">
                  <c:v>137.253632758162</c:v>
                </c:pt>
                <c:pt idx="29">
                  <c:v>138.969253588948</c:v>
                </c:pt>
                <c:pt idx="30">
                  <c:v>140.722183986819</c:v>
                </c:pt>
                <c:pt idx="31">
                  <c:v>142.663027666556</c:v>
                </c:pt>
                <c:pt idx="32">
                  <c:v>144.642688219887</c:v>
                </c:pt>
                <c:pt idx="33">
                  <c:v>146.661941984284</c:v>
                </c:pt>
                <c:pt idx="34">
                  <c:v>148.72158082397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"Debt service"</c:f>
              <c:strCache>
                <c:ptCount val="1"/>
                <c:pt idx="0">
                  <c:v>Debt service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18_DEBT!$E$40:$AR$40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73.7441800524721</c:v>
                </c:pt>
                <c:pt idx="6">
                  <c:v>90.2592741079415</c:v>
                </c:pt>
                <c:pt idx="7">
                  <c:v>91.2496341419432</c:v>
                </c:pt>
                <c:pt idx="8">
                  <c:v>92.2598013766249</c:v>
                </c:pt>
                <c:pt idx="9">
                  <c:v>93.2901719560002</c:v>
                </c:pt>
                <c:pt idx="10">
                  <c:v>79.6352026505493</c:v>
                </c:pt>
                <c:pt idx="11">
                  <c:v>80.290205926516</c:v>
                </c:pt>
                <c:pt idx="12">
                  <c:v>80.9602171681937</c:v>
                </c:pt>
                <c:pt idx="13">
                  <c:v>81.6455365348965</c:v>
                </c:pt>
                <c:pt idx="14">
                  <c:v>82.346470189125</c:v>
                </c:pt>
                <c:pt idx="15">
                  <c:v>83.0633304166297</c:v>
                </c:pt>
                <c:pt idx="16">
                  <c:v>83.7964357488761</c:v>
                </c:pt>
                <c:pt idx="17">
                  <c:v>84.546111087959</c:v>
                </c:pt>
                <c:pt idx="18">
                  <c:v>85.3126878340152</c:v>
                </c:pt>
                <c:pt idx="19">
                  <c:v>86.0965040151842</c:v>
                </c:pt>
                <c:pt idx="20">
                  <c:v>86.8979044201682</c:v>
                </c:pt>
                <c:pt idx="21">
                  <c:v>87.7172407334434</c:v>
                </c:pt>
                <c:pt idx="22">
                  <c:v>88.5548716731741</c:v>
                </c:pt>
                <c:pt idx="23">
                  <c:v>20.147511484605</c:v>
                </c:pt>
                <c:pt idx="24">
                  <c:v>19.6479864064743</c:v>
                </c:pt>
                <c:pt idx="25">
                  <c:v>19.1484613283436</c:v>
                </c:pt>
                <c:pt idx="26">
                  <c:v>18.6489362502129</c:v>
                </c:pt>
                <c:pt idx="27">
                  <c:v>18.1494111720822</c:v>
                </c:pt>
                <c:pt idx="28">
                  <c:v>17.6498860939515</c:v>
                </c:pt>
                <c:pt idx="29">
                  <c:v>17.1503610158208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0205907"/>
        <c:axId val="37907929"/>
      </c:lineChart>
      <c:catAx>
        <c:axId val="20205907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907929"/>
        <c:crosses val="autoZero"/>
        <c:auto val="1"/>
        <c:lblAlgn val="ctr"/>
        <c:lblOffset val="100"/>
        <c:noMultiLvlLbl val="0"/>
      </c:catAx>
      <c:valAx>
        <c:axId val="379079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2059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</xdr:row>
      <xdr:rowOff>160560</xdr:rowOff>
    </xdr:from>
    <xdr:to>
      <xdr:col>16</xdr:col>
      <xdr:colOff>447840</xdr:colOff>
      <xdr:row>15</xdr:row>
      <xdr:rowOff>13320</xdr:rowOff>
    </xdr:to>
    <xdr:graphicFrame>
      <xdr:nvGraphicFramePr>
        <xdr:cNvPr id="0" name="Chart 1"/>
        <xdr:cNvGraphicFramePr/>
      </xdr:nvGraphicFramePr>
      <xdr:xfrm>
        <a:off x="18005400" y="3808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16</xdr:row>
      <xdr:rowOff>160560</xdr:rowOff>
    </xdr:from>
    <xdr:to>
      <xdr:col>16</xdr:col>
      <xdr:colOff>447840</xdr:colOff>
      <xdr:row>30</xdr:row>
      <xdr:rowOff>13320</xdr:rowOff>
    </xdr:to>
    <xdr:graphicFrame>
      <xdr:nvGraphicFramePr>
        <xdr:cNvPr id="1" name="Chart 2"/>
        <xdr:cNvGraphicFramePr/>
      </xdr:nvGraphicFramePr>
      <xdr:xfrm>
        <a:off x="18005400" y="323856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31</xdr:row>
      <xdr:rowOff>160560</xdr:rowOff>
    </xdr:from>
    <xdr:to>
      <xdr:col>16</xdr:col>
      <xdr:colOff>447840</xdr:colOff>
      <xdr:row>45</xdr:row>
      <xdr:rowOff>13320</xdr:rowOff>
    </xdr:to>
    <xdr:graphicFrame>
      <xdr:nvGraphicFramePr>
        <xdr:cNvPr id="2" name="Chart 3"/>
        <xdr:cNvGraphicFramePr/>
      </xdr:nvGraphicFramePr>
      <xdr:xfrm>
        <a:off x="18005400" y="60958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19</xdr:col>
      <xdr:colOff>0</xdr:colOff>
      <xdr:row>1</xdr:row>
      <xdr:rowOff>160560</xdr:rowOff>
    </xdr:from>
    <xdr:to>
      <xdr:col>26</xdr:col>
      <xdr:colOff>448200</xdr:colOff>
      <xdr:row>15</xdr:row>
      <xdr:rowOff>13320</xdr:rowOff>
    </xdr:to>
    <xdr:graphicFrame>
      <xdr:nvGraphicFramePr>
        <xdr:cNvPr id="3" name="Chart 4"/>
        <xdr:cNvGraphicFramePr/>
      </xdr:nvGraphicFramePr>
      <xdr:xfrm>
        <a:off x="25593840" y="3808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4" t="s">
        <v>2</v>
      </c>
      <c r="B4" s="5" t="s">
        <v>3</v>
      </c>
    </row>
    <row r="5" customFormat="false" ht="30" hidden="false" customHeight="true" outlineLevel="0" collapsed="false">
      <c r="A5" s="4" t="s">
        <v>4</v>
      </c>
      <c r="B5" s="5" t="s">
        <v>5</v>
      </c>
    </row>
    <row r="6" customFormat="false" ht="30" hidden="false" customHeight="true" outlineLevel="0" collapsed="false">
      <c r="A6" s="4" t="s">
        <v>6</v>
      </c>
      <c r="B6" s="5" t="s">
        <v>7</v>
      </c>
    </row>
    <row r="7" customFormat="false" ht="30" hidden="false" customHeight="true" outlineLevel="0" collapsed="false">
      <c r="A7" s="4" t="s">
        <v>8</v>
      </c>
      <c r="B7" s="5" t="s">
        <v>9</v>
      </c>
    </row>
    <row r="8" customFormat="false" ht="30" hidden="false" customHeight="true" outlineLevel="0" collapsed="false">
      <c r="A8" s="4" t="s">
        <v>10</v>
      </c>
      <c r="B8" s="5" t="s">
        <v>11</v>
      </c>
    </row>
    <row r="9" customFormat="false" ht="30" hidden="false" customHeight="true" outlineLevel="0" collapsed="false">
      <c r="A9" s="4" t="s">
        <v>12</v>
      </c>
      <c r="B9" s="5" t="s">
        <v>13</v>
      </c>
    </row>
    <row r="10" customFormat="false" ht="30" hidden="false" customHeight="true" outlineLevel="0" collapsed="false">
      <c r="A10" s="4" t="s">
        <v>14</v>
      </c>
      <c r="B10" s="5" t="s">
        <v>15</v>
      </c>
    </row>
    <row r="11" customFormat="false" ht="30" hidden="false" customHeight="true" outlineLevel="0" collapsed="false">
      <c r="A11" s="4" t="s">
        <v>16</v>
      </c>
      <c r="B11" s="5" t="s">
        <v>17</v>
      </c>
    </row>
    <row r="12" customFormat="false" ht="30" hidden="false" customHeight="true" outlineLevel="0" collapsed="false">
      <c r="A12" s="4" t="s">
        <v>18</v>
      </c>
      <c r="B12" s="5" t="s">
        <v>19</v>
      </c>
    </row>
    <row r="13" customFormat="false" ht="30" hidden="false" customHeight="true" outlineLevel="0" collapsed="false">
      <c r="A13" s="4" t="s">
        <v>20</v>
      </c>
      <c r="B13" s="5" t="s">
        <v>21</v>
      </c>
    </row>
    <row r="14" customFormat="false" ht="30" hidden="false" customHeight="true" outlineLevel="0" collapsed="false">
      <c r="A14" s="4" t="s">
        <v>22</v>
      </c>
      <c r="B14" s="5" t="s">
        <v>23</v>
      </c>
    </row>
    <row r="15" customFormat="false" ht="30" hidden="false" customHeight="true" outlineLevel="0" collapsed="false">
      <c r="A15" s="4" t="s">
        <v>24</v>
      </c>
      <c r="B15" s="5" t="s">
        <v>25</v>
      </c>
    </row>
    <row r="16" customFormat="false" ht="30" hidden="false" customHeight="true" outlineLevel="0" collapsed="false">
      <c r="A16" s="4" t="s">
        <v>26</v>
      </c>
      <c r="B16" s="5" t="s">
        <v>27</v>
      </c>
    </row>
    <row r="17" customFormat="false" ht="30" hidden="false" customHeight="true" outlineLevel="0" collapsed="false">
      <c r="A17" s="4" t="s">
        <v>28</v>
      </c>
      <c r="B17" s="5" t="s">
        <v>29</v>
      </c>
    </row>
    <row r="18" customFormat="false" ht="30" hidden="false" customHeight="true" outlineLevel="0" collapsed="false">
      <c r="A18" s="4" t="s">
        <v>30</v>
      </c>
      <c r="B18" s="5" t="s">
        <v>31</v>
      </c>
    </row>
    <row r="19" customFormat="false" ht="30" hidden="false" customHeight="true" outlineLevel="0" collapsed="false">
      <c r="A19" s="4" t="s">
        <v>32</v>
      </c>
      <c r="B19" s="5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34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35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36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37</v>
      </c>
      <c r="B5" s="8" t="s">
        <v>38</v>
      </c>
      <c r="C5" s="9" t="n">
        <v>1</v>
      </c>
      <c r="D5" s="10" t="s">
        <v>39</v>
      </c>
    </row>
    <row r="6" customFormat="false" ht="15" hidden="false" customHeight="false" outlineLevel="0" collapsed="false">
      <c r="A6" s="8" t="s">
        <v>40</v>
      </c>
      <c r="B6" s="8" t="s">
        <v>38</v>
      </c>
      <c r="C6" s="9" t="n">
        <v>1</v>
      </c>
      <c r="D6" s="10" t="s">
        <v>41</v>
      </c>
    </row>
    <row r="7" customFormat="false" ht="15" hidden="false" customHeight="false" outlineLevel="0" collapsed="false">
      <c r="A7" s="8" t="s">
        <v>42</v>
      </c>
      <c r="B7" s="8" t="s">
        <v>38</v>
      </c>
      <c r="C7" s="9" t="n">
        <v>3</v>
      </c>
      <c r="D7" s="10" t="s">
        <v>43</v>
      </c>
    </row>
    <row r="8" customFormat="false" ht="15" hidden="false" customHeight="false" outlineLevel="0" collapsed="false">
      <c r="A8" s="6" t="s">
        <v>44</v>
      </c>
      <c r="B8" s="7"/>
      <c r="C8" s="7"/>
      <c r="D8" s="7"/>
      <c r="E8" s="7"/>
      <c r="F8" s="7"/>
      <c r="G8" s="7"/>
      <c r="H8" s="7"/>
      <c r="I8" s="7"/>
      <c r="J8" s="7"/>
    </row>
    <row r="9" customFormat="false" ht="15" hidden="false" customHeight="false" outlineLevel="0" collapsed="false">
      <c r="A9" s="8" t="s">
        <v>45</v>
      </c>
      <c r="B9" s="8" t="s">
        <v>46</v>
      </c>
      <c r="C9" s="9" t="n">
        <v>3</v>
      </c>
      <c r="D9" s="10" t="s">
        <v>47</v>
      </c>
    </row>
    <row r="10" customFormat="false" ht="15" hidden="false" customHeight="false" outlineLevel="0" collapsed="false">
      <c r="A10" s="8" t="s">
        <v>48</v>
      </c>
      <c r="B10" s="8"/>
      <c r="C10" s="11" t="str">
        <f aca="false">17A_STRUCTURES!$C$5</f>
        <v>PPP (SOE + private, DFI-backed)</v>
      </c>
    </row>
    <row r="11" customFormat="false" ht="15" hidden="false" customHeight="false" outlineLevel="0" collapsed="false">
      <c r="A11" s="8" t="s">
        <v>49</v>
      </c>
      <c r="B11" s="8" t="s">
        <v>50</v>
      </c>
      <c r="C11" s="9" t="n">
        <v>1</v>
      </c>
      <c r="D11" s="10" t="s">
        <v>51</v>
      </c>
    </row>
    <row r="12" customFormat="false" ht="15" hidden="false" customHeight="false" outlineLevel="0" collapsed="false">
      <c r="A12" s="8" t="s">
        <v>52</v>
      </c>
      <c r="B12" s="8" t="s">
        <v>53</v>
      </c>
      <c r="C12" s="9" t="n">
        <v>1</v>
      </c>
      <c r="D12" s="10" t="s">
        <v>54</v>
      </c>
    </row>
    <row r="13" customFormat="false" ht="15" hidden="false" customHeight="false" outlineLevel="0" collapsed="false">
      <c r="A13" s="8" t="s">
        <v>55</v>
      </c>
      <c r="B13" s="8" t="s">
        <v>56</v>
      </c>
      <c r="C13" s="12" t="n">
        <v>1</v>
      </c>
      <c r="D13" s="10" t="s">
        <v>57</v>
      </c>
    </row>
    <row r="14" customFormat="false" ht="15" hidden="false" customHeight="false" outlineLevel="0" collapsed="false">
      <c r="A14" s="6" t="s">
        <v>58</v>
      </c>
      <c r="B14" s="7"/>
      <c r="C14" s="7"/>
      <c r="D14" s="7"/>
      <c r="E14" s="7"/>
      <c r="F14" s="7"/>
      <c r="G14" s="7"/>
      <c r="H14" s="7"/>
      <c r="I14" s="7"/>
      <c r="J14" s="7"/>
    </row>
    <row r="15" customFormat="false" ht="15" hidden="false" customHeight="false" outlineLevel="0" collapsed="false">
      <c r="A15" s="8" t="s">
        <v>59</v>
      </c>
      <c r="B15" s="8" t="s">
        <v>53</v>
      </c>
      <c r="C15" s="9" t="n">
        <v>0</v>
      </c>
    </row>
    <row r="16" customFormat="false" ht="15" hidden="false" customHeight="false" outlineLevel="0" collapsed="false">
      <c r="A16" s="8" t="s">
        <v>60</v>
      </c>
      <c r="B16" s="8" t="s">
        <v>53</v>
      </c>
      <c r="C16" s="9" t="n">
        <v>0</v>
      </c>
    </row>
    <row r="17" customFormat="false" ht="15" hidden="false" customHeight="false" outlineLevel="0" collapsed="false">
      <c r="A17" s="8" t="s">
        <v>61</v>
      </c>
      <c r="B17" s="8" t="s">
        <v>53</v>
      </c>
      <c r="C17" s="9" t="n">
        <v>0</v>
      </c>
    </row>
    <row r="18" customFormat="false" ht="15" hidden="false" customHeight="false" outlineLevel="0" collapsed="false">
      <c r="A18" s="8" t="s">
        <v>62</v>
      </c>
      <c r="B18" s="8" t="s">
        <v>53</v>
      </c>
      <c r="C18" s="9" t="n">
        <v>0</v>
      </c>
    </row>
    <row r="19" customFormat="false" ht="15" hidden="false" customHeight="false" outlineLevel="0" collapsed="false">
      <c r="A19" s="8" t="s">
        <v>63</v>
      </c>
      <c r="B19" s="8" t="s">
        <v>53</v>
      </c>
      <c r="C19" s="9" t="n">
        <v>0</v>
      </c>
    </row>
    <row r="20" customFormat="false" ht="15" hidden="false" customHeight="false" outlineLevel="0" collapsed="false">
      <c r="A20" s="8" t="s">
        <v>64</v>
      </c>
      <c r="B20" s="8" t="s">
        <v>53</v>
      </c>
      <c r="C20" s="9" t="n">
        <v>0</v>
      </c>
    </row>
    <row r="21" customFormat="false" ht="15" hidden="false" customHeight="false" outlineLevel="0" collapsed="false">
      <c r="A21" s="8" t="s">
        <v>65</v>
      </c>
      <c r="B21" s="8" t="s">
        <v>53</v>
      </c>
      <c r="C21" s="9" t="n">
        <v>0</v>
      </c>
    </row>
    <row r="22" customFormat="false" ht="15" hidden="false" customHeight="false" outlineLevel="0" collapsed="false">
      <c r="A22" s="8" t="s">
        <v>66</v>
      </c>
      <c r="B22" s="8" t="s">
        <v>53</v>
      </c>
      <c r="C22" s="9" t="n">
        <v>0</v>
      </c>
    </row>
    <row r="23" customFormat="false" ht="15" hidden="false" customHeight="false" outlineLevel="0" collapsed="false">
      <c r="A23" s="8" t="s">
        <v>67</v>
      </c>
      <c r="B23" s="8" t="s">
        <v>53</v>
      </c>
      <c r="C23" s="9" t="n">
        <v>0</v>
      </c>
    </row>
    <row r="24" customFormat="false" ht="15" hidden="false" customHeight="false" outlineLevel="0" collapsed="false">
      <c r="A24" s="6" t="s">
        <v>68</v>
      </c>
      <c r="B24" s="7"/>
      <c r="C24" s="7"/>
      <c r="D24" s="7"/>
      <c r="E24" s="7"/>
      <c r="F24" s="7"/>
      <c r="G24" s="7"/>
      <c r="H24" s="7"/>
      <c r="I24" s="7"/>
      <c r="J24" s="7"/>
    </row>
    <row r="25" customFormat="false" ht="15" hidden="false" customHeight="false" outlineLevel="0" collapsed="false">
      <c r="A25" s="8" t="s">
        <v>69</v>
      </c>
      <c r="B25" s="8" t="s">
        <v>56</v>
      </c>
      <c r="C25" s="12" t="n">
        <v>0</v>
      </c>
      <c r="D25" s="10" t="s">
        <v>70</v>
      </c>
    </row>
    <row r="26" customFormat="false" ht="15" hidden="false" customHeight="false" outlineLevel="0" collapsed="false">
      <c r="A26" s="8" t="s">
        <v>71</v>
      </c>
      <c r="B26" s="8" t="s">
        <v>56</v>
      </c>
      <c r="C26" s="12" t="n">
        <v>0</v>
      </c>
    </row>
    <row r="27" customFormat="false" ht="15" hidden="false" customHeight="false" outlineLevel="0" collapsed="false">
      <c r="A27" s="8" t="s">
        <v>72</v>
      </c>
      <c r="B27" s="8" t="s">
        <v>56</v>
      </c>
      <c r="C27" s="12" t="n">
        <v>0</v>
      </c>
    </row>
    <row r="28" customFormat="false" ht="15" hidden="false" customHeight="false" outlineLevel="0" collapsed="false">
      <c r="A28" s="8" t="s">
        <v>73</v>
      </c>
      <c r="B28" s="8" t="s">
        <v>56</v>
      </c>
      <c r="C28" s="12" t="n">
        <v>0</v>
      </c>
    </row>
    <row r="29" customFormat="false" ht="15" hidden="false" customHeight="false" outlineLevel="0" collapsed="false">
      <c r="A29" s="8" t="s">
        <v>74</v>
      </c>
      <c r="B29" s="8" t="s">
        <v>56</v>
      </c>
      <c r="C29" s="13" t="n">
        <v>0</v>
      </c>
      <c r="D29" s="10" t="s">
        <v>75</v>
      </c>
    </row>
    <row r="30" customFormat="false" ht="15" hidden="false" customHeight="false" outlineLevel="0" collapsed="false">
      <c r="A30" s="6" t="s">
        <v>76</v>
      </c>
      <c r="B30" s="7"/>
      <c r="C30" s="7"/>
      <c r="D30" s="7"/>
      <c r="E30" s="7"/>
      <c r="F30" s="7"/>
      <c r="G30" s="7"/>
      <c r="H30" s="7"/>
      <c r="I30" s="7"/>
      <c r="J30" s="7"/>
    </row>
    <row r="31" customFormat="false" ht="15" hidden="false" customHeight="false" outlineLevel="0" collapsed="false">
      <c r="A31" s="8" t="s">
        <v>77</v>
      </c>
      <c r="B31" s="8" t="s">
        <v>78</v>
      </c>
      <c r="C31" s="14" t="n">
        <f aca="false">SUM(01_CONTROL_PANEL!$C$15,01_CONTROL_PANEL!$C$16,01_CONTROL_PANEL!$C$17,01_CONTROL_PANEL!$C$18,01_CONTROL_PANEL!$C$19,01_CONTROL_PANEL!$C$20,01_CONTROL_PANEL!$C$21,01_CONTROL_PANEL!$C$22,01_CONTROL_PANEL!$C$23)</f>
        <v>0</v>
      </c>
    </row>
    <row r="32" customFormat="false" ht="15" hidden="false" customHeight="false" outlineLevel="0" collapsed="false">
      <c r="A32" s="4" t="s">
        <v>79</v>
      </c>
      <c r="B32" s="8" t="s">
        <v>56</v>
      </c>
      <c r="C32" s="15" t="n">
        <f aca="false">17_PROJECT_FINANCE!$C$30</f>
        <v>0.0971728277032352</v>
      </c>
    </row>
    <row r="33" customFormat="false" ht="15" hidden="false" customHeight="false" outlineLevel="0" collapsed="false">
      <c r="A33" s="4" t="s">
        <v>80</v>
      </c>
      <c r="B33" s="8" t="s">
        <v>56</v>
      </c>
      <c r="C33" s="15" t="n">
        <f aca="false">17_PROJECT_FINANCE!$C$32</f>
        <v>0.163458350947316</v>
      </c>
    </row>
    <row r="34" customFormat="false" ht="15" hidden="false" customHeight="false" outlineLevel="0" collapsed="false">
      <c r="A34" s="4" t="s">
        <v>81</v>
      </c>
      <c r="B34" s="8" t="s">
        <v>82</v>
      </c>
      <c r="C34" s="16" t="n">
        <f aca="false">17_PROJECT_FINANCE!$C$36</f>
        <v>1.64011829786849</v>
      </c>
    </row>
    <row r="35" customFormat="false" ht="15" hidden="false" customHeight="false" outlineLevel="0" collapsed="false">
      <c r="A35" s="4" t="s">
        <v>83</v>
      </c>
      <c r="B35" s="8" t="s">
        <v>84</v>
      </c>
      <c r="C35" s="17" t="n">
        <f aca="false">17_PROJECT_FINANCE!$C$26</f>
        <v>0</v>
      </c>
    </row>
    <row r="36" customFormat="false" ht="15" hidden="false" customHeight="false" outlineLevel="0" collapsed="false">
      <c r="A36" s="4" t="s">
        <v>85</v>
      </c>
      <c r="B36" s="8" t="s">
        <v>84</v>
      </c>
      <c r="C36" s="17" t="n">
        <f aca="false">25_FISCAL_IMPACT!$C$20</f>
        <v>49.4673935262178</v>
      </c>
    </row>
    <row r="37" customFormat="false" ht="15" hidden="false" customHeight="false" outlineLevel="0" collapsed="false">
      <c r="A37" s="4" t="s">
        <v>86</v>
      </c>
      <c r="B37" s="8" t="s">
        <v>84</v>
      </c>
      <c r="C37" s="17" t="n">
        <f aca="false">25_FISCAL_IMPACT!$C$21</f>
        <v>-109.174662184188</v>
      </c>
    </row>
    <row r="38" customFormat="false" ht="15" hidden="false" customHeight="false" outlineLevel="0" collapsed="false">
      <c r="A38" s="4" t="s">
        <v>87</v>
      </c>
      <c r="B38" s="8"/>
      <c r="C38" s="18" t="str">
        <f aca="false">30_BANKABILITY!$C$58</f>
        <v>NOT YET BANKABLE — development gaps remain</v>
      </c>
    </row>
    <row r="39" customFormat="false" ht="15" hidden="false" customHeight="false" outlineLevel="0" collapsed="false">
      <c r="A39" s="4" t="s">
        <v>88</v>
      </c>
      <c r="B39" s="8"/>
      <c r="C39" s="18" t="str">
        <f aca="false">33_CHECKS!$C$19</f>
        <v>ALL OK</v>
      </c>
    </row>
  </sheetData>
  <dataValidations count="4">
    <dataValidation allowBlank="false" errorStyle="stop" operator="between" showDropDown="false" showErrorMessage="false" showInputMessage="false" sqref="C5:C7" type="whole">
      <formula1>1</formula1>
      <formula2>3</formula2>
    </dataValidation>
    <dataValidation allowBlank="false" errorStyle="stop" operator="between" showDropDown="false" showErrorMessage="false" showInputMessage="false" sqref="C9" type="whole">
      <formula1>1</formula1>
      <formula2>5</formula2>
    </dataValidation>
    <dataValidation allowBlank="false" errorStyle="stop" operator="between" showDropDown="false" showErrorMessage="false" showInputMessage="false" sqref="C12 C15:C23" type="whole">
      <formula1>0</formula1>
      <formula2>1</formula2>
    </dataValidation>
    <dataValidation allowBlank="false" errorStyle="stop" operator="between" showDropDown="false" showErrorMessage="false" showInputMessage="false" sqref="C11" type="whole">
      <formula1>1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89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90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91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92</v>
      </c>
      <c r="B5" s="8"/>
      <c r="C5" s="19" t="s">
        <v>93</v>
      </c>
      <c r="D5" s="10" t="s">
        <v>94</v>
      </c>
    </row>
    <row r="6" customFormat="false" ht="15" hidden="false" customHeight="false" outlineLevel="0" collapsed="false">
      <c r="A6" s="8" t="s">
        <v>95</v>
      </c>
      <c r="B6" s="8"/>
      <c r="C6" s="19" t="s">
        <v>96</v>
      </c>
      <c r="D6" s="10" t="s">
        <v>97</v>
      </c>
    </row>
    <row r="7" customFormat="false" ht="15" hidden="false" customHeight="false" outlineLevel="0" collapsed="false">
      <c r="A7" s="8" t="s">
        <v>98</v>
      </c>
      <c r="B7" s="8"/>
      <c r="C7" s="19" t="s">
        <v>99</v>
      </c>
      <c r="D7" s="10" t="s">
        <v>100</v>
      </c>
    </row>
    <row r="8" customFormat="false" ht="15" hidden="false" customHeight="false" outlineLevel="0" collapsed="false">
      <c r="A8" s="8" t="s">
        <v>101</v>
      </c>
      <c r="B8" s="8"/>
      <c r="C8" s="19" t="s">
        <v>102</v>
      </c>
    </row>
    <row r="9" customFormat="false" ht="15" hidden="false" customHeight="false" outlineLevel="0" collapsed="false">
      <c r="A9" s="6" t="s">
        <v>103</v>
      </c>
      <c r="B9" s="7"/>
      <c r="C9" s="7"/>
      <c r="D9" s="7"/>
      <c r="E9" s="7"/>
      <c r="F9" s="7"/>
      <c r="G9" s="7"/>
      <c r="H9" s="7"/>
      <c r="I9" s="7"/>
      <c r="J9" s="7"/>
    </row>
    <row r="10" customFormat="false" ht="15" hidden="false" customHeight="false" outlineLevel="0" collapsed="false">
      <c r="A10" s="8" t="s">
        <v>104</v>
      </c>
      <c r="B10" s="8" t="s">
        <v>105</v>
      </c>
      <c r="C10" s="20" t="n">
        <v>2027</v>
      </c>
    </row>
    <row r="11" customFormat="false" ht="15" hidden="false" customHeight="false" outlineLevel="0" collapsed="false">
      <c r="A11" s="8" t="s">
        <v>106</v>
      </c>
      <c r="B11" s="8" t="s">
        <v>105</v>
      </c>
      <c r="C11" s="21" t="n">
        <v>2026</v>
      </c>
      <c r="D11" s="10" t="s">
        <v>107</v>
      </c>
    </row>
    <row r="12" customFormat="false" ht="15" hidden="false" customHeight="false" outlineLevel="0" collapsed="false">
      <c r="A12" s="8" t="s">
        <v>108</v>
      </c>
      <c r="B12" s="8" t="s">
        <v>109</v>
      </c>
      <c r="C12" s="9" t="n">
        <v>5</v>
      </c>
      <c r="D12" s="10" t="s">
        <v>110</v>
      </c>
    </row>
    <row r="13" customFormat="false" ht="15" hidden="false" customHeight="false" outlineLevel="0" collapsed="false">
      <c r="A13" s="8" t="s">
        <v>111</v>
      </c>
      <c r="B13" s="8" t="s">
        <v>109</v>
      </c>
      <c r="C13" s="9" t="n">
        <v>30</v>
      </c>
      <c r="D13" s="10" t="s">
        <v>112</v>
      </c>
    </row>
    <row r="14" customFormat="false" ht="15" hidden="false" customHeight="false" outlineLevel="0" collapsed="false">
      <c r="A14" s="6" t="s">
        <v>113</v>
      </c>
      <c r="B14" s="7"/>
      <c r="C14" s="7"/>
      <c r="D14" s="7"/>
      <c r="E14" s="7"/>
      <c r="F14" s="7"/>
      <c r="G14" s="7"/>
      <c r="H14" s="7"/>
      <c r="I14" s="7"/>
      <c r="J14" s="7"/>
    </row>
    <row r="15" customFormat="false" ht="15" hidden="false" customHeight="false" outlineLevel="0" collapsed="false">
      <c r="A15" s="8" t="s">
        <v>114</v>
      </c>
      <c r="B15" s="8" t="s">
        <v>115</v>
      </c>
      <c r="C15" s="22" t="n">
        <v>400</v>
      </c>
      <c r="D15" s="10" t="s">
        <v>116</v>
      </c>
    </row>
    <row r="16" customFormat="false" ht="15" hidden="false" customHeight="false" outlineLevel="0" collapsed="false">
      <c r="A16" s="8" t="s">
        <v>117</v>
      </c>
      <c r="B16" s="8" t="s">
        <v>78</v>
      </c>
      <c r="C16" s="23" t="n">
        <v>4</v>
      </c>
    </row>
    <row r="17" customFormat="false" ht="15" hidden="false" customHeight="false" outlineLevel="0" collapsed="false">
      <c r="A17" s="6" t="s">
        <v>118</v>
      </c>
      <c r="B17" s="7"/>
      <c r="C17" s="7"/>
      <c r="D17" s="7"/>
      <c r="E17" s="7"/>
      <c r="F17" s="7"/>
      <c r="G17" s="7"/>
      <c r="H17" s="7"/>
      <c r="I17" s="7"/>
      <c r="J17" s="7"/>
    </row>
    <row r="18" customFormat="false" ht="15" hidden="false" customHeight="false" outlineLevel="0" collapsed="false">
      <c r="A18" s="8" t="s">
        <v>119</v>
      </c>
      <c r="B18" s="8" t="s">
        <v>120</v>
      </c>
      <c r="C18" s="12" t="n">
        <v>0.02</v>
      </c>
      <c r="D18" s="10" t="s">
        <v>121</v>
      </c>
    </row>
    <row r="19" customFormat="false" ht="15" hidden="false" customHeight="false" outlineLevel="0" collapsed="false">
      <c r="A19" s="8" t="s">
        <v>122</v>
      </c>
      <c r="B19" s="8" t="s">
        <v>120</v>
      </c>
      <c r="C19" s="12" t="n">
        <v>0.08</v>
      </c>
      <c r="D19" s="10" t="s">
        <v>121</v>
      </c>
    </row>
    <row r="20" customFormat="false" ht="15" hidden="false" customHeight="false" outlineLevel="0" collapsed="false">
      <c r="A20" s="8" t="s">
        <v>123</v>
      </c>
      <c r="B20" s="8" t="s">
        <v>124</v>
      </c>
      <c r="C20" s="24" t="n">
        <v>20</v>
      </c>
      <c r="D20" s="10" t="s">
        <v>94</v>
      </c>
    </row>
    <row r="21" customFormat="false" ht="15" hidden="false" customHeight="false" outlineLevel="0" collapsed="false">
      <c r="A21" s="8" t="s">
        <v>125</v>
      </c>
      <c r="B21" s="8" t="s">
        <v>120</v>
      </c>
      <c r="C21" s="25" t="n">
        <v>0.06</v>
      </c>
      <c r="D21" s="10" t="s">
        <v>126</v>
      </c>
    </row>
    <row r="22" customFormat="false" ht="15" hidden="false" customHeight="false" outlineLevel="0" collapsed="false">
      <c r="A22" s="8" t="s">
        <v>127</v>
      </c>
      <c r="B22" s="8" t="s">
        <v>120</v>
      </c>
      <c r="C22" s="12" t="n">
        <v>0.025</v>
      </c>
    </row>
    <row r="23" customFormat="false" ht="15" hidden="false" customHeight="false" outlineLevel="0" collapsed="false">
      <c r="A23" s="8" t="s">
        <v>128</v>
      </c>
      <c r="B23" s="8" t="s">
        <v>56</v>
      </c>
      <c r="C23" s="25" t="n">
        <v>0.1</v>
      </c>
      <c r="D23" s="10" t="s">
        <v>129</v>
      </c>
    </row>
    <row r="24" customFormat="false" ht="15" hidden="false" customHeight="false" outlineLevel="0" collapsed="false">
      <c r="A24" s="8" t="s">
        <v>130</v>
      </c>
      <c r="B24" s="8" t="s">
        <v>56</v>
      </c>
      <c r="C24" s="25" t="n">
        <v>0.08</v>
      </c>
      <c r="D24" s="10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16" min="5" style="0" width="9"/>
  </cols>
  <sheetData>
    <row r="1" customFormat="false" ht="17.35" hidden="false" customHeight="false" outlineLevel="0" collapsed="false">
      <c r="A1" s="1" t="s">
        <v>132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133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134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135</v>
      </c>
      <c r="B5" s="8" t="s">
        <v>136</v>
      </c>
      <c r="C5" s="26" t="n">
        <v>450</v>
      </c>
      <c r="D5" s="10" t="s">
        <v>94</v>
      </c>
    </row>
    <row r="6" customFormat="false" ht="15" hidden="false" customHeight="false" outlineLevel="0" collapsed="false">
      <c r="A6" s="8" t="s">
        <v>137</v>
      </c>
      <c r="B6" s="8" t="s">
        <v>138</v>
      </c>
      <c r="C6" s="26" t="n">
        <v>105</v>
      </c>
      <c r="D6" s="10" t="s">
        <v>94</v>
      </c>
    </row>
    <row r="7" customFormat="false" ht="15" hidden="false" customHeight="false" outlineLevel="0" collapsed="false">
      <c r="A7" s="8" t="s">
        <v>139</v>
      </c>
      <c r="B7" s="8" t="s">
        <v>56</v>
      </c>
      <c r="C7" s="12" t="n">
        <v>0.92</v>
      </c>
      <c r="D7" s="10" t="s">
        <v>140</v>
      </c>
    </row>
    <row r="8" customFormat="false" ht="15" hidden="false" customHeight="false" outlineLevel="0" collapsed="false">
      <c r="A8" s="8" t="s">
        <v>141</v>
      </c>
      <c r="B8" s="8" t="s">
        <v>56</v>
      </c>
      <c r="C8" s="12" t="n">
        <v>0.98</v>
      </c>
      <c r="D8" s="10" t="s">
        <v>121</v>
      </c>
    </row>
    <row r="9" customFormat="false" ht="15" hidden="false" customHeight="false" outlineLevel="0" collapsed="false">
      <c r="A9" s="8" t="s">
        <v>142</v>
      </c>
      <c r="B9" s="8" t="s">
        <v>136</v>
      </c>
      <c r="C9" s="26" t="n">
        <v>30</v>
      </c>
      <c r="D9" s="10" t="s">
        <v>143</v>
      </c>
    </row>
    <row r="10" customFormat="false" ht="15" hidden="false" customHeight="false" outlineLevel="0" collapsed="false">
      <c r="A10" s="8" t="s">
        <v>144</v>
      </c>
      <c r="B10" s="8" t="s">
        <v>56</v>
      </c>
      <c r="C10" s="25" t="n">
        <v>0.95</v>
      </c>
      <c r="D10" s="10" t="s">
        <v>121</v>
      </c>
    </row>
    <row r="11" customFormat="false" ht="15" hidden="false" customHeight="false" outlineLevel="0" collapsed="false">
      <c r="A11" s="8" t="s">
        <v>145</v>
      </c>
      <c r="B11" s="8" t="s">
        <v>82</v>
      </c>
      <c r="C11" s="24" t="n">
        <v>0.85</v>
      </c>
    </row>
    <row r="12" customFormat="false" ht="15" hidden="false" customHeight="false" outlineLevel="0" collapsed="false">
      <c r="A12" s="8" t="s">
        <v>146</v>
      </c>
      <c r="B12" s="8" t="s">
        <v>147</v>
      </c>
      <c r="C12" s="27" t="n">
        <v>1000</v>
      </c>
      <c r="D12" s="10" t="s">
        <v>148</v>
      </c>
    </row>
    <row r="13" customFormat="false" ht="15" hidden="false" customHeight="false" outlineLevel="0" collapsed="false">
      <c r="A13" s="8" t="s">
        <v>149</v>
      </c>
      <c r="B13" s="8" t="s">
        <v>150</v>
      </c>
      <c r="C13" s="24" t="n">
        <v>9.81</v>
      </c>
      <c r="D13" s="10" t="s">
        <v>148</v>
      </c>
    </row>
    <row r="14" customFormat="false" ht="15" hidden="false" customHeight="false" outlineLevel="0" collapsed="false">
      <c r="A14" s="6" t="s">
        <v>151</v>
      </c>
      <c r="B14" s="7"/>
      <c r="C14" s="7"/>
      <c r="D14" s="7"/>
      <c r="E14" s="7"/>
      <c r="F14" s="7"/>
      <c r="G14" s="7"/>
      <c r="H14" s="7"/>
      <c r="I14" s="7"/>
      <c r="J14" s="7"/>
    </row>
    <row r="15" customFormat="false" ht="15" hidden="false" customHeight="false" outlineLevel="0" collapsed="false">
      <c r="A15" s="8" t="s">
        <v>152</v>
      </c>
      <c r="B15" s="8" t="s">
        <v>56</v>
      </c>
      <c r="C15" s="25" t="n">
        <v>0.12</v>
      </c>
      <c r="D15" s="10" t="s">
        <v>153</v>
      </c>
    </row>
    <row r="16" customFormat="false" ht="15" hidden="false" customHeight="false" outlineLevel="0" collapsed="false">
      <c r="A16" s="8" t="s">
        <v>154</v>
      </c>
      <c r="B16" s="8"/>
      <c r="C16" s="28" t="n">
        <v>0.6745</v>
      </c>
      <c r="D16" s="10" t="s">
        <v>155</v>
      </c>
    </row>
    <row r="17" customFormat="false" ht="15" hidden="false" customHeight="false" outlineLevel="0" collapsed="false">
      <c r="A17" s="8" t="s">
        <v>156</v>
      </c>
      <c r="B17" s="8"/>
      <c r="C17" s="28" t="n">
        <v>1.2816</v>
      </c>
    </row>
    <row r="18" customFormat="false" ht="15" hidden="false" customHeight="false" outlineLevel="0" collapsed="false">
      <c r="A18" s="8" t="s">
        <v>157</v>
      </c>
      <c r="B18" s="8" t="s">
        <v>109</v>
      </c>
      <c r="C18" s="9" t="n">
        <v>22</v>
      </c>
      <c r="D18" s="10" t="s">
        <v>158</v>
      </c>
    </row>
    <row r="19" customFormat="false" ht="15" hidden="false" customHeight="false" outlineLevel="0" collapsed="false">
      <c r="A19" s="8" t="s">
        <v>159</v>
      </c>
      <c r="B19" s="8" t="s">
        <v>38</v>
      </c>
      <c r="C19" s="9" t="n">
        <v>2</v>
      </c>
      <c r="D19" s="10" t="s">
        <v>158</v>
      </c>
    </row>
    <row r="21" customFormat="false" ht="15" hidden="false" customHeight="false" outlineLevel="0" collapsed="false">
      <c r="A21" s="6" t="s">
        <v>160</v>
      </c>
      <c r="B21" s="7"/>
      <c r="C21" s="7"/>
      <c r="D21" s="7"/>
      <c r="E21" s="7"/>
      <c r="F21" s="7"/>
      <c r="G21" s="7"/>
      <c r="H21" s="7"/>
      <c r="I21" s="7"/>
      <c r="J21" s="7"/>
    </row>
    <row r="22" customFormat="false" ht="15" hidden="false" customHeight="false" outlineLevel="0" collapsed="false">
      <c r="A22" s="29" t="s">
        <v>161</v>
      </c>
      <c r="B22" s="30"/>
      <c r="C22" s="29" t="s">
        <v>162</v>
      </c>
      <c r="D22" s="30"/>
      <c r="E22" s="29" t="s">
        <v>163</v>
      </c>
      <c r="F22" s="29" t="s">
        <v>164</v>
      </c>
      <c r="G22" s="29" t="s">
        <v>165</v>
      </c>
      <c r="H22" s="29" t="s">
        <v>166</v>
      </c>
      <c r="I22" s="29" t="s">
        <v>167</v>
      </c>
      <c r="J22" s="29" t="s">
        <v>168</v>
      </c>
      <c r="K22" s="29" t="s">
        <v>169</v>
      </c>
      <c r="L22" s="29" t="s">
        <v>170</v>
      </c>
      <c r="M22" s="29" t="s">
        <v>171</v>
      </c>
      <c r="N22" s="29" t="s">
        <v>172</v>
      </c>
      <c r="O22" s="29" t="s">
        <v>173</v>
      </c>
      <c r="P22" s="29" t="s">
        <v>174</v>
      </c>
    </row>
    <row r="23" customFormat="false" ht="15" hidden="false" customHeight="false" outlineLevel="0" collapsed="false">
      <c r="A23" s="8" t="s">
        <v>175</v>
      </c>
      <c r="B23" s="8" t="s">
        <v>176</v>
      </c>
      <c r="E23" s="31" t="n">
        <v>31</v>
      </c>
      <c r="F23" s="31" t="n">
        <v>28.25</v>
      </c>
      <c r="G23" s="31" t="n">
        <v>31</v>
      </c>
      <c r="H23" s="31" t="n">
        <v>30</v>
      </c>
      <c r="I23" s="31" t="n">
        <v>31</v>
      </c>
      <c r="J23" s="31" t="n">
        <v>30</v>
      </c>
      <c r="K23" s="31" t="n">
        <v>31</v>
      </c>
      <c r="L23" s="31" t="n">
        <v>31</v>
      </c>
      <c r="M23" s="31" t="n">
        <v>30</v>
      </c>
      <c r="N23" s="31" t="n">
        <v>31</v>
      </c>
      <c r="O23" s="31" t="n">
        <v>30</v>
      </c>
      <c r="P23" s="31" t="n">
        <v>31</v>
      </c>
    </row>
    <row r="24" customFormat="false" ht="15" hidden="false" customHeight="false" outlineLevel="0" collapsed="false">
      <c r="A24" s="8" t="s">
        <v>177</v>
      </c>
      <c r="B24" s="8" t="s">
        <v>136</v>
      </c>
      <c r="C24" s="32" t="n">
        <f aca="false">SUMPRODUCT(E24:P24,E23:P23)/SUM(E23:P23)</f>
        <v>250.431211498973</v>
      </c>
      <c r="E24" s="33" t="n">
        <v>150</v>
      </c>
      <c r="F24" s="33" t="n">
        <v>120</v>
      </c>
      <c r="G24" s="33" t="n">
        <v>170</v>
      </c>
      <c r="H24" s="33" t="n">
        <v>380</v>
      </c>
      <c r="I24" s="33" t="n">
        <v>520</v>
      </c>
      <c r="J24" s="33" t="n">
        <v>400</v>
      </c>
      <c r="K24" s="33" t="n">
        <v>260</v>
      </c>
      <c r="L24" s="33" t="n">
        <v>170</v>
      </c>
      <c r="M24" s="33" t="n">
        <v>140</v>
      </c>
      <c r="N24" s="33" t="n">
        <v>180</v>
      </c>
      <c r="O24" s="33" t="n">
        <v>280</v>
      </c>
      <c r="P24" s="33" t="n">
        <v>230</v>
      </c>
    </row>
    <row r="25" customFormat="false" ht="15" hidden="false" customHeight="false" outlineLevel="0" collapsed="false">
      <c r="A25" s="8" t="s">
        <v>178</v>
      </c>
      <c r="B25" s="8" t="s">
        <v>136</v>
      </c>
      <c r="E25" s="32" t="n">
        <f aca="false">MIN(MAX(E24-03_HYDROLOGY!$C$9,0),03_HYDROLOGY!$C$5)</f>
        <v>120</v>
      </c>
      <c r="F25" s="32" t="n">
        <f aca="false">MIN(MAX(F24-03_HYDROLOGY!$C$9,0),03_HYDROLOGY!$C$5)</f>
        <v>90</v>
      </c>
      <c r="G25" s="32" t="n">
        <f aca="false">MIN(MAX(G24-03_HYDROLOGY!$C$9,0),03_HYDROLOGY!$C$5)</f>
        <v>140</v>
      </c>
      <c r="H25" s="32" t="n">
        <f aca="false">MIN(MAX(H24-03_HYDROLOGY!$C$9,0),03_HYDROLOGY!$C$5)</f>
        <v>350</v>
      </c>
      <c r="I25" s="32" t="n">
        <f aca="false">MIN(MAX(I24-03_HYDROLOGY!$C$9,0),03_HYDROLOGY!$C$5)</f>
        <v>450</v>
      </c>
      <c r="J25" s="32" t="n">
        <f aca="false">MIN(MAX(J24-03_HYDROLOGY!$C$9,0),03_HYDROLOGY!$C$5)</f>
        <v>370</v>
      </c>
      <c r="K25" s="32" t="n">
        <f aca="false">MIN(MAX(K24-03_HYDROLOGY!$C$9,0),03_HYDROLOGY!$C$5)</f>
        <v>230</v>
      </c>
      <c r="L25" s="32" t="n">
        <f aca="false">MIN(MAX(L24-03_HYDROLOGY!$C$9,0),03_HYDROLOGY!$C$5)</f>
        <v>140</v>
      </c>
      <c r="M25" s="32" t="n">
        <f aca="false">MIN(MAX(M24-03_HYDROLOGY!$C$9,0),03_HYDROLOGY!$C$5)</f>
        <v>110</v>
      </c>
      <c r="N25" s="32" t="n">
        <f aca="false">MIN(MAX(N24-03_HYDROLOGY!$C$9,0),03_HYDROLOGY!$C$5)</f>
        <v>150</v>
      </c>
      <c r="O25" s="32" t="n">
        <f aca="false">MIN(MAX(O24-03_HYDROLOGY!$C$9,0),03_HYDROLOGY!$C$5)</f>
        <v>250</v>
      </c>
      <c r="P25" s="32" t="n">
        <f aca="false">MIN(MAX(P24-03_HYDROLOGY!$C$9,0),03_HYDROLOGY!$C$5)</f>
        <v>200</v>
      </c>
    </row>
    <row r="26" customFormat="false" ht="15" hidden="false" customHeight="false" outlineLevel="0" collapsed="false">
      <c r="A26" s="8" t="s">
        <v>179</v>
      </c>
      <c r="B26" s="8" t="s">
        <v>115</v>
      </c>
      <c r="C26" s="34" t="n">
        <f aca="false">SUMPRODUCT(E26:P26,E23:P23)/SUM(E23:P23)</f>
        <v>200.039845909103</v>
      </c>
      <c r="E26" s="34" t="n">
        <f aca="false">MIN(03_HYDROLOGY!$C$12*03_HYDROLOGY!$C$13*E25*03_HYDROLOGY!$C$6*03_HYDROLOGY!$C$7*03_HYDROLOGY!$C$8/1000000,02_PROJECT_INPUTS!$C$15)</f>
        <v>111.4431696</v>
      </c>
      <c r="F26" s="34" t="n">
        <f aca="false">MIN(03_HYDROLOGY!$C$12*03_HYDROLOGY!$C$13*F25*03_HYDROLOGY!$C$6*03_HYDROLOGY!$C$7*03_HYDROLOGY!$C$8/1000000,02_PROJECT_INPUTS!$C$15)</f>
        <v>83.5823772</v>
      </c>
      <c r="G26" s="34" t="n">
        <f aca="false">MIN(03_HYDROLOGY!$C$12*03_HYDROLOGY!$C$13*G25*03_HYDROLOGY!$C$6*03_HYDROLOGY!$C$7*03_HYDROLOGY!$C$8/1000000,02_PROJECT_INPUTS!$C$15)</f>
        <v>130.0170312</v>
      </c>
      <c r="H26" s="34" t="n">
        <f aca="false">MIN(03_HYDROLOGY!$C$12*03_HYDROLOGY!$C$13*H25*03_HYDROLOGY!$C$6*03_HYDROLOGY!$C$7*03_HYDROLOGY!$C$8/1000000,02_PROJECT_INPUTS!$C$15)</f>
        <v>325.042578</v>
      </c>
      <c r="I26" s="34" t="n">
        <f aca="false">MIN(03_HYDROLOGY!$C$12*03_HYDROLOGY!$C$13*I25*03_HYDROLOGY!$C$6*03_HYDROLOGY!$C$7*03_HYDROLOGY!$C$8/1000000,02_PROJECT_INPUTS!$C$15)</f>
        <v>400</v>
      </c>
      <c r="J26" s="34" t="n">
        <f aca="false">MIN(03_HYDROLOGY!$C$12*03_HYDROLOGY!$C$13*J25*03_HYDROLOGY!$C$6*03_HYDROLOGY!$C$7*03_HYDROLOGY!$C$8/1000000,02_PROJECT_INPUTS!$C$15)</f>
        <v>343.6164396</v>
      </c>
      <c r="K26" s="34" t="n">
        <f aca="false">MIN(03_HYDROLOGY!$C$12*03_HYDROLOGY!$C$13*K25*03_HYDROLOGY!$C$6*03_HYDROLOGY!$C$7*03_HYDROLOGY!$C$8/1000000,02_PROJECT_INPUTS!$C$15)</f>
        <v>213.5994084</v>
      </c>
      <c r="L26" s="34" t="n">
        <f aca="false">MIN(03_HYDROLOGY!$C$12*03_HYDROLOGY!$C$13*L25*03_HYDROLOGY!$C$6*03_HYDROLOGY!$C$7*03_HYDROLOGY!$C$8/1000000,02_PROJECT_INPUTS!$C$15)</f>
        <v>130.0170312</v>
      </c>
      <c r="M26" s="34" t="n">
        <f aca="false">MIN(03_HYDROLOGY!$C$12*03_HYDROLOGY!$C$13*M25*03_HYDROLOGY!$C$6*03_HYDROLOGY!$C$7*03_HYDROLOGY!$C$8/1000000,02_PROJECT_INPUTS!$C$15)</f>
        <v>102.1562388</v>
      </c>
      <c r="N26" s="34" t="n">
        <f aca="false">MIN(03_HYDROLOGY!$C$12*03_HYDROLOGY!$C$13*N25*03_HYDROLOGY!$C$6*03_HYDROLOGY!$C$7*03_HYDROLOGY!$C$8/1000000,02_PROJECT_INPUTS!$C$15)</f>
        <v>139.303962</v>
      </c>
      <c r="O26" s="34" t="n">
        <f aca="false">MIN(03_HYDROLOGY!$C$12*03_HYDROLOGY!$C$13*O25*03_HYDROLOGY!$C$6*03_HYDROLOGY!$C$7*03_HYDROLOGY!$C$8/1000000,02_PROJECT_INPUTS!$C$15)</f>
        <v>232.17327</v>
      </c>
      <c r="P26" s="34" t="n">
        <f aca="false">MIN(03_HYDROLOGY!$C$12*03_HYDROLOGY!$C$13*P25*03_HYDROLOGY!$C$6*03_HYDROLOGY!$C$7*03_HYDROLOGY!$C$8/1000000,02_PROJECT_INPUTS!$C$15)</f>
        <v>185.738616</v>
      </c>
    </row>
    <row r="27" customFormat="false" ht="15" hidden="false" customHeight="false" outlineLevel="0" collapsed="false">
      <c r="A27" s="8" t="s">
        <v>180</v>
      </c>
      <c r="B27" s="8" t="s">
        <v>181</v>
      </c>
      <c r="C27" s="32" t="n">
        <f aca="false">SUM(E27:P27)</f>
        <v>1753.5492892392</v>
      </c>
      <c r="E27" s="32" t="n">
        <f aca="false">E26*E23*24/1000</f>
        <v>82.9137181824</v>
      </c>
      <c r="F27" s="32" t="n">
        <f aca="false">F26*F23*24/1000</f>
        <v>56.6688517416</v>
      </c>
      <c r="G27" s="32" t="n">
        <f aca="false">G26*G23*24/1000</f>
        <v>96.7326712128</v>
      </c>
      <c r="H27" s="32" t="n">
        <f aca="false">H26*H23*24/1000</f>
        <v>234.03065616</v>
      </c>
      <c r="I27" s="32" t="n">
        <f aca="false">I26*I23*24/1000</f>
        <v>297.6</v>
      </c>
      <c r="J27" s="32" t="n">
        <f aca="false">J26*J23*24/1000</f>
        <v>247.403836512</v>
      </c>
      <c r="K27" s="32" t="n">
        <f aca="false">K26*K23*24/1000</f>
        <v>158.9179598496</v>
      </c>
      <c r="L27" s="32" t="n">
        <f aca="false">L26*L23*24/1000</f>
        <v>96.7326712128</v>
      </c>
      <c r="M27" s="32" t="n">
        <f aca="false">M26*M23*24/1000</f>
        <v>73.552491936</v>
      </c>
      <c r="N27" s="32" t="n">
        <f aca="false">N26*N23*24/1000</f>
        <v>103.642147728</v>
      </c>
      <c r="O27" s="32" t="n">
        <f aca="false">O26*O23*24/1000</f>
        <v>167.1647544</v>
      </c>
      <c r="P27" s="32" t="n">
        <f aca="false">P26*P23*24/1000</f>
        <v>138.189530304</v>
      </c>
    </row>
    <row r="28" customFormat="false" ht="15" hidden="false" customHeight="false" outlineLevel="0" collapsed="false">
      <c r="A28" s="8" t="s">
        <v>182</v>
      </c>
      <c r="B28" s="8" t="s">
        <v>181</v>
      </c>
      <c r="C28" s="32" t="n">
        <f aca="false">SUM(E28:P28)</f>
        <v>1665.87182477724</v>
      </c>
      <c r="E28" s="32" t="n">
        <f aca="false">E27*03_HYDROLOGY!$C$10</f>
        <v>78.76803227328</v>
      </c>
      <c r="F28" s="32" t="n">
        <f aca="false">F27*03_HYDROLOGY!$C$10</f>
        <v>53.83540915452</v>
      </c>
      <c r="G28" s="32" t="n">
        <f aca="false">G27*03_HYDROLOGY!$C$10</f>
        <v>91.89603765216</v>
      </c>
      <c r="H28" s="32" t="n">
        <f aca="false">H27*03_HYDROLOGY!$C$10</f>
        <v>222.329123352</v>
      </c>
      <c r="I28" s="32" t="n">
        <f aca="false">I27*03_HYDROLOGY!$C$10</f>
        <v>282.72</v>
      </c>
      <c r="J28" s="32" t="n">
        <f aca="false">J27*03_HYDROLOGY!$C$10</f>
        <v>235.0336446864</v>
      </c>
      <c r="K28" s="32" t="n">
        <f aca="false">K27*03_HYDROLOGY!$C$10</f>
        <v>150.97206185712</v>
      </c>
      <c r="L28" s="32" t="n">
        <f aca="false">L27*03_HYDROLOGY!$C$10</f>
        <v>91.89603765216</v>
      </c>
      <c r="M28" s="32" t="n">
        <f aca="false">M27*03_HYDROLOGY!$C$10</f>
        <v>69.8748673392</v>
      </c>
      <c r="N28" s="32" t="n">
        <f aca="false">N27*03_HYDROLOGY!$C$10</f>
        <v>98.4600403416</v>
      </c>
      <c r="O28" s="32" t="n">
        <f aca="false">O27*03_HYDROLOGY!$C$10</f>
        <v>158.80651668</v>
      </c>
      <c r="P28" s="32" t="n">
        <f aca="false">P27*03_HYDROLOGY!$C$10</f>
        <v>131.2800537888</v>
      </c>
    </row>
    <row r="29" customFormat="false" ht="15" hidden="false" customHeight="false" outlineLevel="0" collapsed="false">
      <c r="A29" s="8" t="s">
        <v>183</v>
      </c>
      <c r="B29" s="8" t="s">
        <v>136</v>
      </c>
      <c r="E29" s="32" t="n">
        <f aca="false">MAX(E24-03_HYDROLOGY!$C$9-03_HYDROLOGY!$C$5,0)</f>
        <v>0</v>
      </c>
      <c r="F29" s="32" t="n">
        <f aca="false">MAX(F24-03_HYDROLOGY!$C$9-03_HYDROLOGY!$C$5,0)</f>
        <v>0</v>
      </c>
      <c r="G29" s="32" t="n">
        <f aca="false">MAX(G24-03_HYDROLOGY!$C$9-03_HYDROLOGY!$C$5,0)</f>
        <v>0</v>
      </c>
      <c r="H29" s="32" t="n">
        <f aca="false">MAX(H24-03_HYDROLOGY!$C$9-03_HYDROLOGY!$C$5,0)</f>
        <v>0</v>
      </c>
      <c r="I29" s="32" t="n">
        <f aca="false">MAX(I24-03_HYDROLOGY!$C$9-03_HYDROLOGY!$C$5,0)</f>
        <v>40</v>
      </c>
      <c r="J29" s="32" t="n">
        <f aca="false">MAX(J24-03_HYDROLOGY!$C$9-03_HYDROLOGY!$C$5,0)</f>
        <v>0</v>
      </c>
      <c r="K29" s="32" t="n">
        <f aca="false">MAX(K24-03_HYDROLOGY!$C$9-03_HYDROLOGY!$C$5,0)</f>
        <v>0</v>
      </c>
      <c r="L29" s="32" t="n">
        <f aca="false">MAX(L24-03_HYDROLOGY!$C$9-03_HYDROLOGY!$C$5,0)</f>
        <v>0</v>
      </c>
      <c r="M29" s="32" t="n">
        <f aca="false">MAX(M24-03_HYDROLOGY!$C$9-03_HYDROLOGY!$C$5,0)</f>
        <v>0</v>
      </c>
      <c r="N29" s="32" t="n">
        <f aca="false">MAX(N24-03_HYDROLOGY!$C$9-03_HYDROLOGY!$C$5,0)</f>
        <v>0</v>
      </c>
      <c r="O29" s="32" t="n">
        <f aca="false">MAX(O24-03_HYDROLOGY!$C$9-03_HYDROLOGY!$C$5,0)</f>
        <v>0</v>
      </c>
      <c r="P29" s="32" t="n">
        <f aca="false">MAX(P24-03_HYDROLOGY!$C$9-03_HYDROLOGY!$C$5,0)</f>
        <v>0</v>
      </c>
    </row>
    <row r="30" customFormat="false" ht="15" hidden="false" customHeight="false" outlineLevel="0" collapsed="false">
      <c r="A30" s="10" t="s">
        <v>184</v>
      </c>
    </row>
    <row r="32" customFormat="false" ht="15" hidden="false" customHeight="false" outlineLevel="0" collapsed="false">
      <c r="A32" s="6" t="s">
        <v>185</v>
      </c>
      <c r="B32" s="7"/>
      <c r="C32" s="7"/>
      <c r="D32" s="7"/>
      <c r="E32" s="7"/>
      <c r="F32" s="7"/>
      <c r="G32" s="7"/>
      <c r="H32" s="7"/>
      <c r="I32" s="7"/>
      <c r="J32" s="7"/>
    </row>
    <row r="33" customFormat="false" ht="15" hidden="false" customHeight="false" outlineLevel="0" collapsed="false">
      <c r="A33" s="4" t="s">
        <v>186</v>
      </c>
      <c r="B33" s="8" t="s">
        <v>181</v>
      </c>
      <c r="C33" s="35" t="n">
        <f aca="false">C28</f>
        <v>1665.87182477724</v>
      </c>
    </row>
    <row r="34" customFormat="false" ht="15" hidden="false" customHeight="false" outlineLevel="0" collapsed="false">
      <c r="A34" s="4" t="s">
        <v>187</v>
      </c>
      <c r="B34" s="8" t="s">
        <v>181</v>
      </c>
      <c r="C34" s="35" t="n">
        <f aca="false">03_HYDROLOGY!$C$33*(1-03_HYDROLOGY!$C$16*03_HYDROLOGY!$C$15)</f>
        <v>1531.03615927977</v>
      </c>
    </row>
    <row r="35" customFormat="false" ht="15" hidden="false" customHeight="false" outlineLevel="0" collapsed="false">
      <c r="A35" s="4" t="s">
        <v>188</v>
      </c>
      <c r="B35" s="8" t="s">
        <v>181</v>
      </c>
      <c r="C35" s="35" t="n">
        <f aca="false">03_HYDROLOGY!$C$33*(1-03_HYDROLOGY!$C$17*03_HYDROLOGY!$C$15)</f>
        <v>1409.6740651011</v>
      </c>
    </row>
    <row r="36" customFormat="false" ht="15" hidden="false" customHeight="false" outlineLevel="0" collapsed="false">
      <c r="A36" s="4" t="s">
        <v>189</v>
      </c>
      <c r="B36" s="8" t="s">
        <v>56</v>
      </c>
      <c r="C36" s="36" t="n">
        <f aca="false">03_HYDROLOGY!$C$33/(02_PROJECT_INPUTS!$C$15*8.76)</f>
        <v>0.475420041317705</v>
      </c>
    </row>
    <row r="37" customFormat="false" ht="15" hidden="false" customHeight="false" outlineLevel="0" collapsed="false">
      <c r="A37" s="8" t="s">
        <v>190</v>
      </c>
      <c r="B37" s="8" t="s">
        <v>115</v>
      </c>
      <c r="C37" s="37" t="n">
        <f aca="false">02_PROJECT_INPUTS!$C$15*03_HYDROLOGY!$C$10</f>
        <v>380</v>
      </c>
    </row>
    <row r="38" customFormat="false" ht="15" hidden="false" customHeight="false" outlineLevel="0" collapsed="false">
      <c r="A38" s="8" t="s">
        <v>191</v>
      </c>
      <c r="B38" s="8" t="s">
        <v>115</v>
      </c>
      <c r="C38" s="37" t="n">
        <f aca="false">03_HYDROLOGY!$C$33/8.76</f>
        <v>190.168016527082</v>
      </c>
    </row>
    <row r="39" customFormat="false" ht="15" hidden="false" customHeight="false" outlineLevel="0" collapsed="false">
      <c r="A39" s="8" t="s">
        <v>192</v>
      </c>
      <c r="B39" s="8" t="s">
        <v>115</v>
      </c>
      <c r="C39" s="37" t="n">
        <f aca="false">MIN(E26:P26)*03_HYDROLOGY!$C$10</f>
        <v>79.40325834</v>
      </c>
    </row>
    <row r="40" customFormat="false" ht="15" hidden="false" customHeight="false" outlineLevel="0" collapsed="false">
      <c r="A40" s="8" t="s">
        <v>193</v>
      </c>
      <c r="B40" s="8" t="s">
        <v>82</v>
      </c>
      <c r="C40" s="38" t="n">
        <f aca="false">03_HYDROLOGY!$C$35/03_HYDROLOGY!$C$33</f>
        <v>0.846208</v>
      </c>
    </row>
    <row r="41" customFormat="false" ht="15" hidden="false" customHeight="false" outlineLevel="0" collapsed="false">
      <c r="A41" s="8" t="s">
        <v>194</v>
      </c>
      <c r="B41" s="8" t="s">
        <v>115</v>
      </c>
      <c r="C41" s="37" t="n">
        <f aca="false">03_HYDROLOGY!$C$12*03_HYDROLOGY!$C$13*03_HYDROLOGY!$C$5*03_HYDROLOGY!$C$6*03_HYDROLOGY!$C$7*03_HYDROLOGY!$C$8/1000000</f>
        <v>417.911886</v>
      </c>
      <c r="D41" s="10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196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197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198</v>
      </c>
      <c r="B6" s="8" t="s">
        <v>181</v>
      </c>
      <c r="C6" s="39" t="n">
        <f aca="false">CHOOSE(01_CONTROL_PANEL!$C$6,03_HYDROLOGY!$C$33,03_HYDROLOGY!$C$34,03_HYDROLOGY!$C$35)</f>
        <v>1665.87182477724</v>
      </c>
    </row>
    <row r="7" customFormat="false" ht="15" hidden="false" customHeight="false" outlineLevel="0" collapsed="false">
      <c r="A7" s="8" t="s">
        <v>199</v>
      </c>
      <c r="B7" s="8" t="s">
        <v>181</v>
      </c>
      <c r="C7" s="39" t="n">
        <f aca="false">CHOOSE(01_CONTROL_PANEL!$C$7,03_HYDROLOGY!$C$33,03_HYDROLOGY!$C$34,03_HYDROLOGY!$C$35)</f>
        <v>1409.6740651011</v>
      </c>
    </row>
    <row r="8" customFormat="false" ht="15" hidden="false" customHeight="false" outlineLevel="0" collapsed="false">
      <c r="A8" s="6" t="s">
        <v>200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</row>
    <row r="9" customFormat="false" ht="15" hidden="false" customHeight="false" outlineLevel="0" collapsed="false">
      <c r="A9" s="8" t="s">
        <v>114</v>
      </c>
      <c r="B9" s="8" t="s">
        <v>115</v>
      </c>
      <c r="E9" s="34" t="n">
        <f aca="false">06_CONSTRUCTION!E14*02_PROJECT_INPUTS!$C$15</f>
        <v>0</v>
      </c>
      <c r="F9" s="34" t="n">
        <f aca="false">06_CONSTRUCTION!F14*02_PROJECT_INPUTS!$C$15</f>
        <v>0</v>
      </c>
      <c r="G9" s="34" t="n">
        <f aca="false">06_CONSTRUCTION!G14*02_PROJECT_INPUTS!$C$15</f>
        <v>0</v>
      </c>
      <c r="H9" s="34" t="n">
        <f aca="false">06_CONSTRUCTION!H14*02_PROJECT_INPUTS!$C$15</f>
        <v>0</v>
      </c>
      <c r="I9" s="34" t="n">
        <f aca="false">06_CONSTRUCTION!I14*02_PROJECT_INPUTS!$C$15</f>
        <v>0</v>
      </c>
      <c r="J9" s="34" t="n">
        <f aca="false">06_CONSTRUCTION!J14*02_PROJECT_INPUTS!$C$15</f>
        <v>400</v>
      </c>
      <c r="K9" s="34" t="n">
        <f aca="false">06_CONSTRUCTION!K14*02_PROJECT_INPUTS!$C$15</f>
        <v>400</v>
      </c>
      <c r="L9" s="34" t="n">
        <f aca="false">06_CONSTRUCTION!L14*02_PROJECT_INPUTS!$C$15</f>
        <v>400</v>
      </c>
      <c r="M9" s="34" t="n">
        <f aca="false">06_CONSTRUCTION!M14*02_PROJECT_INPUTS!$C$15</f>
        <v>400</v>
      </c>
      <c r="N9" s="34" t="n">
        <f aca="false">06_CONSTRUCTION!N14*02_PROJECT_INPUTS!$C$15</f>
        <v>400</v>
      </c>
      <c r="O9" s="34" t="n">
        <f aca="false">06_CONSTRUCTION!O14*02_PROJECT_INPUTS!$C$15</f>
        <v>400</v>
      </c>
      <c r="P9" s="34" t="n">
        <f aca="false">06_CONSTRUCTION!P14*02_PROJECT_INPUTS!$C$15</f>
        <v>400</v>
      </c>
      <c r="Q9" s="34" t="n">
        <f aca="false">06_CONSTRUCTION!Q14*02_PROJECT_INPUTS!$C$15</f>
        <v>400</v>
      </c>
      <c r="R9" s="34" t="n">
        <f aca="false">06_CONSTRUCTION!R14*02_PROJECT_INPUTS!$C$15</f>
        <v>400</v>
      </c>
      <c r="S9" s="34" t="n">
        <f aca="false">06_CONSTRUCTION!S14*02_PROJECT_INPUTS!$C$15</f>
        <v>400</v>
      </c>
      <c r="T9" s="34" t="n">
        <f aca="false">06_CONSTRUCTION!T14*02_PROJECT_INPUTS!$C$15</f>
        <v>400</v>
      </c>
      <c r="U9" s="34" t="n">
        <f aca="false">06_CONSTRUCTION!U14*02_PROJECT_INPUTS!$C$15</f>
        <v>400</v>
      </c>
      <c r="V9" s="34" t="n">
        <f aca="false">06_CONSTRUCTION!V14*02_PROJECT_INPUTS!$C$15</f>
        <v>400</v>
      </c>
      <c r="W9" s="34" t="n">
        <f aca="false">06_CONSTRUCTION!W14*02_PROJECT_INPUTS!$C$15</f>
        <v>400</v>
      </c>
      <c r="X9" s="34" t="n">
        <f aca="false">06_CONSTRUCTION!X14*02_PROJECT_INPUTS!$C$15</f>
        <v>400</v>
      </c>
      <c r="Y9" s="34" t="n">
        <f aca="false">06_CONSTRUCTION!Y14*02_PROJECT_INPUTS!$C$15</f>
        <v>400</v>
      </c>
      <c r="Z9" s="34" t="n">
        <f aca="false">06_CONSTRUCTION!Z14*02_PROJECT_INPUTS!$C$15</f>
        <v>400</v>
      </c>
      <c r="AA9" s="34" t="n">
        <f aca="false">06_CONSTRUCTION!AA14*02_PROJECT_INPUTS!$C$15</f>
        <v>400</v>
      </c>
      <c r="AB9" s="34" t="n">
        <f aca="false">06_CONSTRUCTION!AB14*02_PROJECT_INPUTS!$C$15</f>
        <v>400</v>
      </c>
      <c r="AC9" s="34" t="n">
        <f aca="false">06_CONSTRUCTION!AC14*02_PROJECT_INPUTS!$C$15</f>
        <v>400</v>
      </c>
      <c r="AD9" s="34" t="n">
        <f aca="false">06_CONSTRUCTION!AD14*02_PROJECT_INPUTS!$C$15</f>
        <v>400</v>
      </c>
      <c r="AE9" s="34" t="n">
        <f aca="false">06_CONSTRUCTION!AE14*02_PROJECT_INPUTS!$C$15</f>
        <v>400</v>
      </c>
      <c r="AF9" s="34" t="n">
        <f aca="false">06_CONSTRUCTION!AF14*02_PROJECT_INPUTS!$C$15</f>
        <v>400</v>
      </c>
      <c r="AG9" s="34" t="n">
        <f aca="false">06_CONSTRUCTION!AG14*02_PROJECT_INPUTS!$C$15</f>
        <v>400</v>
      </c>
      <c r="AH9" s="34" t="n">
        <f aca="false">06_CONSTRUCTION!AH14*02_PROJECT_INPUTS!$C$15</f>
        <v>400</v>
      </c>
      <c r="AI9" s="34" t="n">
        <f aca="false">06_CONSTRUCTION!AI14*02_PROJECT_INPUTS!$C$15</f>
        <v>400</v>
      </c>
      <c r="AJ9" s="34" t="n">
        <f aca="false">06_CONSTRUCTION!AJ14*02_PROJECT_INPUTS!$C$15</f>
        <v>400</v>
      </c>
      <c r="AK9" s="34" t="n">
        <f aca="false">06_CONSTRUCTION!AK14*02_PROJECT_INPUTS!$C$15</f>
        <v>400</v>
      </c>
      <c r="AL9" s="34" t="n">
        <f aca="false">06_CONSTRUCTION!AL14*02_PROJECT_INPUTS!$C$15</f>
        <v>400</v>
      </c>
      <c r="AM9" s="34" t="n">
        <f aca="false">06_CONSTRUCTION!AM14*02_PROJECT_INPUTS!$C$15</f>
        <v>400</v>
      </c>
      <c r="AN9" s="34" t="n">
        <f aca="false">06_CONSTRUCTION!AN14*02_PROJECT_INPUTS!$C$15</f>
        <v>0</v>
      </c>
      <c r="AO9" s="34" t="n">
        <f aca="false">06_CONSTRUCTION!AO14*02_PROJECT_INPUTS!$C$15</f>
        <v>0</v>
      </c>
      <c r="AP9" s="34" t="n">
        <f aca="false">06_CONSTRUCTION!AP14*02_PROJECT_INPUTS!$C$15</f>
        <v>0</v>
      </c>
      <c r="AQ9" s="34" t="n">
        <f aca="false">06_CONSTRUCTION!AQ14*02_PROJECT_INPUTS!$C$15</f>
        <v>0</v>
      </c>
      <c r="AR9" s="34" t="n">
        <f aca="false">06_CONSTRUCTION!AR14*02_PROJECT_INPUTS!$C$15</f>
        <v>0</v>
      </c>
    </row>
    <row r="10" customFormat="false" ht="15" hidden="false" customHeight="false" outlineLevel="0" collapsed="false">
      <c r="A10" s="8" t="s">
        <v>201</v>
      </c>
      <c r="B10" s="8" t="s">
        <v>115</v>
      </c>
      <c r="E10" s="34" t="n">
        <f aca="false">06_CONSTRUCTION!E14*03_HYDROLOGY!$C$37</f>
        <v>0</v>
      </c>
      <c r="F10" s="34" t="n">
        <f aca="false">06_CONSTRUCTION!F14*03_HYDROLOGY!$C$37</f>
        <v>0</v>
      </c>
      <c r="G10" s="34" t="n">
        <f aca="false">06_CONSTRUCTION!G14*03_HYDROLOGY!$C$37</f>
        <v>0</v>
      </c>
      <c r="H10" s="34" t="n">
        <f aca="false">06_CONSTRUCTION!H14*03_HYDROLOGY!$C$37</f>
        <v>0</v>
      </c>
      <c r="I10" s="34" t="n">
        <f aca="false">06_CONSTRUCTION!I14*03_HYDROLOGY!$C$37</f>
        <v>0</v>
      </c>
      <c r="J10" s="34" t="n">
        <f aca="false">06_CONSTRUCTION!J14*03_HYDROLOGY!$C$37</f>
        <v>380</v>
      </c>
      <c r="K10" s="34" t="n">
        <f aca="false">06_CONSTRUCTION!K14*03_HYDROLOGY!$C$37</f>
        <v>380</v>
      </c>
      <c r="L10" s="34" t="n">
        <f aca="false">06_CONSTRUCTION!L14*03_HYDROLOGY!$C$37</f>
        <v>380</v>
      </c>
      <c r="M10" s="34" t="n">
        <f aca="false">06_CONSTRUCTION!M14*03_HYDROLOGY!$C$37</f>
        <v>380</v>
      </c>
      <c r="N10" s="34" t="n">
        <f aca="false">06_CONSTRUCTION!N14*03_HYDROLOGY!$C$37</f>
        <v>380</v>
      </c>
      <c r="O10" s="34" t="n">
        <f aca="false">06_CONSTRUCTION!O14*03_HYDROLOGY!$C$37</f>
        <v>380</v>
      </c>
      <c r="P10" s="34" t="n">
        <f aca="false">06_CONSTRUCTION!P14*03_HYDROLOGY!$C$37</f>
        <v>380</v>
      </c>
      <c r="Q10" s="34" t="n">
        <f aca="false">06_CONSTRUCTION!Q14*03_HYDROLOGY!$C$37</f>
        <v>380</v>
      </c>
      <c r="R10" s="34" t="n">
        <f aca="false">06_CONSTRUCTION!R14*03_HYDROLOGY!$C$37</f>
        <v>380</v>
      </c>
      <c r="S10" s="34" t="n">
        <f aca="false">06_CONSTRUCTION!S14*03_HYDROLOGY!$C$37</f>
        <v>380</v>
      </c>
      <c r="T10" s="34" t="n">
        <f aca="false">06_CONSTRUCTION!T14*03_HYDROLOGY!$C$37</f>
        <v>380</v>
      </c>
      <c r="U10" s="34" t="n">
        <f aca="false">06_CONSTRUCTION!U14*03_HYDROLOGY!$C$37</f>
        <v>380</v>
      </c>
      <c r="V10" s="34" t="n">
        <f aca="false">06_CONSTRUCTION!V14*03_HYDROLOGY!$C$37</f>
        <v>380</v>
      </c>
      <c r="W10" s="34" t="n">
        <f aca="false">06_CONSTRUCTION!W14*03_HYDROLOGY!$C$37</f>
        <v>380</v>
      </c>
      <c r="X10" s="34" t="n">
        <f aca="false">06_CONSTRUCTION!X14*03_HYDROLOGY!$C$37</f>
        <v>380</v>
      </c>
      <c r="Y10" s="34" t="n">
        <f aca="false">06_CONSTRUCTION!Y14*03_HYDROLOGY!$C$37</f>
        <v>380</v>
      </c>
      <c r="Z10" s="34" t="n">
        <f aca="false">06_CONSTRUCTION!Z14*03_HYDROLOGY!$C$37</f>
        <v>380</v>
      </c>
      <c r="AA10" s="34" t="n">
        <f aca="false">06_CONSTRUCTION!AA14*03_HYDROLOGY!$C$37</f>
        <v>380</v>
      </c>
      <c r="AB10" s="34" t="n">
        <f aca="false">06_CONSTRUCTION!AB14*03_HYDROLOGY!$C$37</f>
        <v>380</v>
      </c>
      <c r="AC10" s="34" t="n">
        <f aca="false">06_CONSTRUCTION!AC14*03_HYDROLOGY!$C$37</f>
        <v>380</v>
      </c>
      <c r="AD10" s="34" t="n">
        <f aca="false">06_CONSTRUCTION!AD14*03_HYDROLOGY!$C$37</f>
        <v>380</v>
      </c>
      <c r="AE10" s="34" t="n">
        <f aca="false">06_CONSTRUCTION!AE14*03_HYDROLOGY!$C$37</f>
        <v>380</v>
      </c>
      <c r="AF10" s="34" t="n">
        <f aca="false">06_CONSTRUCTION!AF14*03_HYDROLOGY!$C$37</f>
        <v>380</v>
      </c>
      <c r="AG10" s="34" t="n">
        <f aca="false">06_CONSTRUCTION!AG14*03_HYDROLOGY!$C$37</f>
        <v>380</v>
      </c>
      <c r="AH10" s="34" t="n">
        <f aca="false">06_CONSTRUCTION!AH14*03_HYDROLOGY!$C$37</f>
        <v>380</v>
      </c>
      <c r="AI10" s="34" t="n">
        <f aca="false">06_CONSTRUCTION!AI14*03_HYDROLOGY!$C$37</f>
        <v>380</v>
      </c>
      <c r="AJ10" s="34" t="n">
        <f aca="false">06_CONSTRUCTION!AJ14*03_HYDROLOGY!$C$37</f>
        <v>380</v>
      </c>
      <c r="AK10" s="34" t="n">
        <f aca="false">06_CONSTRUCTION!AK14*03_HYDROLOGY!$C$37</f>
        <v>380</v>
      </c>
      <c r="AL10" s="34" t="n">
        <f aca="false">06_CONSTRUCTION!AL14*03_HYDROLOGY!$C$37</f>
        <v>380</v>
      </c>
      <c r="AM10" s="34" t="n">
        <f aca="false">06_CONSTRUCTION!AM14*03_HYDROLOGY!$C$37</f>
        <v>380</v>
      </c>
      <c r="AN10" s="34" t="n">
        <f aca="false">06_CONSTRUCTION!AN14*03_HYDROLOGY!$C$37</f>
        <v>0</v>
      </c>
      <c r="AO10" s="34" t="n">
        <f aca="false">06_CONSTRUCTION!AO14*03_HYDROLOGY!$C$37</f>
        <v>0</v>
      </c>
      <c r="AP10" s="34" t="n">
        <f aca="false">06_CONSTRUCTION!AP14*03_HYDROLOGY!$C$37</f>
        <v>0</v>
      </c>
      <c r="AQ10" s="34" t="n">
        <f aca="false">06_CONSTRUCTION!AQ14*03_HYDROLOGY!$C$37</f>
        <v>0</v>
      </c>
      <c r="AR10" s="34" t="n">
        <f aca="false">06_CONSTRUCTION!AR14*03_HYDROLOGY!$C$37</f>
        <v>0</v>
      </c>
    </row>
    <row r="11" customFormat="false" ht="15" hidden="false" customHeight="false" outlineLevel="0" collapsed="false">
      <c r="A11" s="6" t="s">
        <v>202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</row>
    <row r="12" customFormat="false" ht="15" hidden="false" customHeight="false" outlineLevel="0" collapsed="false">
      <c r="A12" s="8" t="s">
        <v>203</v>
      </c>
      <c r="B12" s="8" t="s">
        <v>82</v>
      </c>
      <c r="E12" s="40" t="n">
        <f aca="false">IF(AND(01_CONTROL_PANEL!$C$15=1,06_CONSTRUCTION!E5&gt;=27_SCENARIOS!$C$12,06_CONSTRUCTION!E5&lt;27_SCENARIOS!$C$12+27_SCENARIOS!$C$13),27_SCENARIOS!$C$11,1)</f>
        <v>1</v>
      </c>
      <c r="F12" s="40" t="n">
        <f aca="false">IF(AND(01_CONTROL_PANEL!$C$15=1,06_CONSTRUCTION!F5&gt;=27_SCENARIOS!$C$12,06_CONSTRUCTION!F5&lt;27_SCENARIOS!$C$12+27_SCENARIOS!$C$13),27_SCENARIOS!$C$11,1)</f>
        <v>1</v>
      </c>
      <c r="G12" s="40" t="n">
        <f aca="false">IF(AND(01_CONTROL_PANEL!$C$15=1,06_CONSTRUCTION!G5&gt;=27_SCENARIOS!$C$12,06_CONSTRUCTION!G5&lt;27_SCENARIOS!$C$12+27_SCENARIOS!$C$13),27_SCENARIOS!$C$11,1)</f>
        <v>1</v>
      </c>
      <c r="H12" s="40" t="n">
        <f aca="false">IF(AND(01_CONTROL_PANEL!$C$15=1,06_CONSTRUCTION!H5&gt;=27_SCENARIOS!$C$12,06_CONSTRUCTION!H5&lt;27_SCENARIOS!$C$12+27_SCENARIOS!$C$13),27_SCENARIOS!$C$11,1)</f>
        <v>1</v>
      </c>
      <c r="I12" s="40" t="n">
        <f aca="false">IF(AND(01_CONTROL_PANEL!$C$15=1,06_CONSTRUCTION!I5&gt;=27_SCENARIOS!$C$12,06_CONSTRUCTION!I5&lt;27_SCENARIOS!$C$12+27_SCENARIOS!$C$13),27_SCENARIOS!$C$11,1)</f>
        <v>1</v>
      </c>
      <c r="J12" s="40" t="n">
        <f aca="false">IF(AND(01_CONTROL_PANEL!$C$15=1,06_CONSTRUCTION!J5&gt;=27_SCENARIOS!$C$12,06_CONSTRUCTION!J5&lt;27_SCENARIOS!$C$12+27_SCENARIOS!$C$13),27_SCENARIOS!$C$11,1)</f>
        <v>1</v>
      </c>
      <c r="K12" s="40" t="n">
        <f aca="false">IF(AND(01_CONTROL_PANEL!$C$15=1,06_CONSTRUCTION!K5&gt;=27_SCENARIOS!$C$12,06_CONSTRUCTION!K5&lt;27_SCENARIOS!$C$12+27_SCENARIOS!$C$13),27_SCENARIOS!$C$11,1)</f>
        <v>1</v>
      </c>
      <c r="L12" s="40" t="n">
        <f aca="false">IF(AND(01_CONTROL_PANEL!$C$15=1,06_CONSTRUCTION!L5&gt;=27_SCENARIOS!$C$12,06_CONSTRUCTION!L5&lt;27_SCENARIOS!$C$12+27_SCENARIOS!$C$13),27_SCENARIOS!$C$11,1)</f>
        <v>1</v>
      </c>
      <c r="M12" s="40" t="n">
        <f aca="false">IF(AND(01_CONTROL_PANEL!$C$15=1,06_CONSTRUCTION!M5&gt;=27_SCENARIOS!$C$12,06_CONSTRUCTION!M5&lt;27_SCENARIOS!$C$12+27_SCENARIOS!$C$13),27_SCENARIOS!$C$11,1)</f>
        <v>1</v>
      </c>
      <c r="N12" s="40" t="n">
        <f aca="false">IF(AND(01_CONTROL_PANEL!$C$15=1,06_CONSTRUCTION!N5&gt;=27_SCENARIOS!$C$12,06_CONSTRUCTION!N5&lt;27_SCENARIOS!$C$12+27_SCENARIOS!$C$13),27_SCENARIOS!$C$11,1)</f>
        <v>1</v>
      </c>
      <c r="O12" s="40" t="n">
        <f aca="false">IF(AND(01_CONTROL_PANEL!$C$15=1,06_CONSTRUCTION!O5&gt;=27_SCENARIOS!$C$12,06_CONSTRUCTION!O5&lt;27_SCENARIOS!$C$12+27_SCENARIOS!$C$13),27_SCENARIOS!$C$11,1)</f>
        <v>1</v>
      </c>
      <c r="P12" s="40" t="n">
        <f aca="false">IF(AND(01_CONTROL_PANEL!$C$15=1,06_CONSTRUCTION!P5&gt;=27_SCENARIOS!$C$12,06_CONSTRUCTION!P5&lt;27_SCENARIOS!$C$12+27_SCENARIOS!$C$13),27_SCENARIOS!$C$11,1)</f>
        <v>1</v>
      </c>
      <c r="Q12" s="40" t="n">
        <f aca="false">IF(AND(01_CONTROL_PANEL!$C$15=1,06_CONSTRUCTION!Q5&gt;=27_SCENARIOS!$C$12,06_CONSTRUCTION!Q5&lt;27_SCENARIOS!$C$12+27_SCENARIOS!$C$13),27_SCENARIOS!$C$11,1)</f>
        <v>1</v>
      </c>
      <c r="R12" s="40" t="n">
        <f aca="false">IF(AND(01_CONTROL_PANEL!$C$15=1,06_CONSTRUCTION!R5&gt;=27_SCENARIOS!$C$12,06_CONSTRUCTION!R5&lt;27_SCENARIOS!$C$12+27_SCENARIOS!$C$13),27_SCENARIOS!$C$11,1)</f>
        <v>1</v>
      </c>
      <c r="S12" s="40" t="n">
        <f aca="false">IF(AND(01_CONTROL_PANEL!$C$15=1,06_CONSTRUCTION!S5&gt;=27_SCENARIOS!$C$12,06_CONSTRUCTION!S5&lt;27_SCENARIOS!$C$12+27_SCENARIOS!$C$13),27_SCENARIOS!$C$11,1)</f>
        <v>1</v>
      </c>
      <c r="T12" s="40" t="n">
        <f aca="false">IF(AND(01_CONTROL_PANEL!$C$15=1,06_CONSTRUCTION!T5&gt;=27_SCENARIOS!$C$12,06_CONSTRUCTION!T5&lt;27_SCENARIOS!$C$12+27_SCENARIOS!$C$13),27_SCENARIOS!$C$11,1)</f>
        <v>1</v>
      </c>
      <c r="U12" s="40" t="n">
        <f aca="false">IF(AND(01_CONTROL_PANEL!$C$15=1,06_CONSTRUCTION!U5&gt;=27_SCENARIOS!$C$12,06_CONSTRUCTION!U5&lt;27_SCENARIOS!$C$12+27_SCENARIOS!$C$13),27_SCENARIOS!$C$11,1)</f>
        <v>1</v>
      </c>
      <c r="V12" s="40" t="n">
        <f aca="false">IF(AND(01_CONTROL_PANEL!$C$15=1,06_CONSTRUCTION!V5&gt;=27_SCENARIOS!$C$12,06_CONSTRUCTION!V5&lt;27_SCENARIOS!$C$12+27_SCENARIOS!$C$13),27_SCENARIOS!$C$11,1)</f>
        <v>1</v>
      </c>
      <c r="W12" s="40" t="n">
        <f aca="false">IF(AND(01_CONTROL_PANEL!$C$15=1,06_CONSTRUCTION!W5&gt;=27_SCENARIOS!$C$12,06_CONSTRUCTION!W5&lt;27_SCENARIOS!$C$12+27_SCENARIOS!$C$13),27_SCENARIOS!$C$11,1)</f>
        <v>1</v>
      </c>
      <c r="X12" s="40" t="n">
        <f aca="false">IF(AND(01_CONTROL_PANEL!$C$15=1,06_CONSTRUCTION!X5&gt;=27_SCENARIOS!$C$12,06_CONSTRUCTION!X5&lt;27_SCENARIOS!$C$12+27_SCENARIOS!$C$13),27_SCENARIOS!$C$11,1)</f>
        <v>1</v>
      </c>
      <c r="Y12" s="40" t="n">
        <f aca="false">IF(AND(01_CONTROL_PANEL!$C$15=1,06_CONSTRUCTION!Y5&gt;=27_SCENARIOS!$C$12,06_CONSTRUCTION!Y5&lt;27_SCENARIOS!$C$12+27_SCENARIOS!$C$13),27_SCENARIOS!$C$11,1)</f>
        <v>1</v>
      </c>
      <c r="Z12" s="40" t="n">
        <f aca="false">IF(AND(01_CONTROL_PANEL!$C$15=1,06_CONSTRUCTION!Z5&gt;=27_SCENARIOS!$C$12,06_CONSTRUCTION!Z5&lt;27_SCENARIOS!$C$12+27_SCENARIOS!$C$13),27_SCENARIOS!$C$11,1)</f>
        <v>1</v>
      </c>
      <c r="AA12" s="40" t="n">
        <f aca="false">IF(AND(01_CONTROL_PANEL!$C$15=1,06_CONSTRUCTION!AA5&gt;=27_SCENARIOS!$C$12,06_CONSTRUCTION!AA5&lt;27_SCENARIOS!$C$12+27_SCENARIOS!$C$13),27_SCENARIOS!$C$11,1)</f>
        <v>1</v>
      </c>
      <c r="AB12" s="40" t="n">
        <f aca="false">IF(AND(01_CONTROL_PANEL!$C$15=1,06_CONSTRUCTION!AB5&gt;=27_SCENARIOS!$C$12,06_CONSTRUCTION!AB5&lt;27_SCENARIOS!$C$12+27_SCENARIOS!$C$13),27_SCENARIOS!$C$11,1)</f>
        <v>1</v>
      </c>
      <c r="AC12" s="40" t="n">
        <f aca="false">IF(AND(01_CONTROL_PANEL!$C$15=1,06_CONSTRUCTION!AC5&gt;=27_SCENARIOS!$C$12,06_CONSTRUCTION!AC5&lt;27_SCENARIOS!$C$12+27_SCENARIOS!$C$13),27_SCENARIOS!$C$11,1)</f>
        <v>1</v>
      </c>
      <c r="AD12" s="40" t="n">
        <f aca="false">IF(AND(01_CONTROL_PANEL!$C$15=1,06_CONSTRUCTION!AD5&gt;=27_SCENARIOS!$C$12,06_CONSTRUCTION!AD5&lt;27_SCENARIOS!$C$12+27_SCENARIOS!$C$13),27_SCENARIOS!$C$11,1)</f>
        <v>1</v>
      </c>
      <c r="AE12" s="40" t="n">
        <f aca="false">IF(AND(01_CONTROL_PANEL!$C$15=1,06_CONSTRUCTION!AE5&gt;=27_SCENARIOS!$C$12,06_CONSTRUCTION!AE5&lt;27_SCENARIOS!$C$12+27_SCENARIOS!$C$13),27_SCENARIOS!$C$11,1)</f>
        <v>1</v>
      </c>
      <c r="AF12" s="40" t="n">
        <f aca="false">IF(AND(01_CONTROL_PANEL!$C$15=1,06_CONSTRUCTION!AF5&gt;=27_SCENARIOS!$C$12,06_CONSTRUCTION!AF5&lt;27_SCENARIOS!$C$12+27_SCENARIOS!$C$13),27_SCENARIOS!$C$11,1)</f>
        <v>1</v>
      </c>
      <c r="AG12" s="40" t="n">
        <f aca="false">IF(AND(01_CONTROL_PANEL!$C$15=1,06_CONSTRUCTION!AG5&gt;=27_SCENARIOS!$C$12,06_CONSTRUCTION!AG5&lt;27_SCENARIOS!$C$12+27_SCENARIOS!$C$13),27_SCENARIOS!$C$11,1)</f>
        <v>1</v>
      </c>
      <c r="AH12" s="40" t="n">
        <f aca="false">IF(AND(01_CONTROL_PANEL!$C$15=1,06_CONSTRUCTION!AH5&gt;=27_SCENARIOS!$C$12,06_CONSTRUCTION!AH5&lt;27_SCENARIOS!$C$12+27_SCENARIOS!$C$13),27_SCENARIOS!$C$11,1)</f>
        <v>1</v>
      </c>
      <c r="AI12" s="40" t="n">
        <f aca="false">IF(AND(01_CONTROL_PANEL!$C$15=1,06_CONSTRUCTION!AI5&gt;=27_SCENARIOS!$C$12,06_CONSTRUCTION!AI5&lt;27_SCENARIOS!$C$12+27_SCENARIOS!$C$13),27_SCENARIOS!$C$11,1)</f>
        <v>1</v>
      </c>
      <c r="AJ12" s="40" t="n">
        <f aca="false">IF(AND(01_CONTROL_PANEL!$C$15=1,06_CONSTRUCTION!AJ5&gt;=27_SCENARIOS!$C$12,06_CONSTRUCTION!AJ5&lt;27_SCENARIOS!$C$12+27_SCENARIOS!$C$13),27_SCENARIOS!$C$11,1)</f>
        <v>1</v>
      </c>
      <c r="AK12" s="40" t="n">
        <f aca="false">IF(AND(01_CONTROL_PANEL!$C$15=1,06_CONSTRUCTION!AK5&gt;=27_SCENARIOS!$C$12,06_CONSTRUCTION!AK5&lt;27_SCENARIOS!$C$12+27_SCENARIOS!$C$13),27_SCENARIOS!$C$11,1)</f>
        <v>1</v>
      </c>
      <c r="AL12" s="40" t="n">
        <f aca="false">IF(AND(01_CONTROL_PANEL!$C$15=1,06_CONSTRUCTION!AL5&gt;=27_SCENARIOS!$C$12,06_CONSTRUCTION!AL5&lt;27_SCENARIOS!$C$12+27_SCENARIOS!$C$13),27_SCENARIOS!$C$11,1)</f>
        <v>1</v>
      </c>
      <c r="AM12" s="40" t="n">
        <f aca="false">IF(AND(01_CONTROL_PANEL!$C$15=1,06_CONSTRUCTION!AM5&gt;=27_SCENARIOS!$C$12,06_CONSTRUCTION!AM5&lt;27_SCENARIOS!$C$12+27_SCENARIOS!$C$13),27_SCENARIOS!$C$11,1)</f>
        <v>1</v>
      </c>
      <c r="AN12" s="40" t="n">
        <f aca="false">IF(AND(01_CONTROL_PANEL!$C$15=1,06_CONSTRUCTION!AN5&gt;=27_SCENARIOS!$C$12,06_CONSTRUCTION!AN5&lt;27_SCENARIOS!$C$12+27_SCENARIOS!$C$13),27_SCENARIOS!$C$11,1)</f>
        <v>1</v>
      </c>
      <c r="AO12" s="40" t="n">
        <f aca="false">IF(AND(01_CONTROL_PANEL!$C$15=1,06_CONSTRUCTION!AO5&gt;=27_SCENARIOS!$C$12,06_CONSTRUCTION!AO5&lt;27_SCENARIOS!$C$12+27_SCENARIOS!$C$13),27_SCENARIOS!$C$11,1)</f>
        <v>1</v>
      </c>
      <c r="AP12" s="40" t="n">
        <f aca="false">IF(AND(01_CONTROL_PANEL!$C$15=1,06_CONSTRUCTION!AP5&gt;=27_SCENARIOS!$C$12,06_CONSTRUCTION!AP5&lt;27_SCENARIOS!$C$12+27_SCENARIOS!$C$13),27_SCENARIOS!$C$11,1)</f>
        <v>1</v>
      </c>
      <c r="AQ12" s="40" t="n">
        <f aca="false">IF(AND(01_CONTROL_PANEL!$C$15=1,06_CONSTRUCTION!AQ5&gt;=27_SCENARIOS!$C$12,06_CONSTRUCTION!AQ5&lt;27_SCENARIOS!$C$12+27_SCENARIOS!$C$13),27_SCENARIOS!$C$11,1)</f>
        <v>1</v>
      </c>
      <c r="AR12" s="40" t="n">
        <f aca="false">IF(AND(01_CONTROL_PANEL!$C$15=1,06_CONSTRUCTION!AR5&gt;=27_SCENARIOS!$C$12,06_CONSTRUCTION!AR5&lt;27_SCENARIOS!$C$12+27_SCENARIOS!$C$13),27_SCENARIOS!$C$11,1)</f>
        <v>1</v>
      </c>
    </row>
    <row r="13" customFormat="false" ht="15" hidden="false" customHeight="false" outlineLevel="0" collapsed="false">
      <c r="A13" s="8" t="s">
        <v>204</v>
      </c>
      <c r="B13" s="8" t="s">
        <v>82</v>
      </c>
      <c r="E13" s="40" t="n">
        <f aca="false">(1+27_SCENARIOS!$C$38)^((06_CONSTRUCTION!E4-02_PROJECT_INPUTS!$C$11)/10)</f>
        <v>1</v>
      </c>
      <c r="F13" s="40" t="n">
        <f aca="false">(1+27_SCENARIOS!$C$38)^((06_CONSTRUCTION!F4-02_PROJECT_INPUTS!$C$11)/10)</f>
        <v>1</v>
      </c>
      <c r="G13" s="40" t="n">
        <f aca="false">(1+27_SCENARIOS!$C$38)^((06_CONSTRUCTION!G4-02_PROJECT_INPUTS!$C$11)/10)</f>
        <v>1</v>
      </c>
      <c r="H13" s="40" t="n">
        <f aca="false">(1+27_SCENARIOS!$C$38)^((06_CONSTRUCTION!H4-02_PROJECT_INPUTS!$C$11)/10)</f>
        <v>1</v>
      </c>
      <c r="I13" s="40" t="n">
        <f aca="false">(1+27_SCENARIOS!$C$38)^((06_CONSTRUCTION!I4-02_PROJECT_INPUTS!$C$11)/10)</f>
        <v>1</v>
      </c>
      <c r="J13" s="40" t="n">
        <f aca="false">(1+27_SCENARIOS!$C$38)^((06_CONSTRUCTION!J4-02_PROJECT_INPUTS!$C$11)/10)</f>
        <v>1</v>
      </c>
      <c r="K13" s="40" t="n">
        <f aca="false">(1+27_SCENARIOS!$C$38)^((06_CONSTRUCTION!K4-02_PROJECT_INPUTS!$C$11)/10)</f>
        <v>1</v>
      </c>
      <c r="L13" s="40" t="n">
        <f aca="false">(1+27_SCENARIOS!$C$38)^((06_CONSTRUCTION!L4-02_PROJECT_INPUTS!$C$11)/10)</f>
        <v>1</v>
      </c>
      <c r="M13" s="40" t="n">
        <f aca="false">(1+27_SCENARIOS!$C$38)^((06_CONSTRUCTION!M4-02_PROJECT_INPUTS!$C$11)/10)</f>
        <v>1</v>
      </c>
      <c r="N13" s="40" t="n">
        <f aca="false">(1+27_SCENARIOS!$C$38)^((06_CONSTRUCTION!N4-02_PROJECT_INPUTS!$C$11)/10)</f>
        <v>1</v>
      </c>
      <c r="O13" s="40" t="n">
        <f aca="false">(1+27_SCENARIOS!$C$38)^((06_CONSTRUCTION!O4-02_PROJECT_INPUTS!$C$11)/10)</f>
        <v>1</v>
      </c>
      <c r="P13" s="40" t="n">
        <f aca="false">(1+27_SCENARIOS!$C$38)^((06_CONSTRUCTION!P4-02_PROJECT_INPUTS!$C$11)/10)</f>
        <v>1</v>
      </c>
      <c r="Q13" s="40" t="n">
        <f aca="false">(1+27_SCENARIOS!$C$38)^((06_CONSTRUCTION!Q4-02_PROJECT_INPUTS!$C$11)/10)</f>
        <v>1</v>
      </c>
      <c r="R13" s="40" t="n">
        <f aca="false">(1+27_SCENARIOS!$C$38)^((06_CONSTRUCTION!R4-02_PROJECT_INPUTS!$C$11)/10)</f>
        <v>1</v>
      </c>
      <c r="S13" s="40" t="n">
        <f aca="false">(1+27_SCENARIOS!$C$38)^((06_CONSTRUCTION!S4-02_PROJECT_INPUTS!$C$11)/10)</f>
        <v>1</v>
      </c>
      <c r="T13" s="40" t="n">
        <f aca="false">(1+27_SCENARIOS!$C$38)^((06_CONSTRUCTION!T4-02_PROJECT_INPUTS!$C$11)/10)</f>
        <v>1</v>
      </c>
      <c r="U13" s="40" t="n">
        <f aca="false">(1+27_SCENARIOS!$C$38)^((06_CONSTRUCTION!U4-02_PROJECT_INPUTS!$C$11)/10)</f>
        <v>1</v>
      </c>
      <c r="V13" s="40" t="n">
        <f aca="false">(1+27_SCENARIOS!$C$38)^((06_CONSTRUCTION!V4-02_PROJECT_INPUTS!$C$11)/10)</f>
        <v>1</v>
      </c>
      <c r="W13" s="40" t="n">
        <f aca="false">(1+27_SCENARIOS!$C$38)^((06_CONSTRUCTION!W4-02_PROJECT_INPUTS!$C$11)/10)</f>
        <v>1</v>
      </c>
      <c r="X13" s="40" t="n">
        <f aca="false">(1+27_SCENARIOS!$C$38)^((06_CONSTRUCTION!X4-02_PROJECT_INPUTS!$C$11)/10)</f>
        <v>1</v>
      </c>
      <c r="Y13" s="40" t="n">
        <f aca="false">(1+27_SCENARIOS!$C$38)^((06_CONSTRUCTION!Y4-02_PROJECT_INPUTS!$C$11)/10)</f>
        <v>1</v>
      </c>
      <c r="Z13" s="40" t="n">
        <f aca="false">(1+27_SCENARIOS!$C$38)^((06_CONSTRUCTION!Z4-02_PROJECT_INPUTS!$C$11)/10)</f>
        <v>1</v>
      </c>
      <c r="AA13" s="40" t="n">
        <f aca="false">(1+27_SCENARIOS!$C$38)^((06_CONSTRUCTION!AA4-02_PROJECT_INPUTS!$C$11)/10)</f>
        <v>1</v>
      </c>
      <c r="AB13" s="40" t="n">
        <f aca="false">(1+27_SCENARIOS!$C$38)^((06_CONSTRUCTION!AB4-02_PROJECT_INPUTS!$C$11)/10)</f>
        <v>1</v>
      </c>
      <c r="AC13" s="40" t="n">
        <f aca="false">(1+27_SCENARIOS!$C$38)^((06_CONSTRUCTION!AC4-02_PROJECT_INPUTS!$C$11)/10)</f>
        <v>1</v>
      </c>
      <c r="AD13" s="40" t="n">
        <f aca="false">(1+27_SCENARIOS!$C$38)^((06_CONSTRUCTION!AD4-02_PROJECT_INPUTS!$C$11)/10)</f>
        <v>1</v>
      </c>
      <c r="AE13" s="40" t="n">
        <f aca="false">(1+27_SCENARIOS!$C$38)^((06_CONSTRUCTION!AE4-02_PROJECT_INPUTS!$C$11)/10)</f>
        <v>1</v>
      </c>
      <c r="AF13" s="40" t="n">
        <f aca="false">(1+27_SCENARIOS!$C$38)^((06_CONSTRUCTION!AF4-02_PROJECT_INPUTS!$C$11)/10)</f>
        <v>1</v>
      </c>
      <c r="AG13" s="40" t="n">
        <f aca="false">(1+27_SCENARIOS!$C$38)^((06_CONSTRUCTION!AG4-02_PROJECT_INPUTS!$C$11)/10)</f>
        <v>1</v>
      </c>
      <c r="AH13" s="40" t="n">
        <f aca="false">(1+27_SCENARIOS!$C$38)^((06_CONSTRUCTION!AH4-02_PROJECT_INPUTS!$C$11)/10)</f>
        <v>1</v>
      </c>
      <c r="AI13" s="40" t="n">
        <f aca="false">(1+27_SCENARIOS!$C$38)^((06_CONSTRUCTION!AI4-02_PROJECT_INPUTS!$C$11)/10)</f>
        <v>1</v>
      </c>
      <c r="AJ13" s="40" t="n">
        <f aca="false">(1+27_SCENARIOS!$C$38)^((06_CONSTRUCTION!AJ4-02_PROJECT_INPUTS!$C$11)/10)</f>
        <v>1</v>
      </c>
      <c r="AK13" s="40" t="n">
        <f aca="false">(1+27_SCENARIOS!$C$38)^((06_CONSTRUCTION!AK4-02_PROJECT_INPUTS!$C$11)/10)</f>
        <v>1</v>
      </c>
      <c r="AL13" s="40" t="n">
        <f aca="false">(1+27_SCENARIOS!$C$38)^((06_CONSTRUCTION!AL4-02_PROJECT_INPUTS!$C$11)/10)</f>
        <v>1</v>
      </c>
      <c r="AM13" s="40" t="n">
        <f aca="false">(1+27_SCENARIOS!$C$38)^((06_CONSTRUCTION!AM4-02_PROJECT_INPUTS!$C$11)/10)</f>
        <v>1</v>
      </c>
      <c r="AN13" s="40" t="n">
        <f aca="false">(1+27_SCENARIOS!$C$38)^((06_CONSTRUCTION!AN4-02_PROJECT_INPUTS!$C$11)/10)</f>
        <v>1</v>
      </c>
      <c r="AO13" s="40" t="n">
        <f aca="false">(1+27_SCENARIOS!$C$38)^((06_CONSTRUCTION!AO4-02_PROJECT_INPUTS!$C$11)/10)</f>
        <v>1</v>
      </c>
      <c r="AP13" s="40" t="n">
        <f aca="false">(1+27_SCENARIOS!$C$38)^((06_CONSTRUCTION!AP4-02_PROJECT_INPUTS!$C$11)/10)</f>
        <v>1</v>
      </c>
      <c r="AQ13" s="40" t="n">
        <f aca="false">(1+27_SCENARIOS!$C$38)^((06_CONSTRUCTION!AQ4-02_PROJECT_INPUTS!$C$11)/10)</f>
        <v>1</v>
      </c>
      <c r="AR13" s="40" t="n">
        <f aca="false">(1+27_SCENARIOS!$C$38)^((06_CONSTRUCTION!AR4-02_PROJECT_INPUTS!$C$11)/10)</f>
        <v>1</v>
      </c>
    </row>
    <row r="14" customFormat="false" ht="15" hidden="false" customHeight="false" outlineLevel="0" collapsed="false">
      <c r="A14" s="8" t="s">
        <v>205</v>
      </c>
      <c r="B14" s="8" t="s">
        <v>82</v>
      </c>
      <c r="E14" s="40" t="n">
        <f aca="false">IF(06_CONSTRUCTION!E5=1,03_HYDROLOGY!$C$11,1)</f>
        <v>1</v>
      </c>
      <c r="F14" s="40" t="n">
        <f aca="false">IF(06_CONSTRUCTION!F5=1,03_HYDROLOGY!$C$11,1)</f>
        <v>1</v>
      </c>
      <c r="G14" s="40" t="n">
        <f aca="false">IF(06_CONSTRUCTION!G5=1,03_HYDROLOGY!$C$11,1)</f>
        <v>1</v>
      </c>
      <c r="H14" s="40" t="n">
        <f aca="false">IF(06_CONSTRUCTION!H5=1,03_HYDROLOGY!$C$11,1)</f>
        <v>1</v>
      </c>
      <c r="I14" s="40" t="n">
        <f aca="false">IF(06_CONSTRUCTION!I5=1,03_HYDROLOGY!$C$11,1)</f>
        <v>1</v>
      </c>
      <c r="J14" s="40" t="n">
        <f aca="false">IF(06_CONSTRUCTION!J5=1,03_HYDROLOGY!$C$11,1)</f>
        <v>0.85</v>
      </c>
      <c r="K14" s="40" t="n">
        <f aca="false">IF(06_CONSTRUCTION!K5=1,03_HYDROLOGY!$C$11,1)</f>
        <v>1</v>
      </c>
      <c r="L14" s="40" t="n">
        <f aca="false">IF(06_CONSTRUCTION!L5=1,03_HYDROLOGY!$C$11,1)</f>
        <v>1</v>
      </c>
      <c r="M14" s="40" t="n">
        <f aca="false">IF(06_CONSTRUCTION!M5=1,03_HYDROLOGY!$C$11,1)</f>
        <v>1</v>
      </c>
      <c r="N14" s="40" t="n">
        <f aca="false">IF(06_CONSTRUCTION!N5=1,03_HYDROLOGY!$C$11,1)</f>
        <v>1</v>
      </c>
      <c r="O14" s="40" t="n">
        <f aca="false">IF(06_CONSTRUCTION!O5=1,03_HYDROLOGY!$C$11,1)</f>
        <v>1</v>
      </c>
      <c r="P14" s="40" t="n">
        <f aca="false">IF(06_CONSTRUCTION!P5=1,03_HYDROLOGY!$C$11,1)</f>
        <v>1</v>
      </c>
      <c r="Q14" s="40" t="n">
        <f aca="false">IF(06_CONSTRUCTION!Q5=1,03_HYDROLOGY!$C$11,1)</f>
        <v>1</v>
      </c>
      <c r="R14" s="40" t="n">
        <f aca="false">IF(06_CONSTRUCTION!R5=1,03_HYDROLOGY!$C$11,1)</f>
        <v>1</v>
      </c>
      <c r="S14" s="40" t="n">
        <f aca="false">IF(06_CONSTRUCTION!S5=1,03_HYDROLOGY!$C$11,1)</f>
        <v>1</v>
      </c>
      <c r="T14" s="40" t="n">
        <f aca="false">IF(06_CONSTRUCTION!T5=1,03_HYDROLOGY!$C$11,1)</f>
        <v>1</v>
      </c>
      <c r="U14" s="40" t="n">
        <f aca="false">IF(06_CONSTRUCTION!U5=1,03_HYDROLOGY!$C$11,1)</f>
        <v>1</v>
      </c>
      <c r="V14" s="40" t="n">
        <f aca="false">IF(06_CONSTRUCTION!V5=1,03_HYDROLOGY!$C$11,1)</f>
        <v>1</v>
      </c>
      <c r="W14" s="40" t="n">
        <f aca="false">IF(06_CONSTRUCTION!W5=1,03_HYDROLOGY!$C$11,1)</f>
        <v>1</v>
      </c>
      <c r="X14" s="40" t="n">
        <f aca="false">IF(06_CONSTRUCTION!X5=1,03_HYDROLOGY!$C$11,1)</f>
        <v>1</v>
      </c>
      <c r="Y14" s="40" t="n">
        <f aca="false">IF(06_CONSTRUCTION!Y5=1,03_HYDROLOGY!$C$11,1)</f>
        <v>1</v>
      </c>
      <c r="Z14" s="40" t="n">
        <f aca="false">IF(06_CONSTRUCTION!Z5=1,03_HYDROLOGY!$C$11,1)</f>
        <v>1</v>
      </c>
      <c r="AA14" s="40" t="n">
        <f aca="false">IF(06_CONSTRUCTION!AA5=1,03_HYDROLOGY!$C$11,1)</f>
        <v>1</v>
      </c>
      <c r="AB14" s="40" t="n">
        <f aca="false">IF(06_CONSTRUCTION!AB5=1,03_HYDROLOGY!$C$11,1)</f>
        <v>1</v>
      </c>
      <c r="AC14" s="40" t="n">
        <f aca="false">IF(06_CONSTRUCTION!AC5=1,03_HYDROLOGY!$C$11,1)</f>
        <v>1</v>
      </c>
      <c r="AD14" s="40" t="n">
        <f aca="false">IF(06_CONSTRUCTION!AD5=1,03_HYDROLOGY!$C$11,1)</f>
        <v>1</v>
      </c>
      <c r="AE14" s="40" t="n">
        <f aca="false">IF(06_CONSTRUCTION!AE5=1,03_HYDROLOGY!$C$11,1)</f>
        <v>1</v>
      </c>
      <c r="AF14" s="40" t="n">
        <f aca="false">IF(06_CONSTRUCTION!AF5=1,03_HYDROLOGY!$C$11,1)</f>
        <v>1</v>
      </c>
      <c r="AG14" s="40" t="n">
        <f aca="false">IF(06_CONSTRUCTION!AG5=1,03_HYDROLOGY!$C$11,1)</f>
        <v>1</v>
      </c>
      <c r="AH14" s="40" t="n">
        <f aca="false">IF(06_CONSTRUCTION!AH5=1,03_HYDROLOGY!$C$11,1)</f>
        <v>1</v>
      </c>
      <c r="AI14" s="40" t="n">
        <f aca="false">IF(06_CONSTRUCTION!AI5=1,03_HYDROLOGY!$C$11,1)</f>
        <v>1</v>
      </c>
      <c r="AJ14" s="40" t="n">
        <f aca="false">IF(06_CONSTRUCTION!AJ5=1,03_HYDROLOGY!$C$11,1)</f>
        <v>1</v>
      </c>
      <c r="AK14" s="40" t="n">
        <f aca="false">IF(06_CONSTRUCTION!AK5=1,03_HYDROLOGY!$C$11,1)</f>
        <v>1</v>
      </c>
      <c r="AL14" s="40" t="n">
        <f aca="false">IF(06_CONSTRUCTION!AL5=1,03_HYDROLOGY!$C$11,1)</f>
        <v>1</v>
      </c>
      <c r="AM14" s="40" t="n">
        <f aca="false">IF(06_CONSTRUCTION!AM5=1,03_HYDROLOGY!$C$11,1)</f>
        <v>1</v>
      </c>
      <c r="AN14" s="40" t="n">
        <f aca="false">IF(06_CONSTRUCTION!AN5=1,03_HYDROLOGY!$C$11,1)</f>
        <v>1</v>
      </c>
      <c r="AO14" s="40" t="n">
        <f aca="false">IF(06_CONSTRUCTION!AO5=1,03_HYDROLOGY!$C$11,1)</f>
        <v>1</v>
      </c>
      <c r="AP14" s="40" t="n">
        <f aca="false">IF(06_CONSTRUCTION!AP5=1,03_HYDROLOGY!$C$11,1)</f>
        <v>1</v>
      </c>
      <c r="AQ14" s="40" t="n">
        <f aca="false">IF(06_CONSTRUCTION!AQ5=1,03_HYDROLOGY!$C$11,1)</f>
        <v>1</v>
      </c>
      <c r="AR14" s="40" t="n">
        <f aca="false">IF(06_CONSTRUCTION!AR5=1,03_HYDROLOGY!$C$11,1)</f>
        <v>1</v>
      </c>
    </row>
    <row r="15" customFormat="false" ht="15" hidden="false" customHeight="false" outlineLevel="0" collapsed="false">
      <c r="A15" s="6" t="s">
        <v>206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</row>
    <row r="16" customFormat="false" ht="15" hidden="false" customHeight="false" outlineLevel="0" collapsed="false">
      <c r="A16" s="8" t="s">
        <v>207</v>
      </c>
      <c r="B16" s="8" t="s">
        <v>181</v>
      </c>
      <c r="C16" s="32" t="n">
        <f aca="false">SUM(04_GENERATION!$E$16:$AR$16)</f>
        <v>49726.2739696006</v>
      </c>
      <c r="E16" s="32" t="n">
        <f aca="false">06_CONSTRUCTION!E14*03_HYDROLOGY!$C$33*27_SCENARIOS!$C$26*04_GENERATION!E13*04_GENERATION!E14</f>
        <v>0</v>
      </c>
      <c r="F16" s="32" t="n">
        <f aca="false">06_CONSTRUCTION!F14*03_HYDROLOGY!$C$33*27_SCENARIOS!$C$26*04_GENERATION!F13*04_GENERATION!F14</f>
        <v>0</v>
      </c>
      <c r="G16" s="32" t="n">
        <f aca="false">06_CONSTRUCTION!G14*03_HYDROLOGY!$C$33*27_SCENARIOS!$C$26*04_GENERATION!G13*04_GENERATION!G14</f>
        <v>0</v>
      </c>
      <c r="H16" s="32" t="n">
        <f aca="false">06_CONSTRUCTION!H14*03_HYDROLOGY!$C$33*27_SCENARIOS!$C$26*04_GENERATION!H13*04_GENERATION!H14</f>
        <v>0</v>
      </c>
      <c r="I16" s="32" t="n">
        <f aca="false">06_CONSTRUCTION!I14*03_HYDROLOGY!$C$33*27_SCENARIOS!$C$26*04_GENERATION!I13*04_GENERATION!I14</f>
        <v>0</v>
      </c>
      <c r="J16" s="32" t="n">
        <f aca="false">06_CONSTRUCTION!J14*03_HYDROLOGY!$C$33*27_SCENARIOS!$C$26*04_GENERATION!J13*04_GENERATION!J14</f>
        <v>1415.99105106065</v>
      </c>
      <c r="K16" s="32" t="n">
        <f aca="false">06_CONSTRUCTION!K14*03_HYDROLOGY!$C$33*27_SCENARIOS!$C$26*04_GENERATION!K13*04_GENERATION!K14</f>
        <v>1665.87182477724</v>
      </c>
      <c r="L16" s="32" t="n">
        <f aca="false">06_CONSTRUCTION!L14*03_HYDROLOGY!$C$33*27_SCENARIOS!$C$26*04_GENERATION!L13*04_GENERATION!L14</f>
        <v>1665.87182477724</v>
      </c>
      <c r="M16" s="32" t="n">
        <f aca="false">06_CONSTRUCTION!M14*03_HYDROLOGY!$C$33*27_SCENARIOS!$C$26*04_GENERATION!M13*04_GENERATION!M14</f>
        <v>1665.87182477724</v>
      </c>
      <c r="N16" s="32" t="n">
        <f aca="false">06_CONSTRUCTION!N14*03_HYDROLOGY!$C$33*27_SCENARIOS!$C$26*04_GENERATION!N13*04_GENERATION!N14</f>
        <v>1665.87182477724</v>
      </c>
      <c r="O16" s="32" t="n">
        <f aca="false">06_CONSTRUCTION!O14*03_HYDROLOGY!$C$33*27_SCENARIOS!$C$26*04_GENERATION!O13*04_GENERATION!O14</f>
        <v>1665.87182477724</v>
      </c>
      <c r="P16" s="32" t="n">
        <f aca="false">06_CONSTRUCTION!P14*03_HYDROLOGY!$C$33*27_SCENARIOS!$C$26*04_GENERATION!P13*04_GENERATION!P14</f>
        <v>1665.87182477724</v>
      </c>
      <c r="Q16" s="32" t="n">
        <f aca="false">06_CONSTRUCTION!Q14*03_HYDROLOGY!$C$33*27_SCENARIOS!$C$26*04_GENERATION!Q13*04_GENERATION!Q14</f>
        <v>1665.87182477724</v>
      </c>
      <c r="R16" s="32" t="n">
        <f aca="false">06_CONSTRUCTION!R14*03_HYDROLOGY!$C$33*27_SCENARIOS!$C$26*04_GENERATION!R13*04_GENERATION!R14</f>
        <v>1665.87182477724</v>
      </c>
      <c r="S16" s="32" t="n">
        <f aca="false">06_CONSTRUCTION!S14*03_HYDROLOGY!$C$33*27_SCENARIOS!$C$26*04_GENERATION!S13*04_GENERATION!S14</f>
        <v>1665.87182477724</v>
      </c>
      <c r="T16" s="32" t="n">
        <f aca="false">06_CONSTRUCTION!T14*03_HYDROLOGY!$C$33*27_SCENARIOS!$C$26*04_GENERATION!T13*04_GENERATION!T14</f>
        <v>1665.87182477724</v>
      </c>
      <c r="U16" s="32" t="n">
        <f aca="false">06_CONSTRUCTION!U14*03_HYDROLOGY!$C$33*27_SCENARIOS!$C$26*04_GENERATION!U13*04_GENERATION!U14</f>
        <v>1665.87182477724</v>
      </c>
      <c r="V16" s="32" t="n">
        <f aca="false">06_CONSTRUCTION!V14*03_HYDROLOGY!$C$33*27_SCENARIOS!$C$26*04_GENERATION!V13*04_GENERATION!V14</f>
        <v>1665.87182477724</v>
      </c>
      <c r="W16" s="32" t="n">
        <f aca="false">06_CONSTRUCTION!W14*03_HYDROLOGY!$C$33*27_SCENARIOS!$C$26*04_GENERATION!W13*04_GENERATION!W14</f>
        <v>1665.87182477724</v>
      </c>
      <c r="X16" s="32" t="n">
        <f aca="false">06_CONSTRUCTION!X14*03_HYDROLOGY!$C$33*27_SCENARIOS!$C$26*04_GENERATION!X13*04_GENERATION!X14</f>
        <v>1665.87182477724</v>
      </c>
      <c r="Y16" s="32" t="n">
        <f aca="false">06_CONSTRUCTION!Y14*03_HYDROLOGY!$C$33*27_SCENARIOS!$C$26*04_GENERATION!Y13*04_GENERATION!Y14</f>
        <v>1665.87182477724</v>
      </c>
      <c r="Z16" s="32" t="n">
        <f aca="false">06_CONSTRUCTION!Z14*03_HYDROLOGY!$C$33*27_SCENARIOS!$C$26*04_GENERATION!Z13*04_GENERATION!Z14</f>
        <v>1665.87182477724</v>
      </c>
      <c r="AA16" s="32" t="n">
        <f aca="false">06_CONSTRUCTION!AA14*03_HYDROLOGY!$C$33*27_SCENARIOS!$C$26*04_GENERATION!AA13*04_GENERATION!AA14</f>
        <v>1665.87182477724</v>
      </c>
      <c r="AB16" s="32" t="n">
        <f aca="false">06_CONSTRUCTION!AB14*03_HYDROLOGY!$C$33*27_SCENARIOS!$C$26*04_GENERATION!AB13*04_GENERATION!AB14</f>
        <v>1665.87182477724</v>
      </c>
      <c r="AC16" s="32" t="n">
        <f aca="false">06_CONSTRUCTION!AC14*03_HYDROLOGY!$C$33*27_SCENARIOS!$C$26*04_GENERATION!AC13*04_GENERATION!AC14</f>
        <v>1665.87182477724</v>
      </c>
      <c r="AD16" s="32" t="n">
        <f aca="false">06_CONSTRUCTION!AD14*03_HYDROLOGY!$C$33*27_SCENARIOS!$C$26*04_GENERATION!AD13*04_GENERATION!AD14</f>
        <v>1665.87182477724</v>
      </c>
      <c r="AE16" s="32" t="n">
        <f aca="false">06_CONSTRUCTION!AE14*03_HYDROLOGY!$C$33*27_SCENARIOS!$C$26*04_GENERATION!AE13*04_GENERATION!AE14</f>
        <v>1665.87182477724</v>
      </c>
      <c r="AF16" s="32" t="n">
        <f aca="false">06_CONSTRUCTION!AF14*03_HYDROLOGY!$C$33*27_SCENARIOS!$C$26*04_GENERATION!AF13*04_GENERATION!AF14</f>
        <v>1665.87182477724</v>
      </c>
      <c r="AG16" s="32" t="n">
        <f aca="false">06_CONSTRUCTION!AG14*03_HYDROLOGY!$C$33*27_SCENARIOS!$C$26*04_GENERATION!AG13*04_GENERATION!AG14</f>
        <v>1665.87182477724</v>
      </c>
      <c r="AH16" s="32" t="n">
        <f aca="false">06_CONSTRUCTION!AH14*03_HYDROLOGY!$C$33*27_SCENARIOS!$C$26*04_GENERATION!AH13*04_GENERATION!AH14</f>
        <v>1665.87182477724</v>
      </c>
      <c r="AI16" s="32" t="n">
        <f aca="false">06_CONSTRUCTION!AI14*03_HYDROLOGY!$C$33*27_SCENARIOS!$C$26*04_GENERATION!AI13*04_GENERATION!AI14</f>
        <v>1665.87182477724</v>
      </c>
      <c r="AJ16" s="32" t="n">
        <f aca="false">06_CONSTRUCTION!AJ14*03_HYDROLOGY!$C$33*27_SCENARIOS!$C$26*04_GENERATION!AJ13*04_GENERATION!AJ14</f>
        <v>1665.87182477724</v>
      </c>
      <c r="AK16" s="32" t="n">
        <f aca="false">06_CONSTRUCTION!AK14*03_HYDROLOGY!$C$33*27_SCENARIOS!$C$26*04_GENERATION!AK13*04_GENERATION!AK14</f>
        <v>1665.87182477724</v>
      </c>
      <c r="AL16" s="32" t="n">
        <f aca="false">06_CONSTRUCTION!AL14*03_HYDROLOGY!$C$33*27_SCENARIOS!$C$26*04_GENERATION!AL13*04_GENERATION!AL14</f>
        <v>1665.87182477724</v>
      </c>
      <c r="AM16" s="32" t="n">
        <f aca="false">06_CONSTRUCTION!AM14*03_HYDROLOGY!$C$33*27_SCENARIOS!$C$26*04_GENERATION!AM13*04_GENERATION!AM14</f>
        <v>1665.87182477724</v>
      </c>
      <c r="AN16" s="32" t="n">
        <f aca="false">06_CONSTRUCTION!AN14*03_HYDROLOGY!$C$33*27_SCENARIOS!$C$26*04_GENERATION!AN13*04_GENERATION!AN14</f>
        <v>0</v>
      </c>
      <c r="AO16" s="32" t="n">
        <f aca="false">06_CONSTRUCTION!AO14*03_HYDROLOGY!$C$33*27_SCENARIOS!$C$26*04_GENERATION!AO13*04_GENERATION!AO14</f>
        <v>0</v>
      </c>
      <c r="AP16" s="32" t="n">
        <f aca="false">06_CONSTRUCTION!AP14*03_HYDROLOGY!$C$33*27_SCENARIOS!$C$26*04_GENERATION!AP13*04_GENERATION!AP14</f>
        <v>0</v>
      </c>
      <c r="AQ16" s="32" t="n">
        <f aca="false">06_CONSTRUCTION!AQ14*03_HYDROLOGY!$C$33*27_SCENARIOS!$C$26*04_GENERATION!AQ13*04_GENERATION!AQ14</f>
        <v>0</v>
      </c>
      <c r="AR16" s="32" t="n">
        <f aca="false">06_CONSTRUCTION!AR14*03_HYDROLOGY!$C$33*27_SCENARIOS!$C$26*04_GENERATION!AR13*04_GENERATION!AR14</f>
        <v>0</v>
      </c>
    </row>
    <row r="17" customFormat="false" ht="15" hidden="false" customHeight="false" outlineLevel="0" collapsed="false">
      <c r="A17" s="4" t="s">
        <v>208</v>
      </c>
      <c r="B17" s="8" t="s">
        <v>181</v>
      </c>
      <c r="C17" s="32" t="n">
        <f aca="false">SUM(04_GENERATION!$E$17:$AR$17)</f>
        <v>49726.2739696006</v>
      </c>
      <c r="E17" s="41" t="n">
        <f aca="false">06_CONSTRUCTION!E14*04_GENERATION!$C$6*27_SCENARIOS!$C$26*04_GENERATION!E12*04_GENERATION!E13*04_GENERATION!E14</f>
        <v>0</v>
      </c>
      <c r="F17" s="41" t="n">
        <f aca="false">06_CONSTRUCTION!F14*04_GENERATION!$C$6*27_SCENARIOS!$C$26*04_GENERATION!F12*04_GENERATION!F13*04_GENERATION!F14</f>
        <v>0</v>
      </c>
      <c r="G17" s="41" t="n">
        <f aca="false">06_CONSTRUCTION!G14*04_GENERATION!$C$6*27_SCENARIOS!$C$26*04_GENERATION!G12*04_GENERATION!G13*04_GENERATION!G14</f>
        <v>0</v>
      </c>
      <c r="H17" s="41" t="n">
        <f aca="false">06_CONSTRUCTION!H14*04_GENERATION!$C$6*27_SCENARIOS!$C$26*04_GENERATION!H12*04_GENERATION!H13*04_GENERATION!H14</f>
        <v>0</v>
      </c>
      <c r="I17" s="41" t="n">
        <f aca="false">06_CONSTRUCTION!I14*04_GENERATION!$C$6*27_SCENARIOS!$C$26*04_GENERATION!I12*04_GENERATION!I13*04_GENERATION!I14</f>
        <v>0</v>
      </c>
      <c r="J17" s="41" t="n">
        <f aca="false">06_CONSTRUCTION!J14*04_GENERATION!$C$6*27_SCENARIOS!$C$26*04_GENERATION!J12*04_GENERATION!J13*04_GENERATION!J14</f>
        <v>1415.99105106065</v>
      </c>
      <c r="K17" s="41" t="n">
        <f aca="false">06_CONSTRUCTION!K14*04_GENERATION!$C$6*27_SCENARIOS!$C$26*04_GENERATION!K12*04_GENERATION!K13*04_GENERATION!K14</f>
        <v>1665.87182477724</v>
      </c>
      <c r="L17" s="41" t="n">
        <f aca="false">06_CONSTRUCTION!L14*04_GENERATION!$C$6*27_SCENARIOS!$C$26*04_GENERATION!L12*04_GENERATION!L13*04_GENERATION!L14</f>
        <v>1665.87182477724</v>
      </c>
      <c r="M17" s="41" t="n">
        <f aca="false">06_CONSTRUCTION!M14*04_GENERATION!$C$6*27_SCENARIOS!$C$26*04_GENERATION!M12*04_GENERATION!M13*04_GENERATION!M14</f>
        <v>1665.87182477724</v>
      </c>
      <c r="N17" s="41" t="n">
        <f aca="false">06_CONSTRUCTION!N14*04_GENERATION!$C$6*27_SCENARIOS!$C$26*04_GENERATION!N12*04_GENERATION!N13*04_GENERATION!N14</f>
        <v>1665.87182477724</v>
      </c>
      <c r="O17" s="41" t="n">
        <f aca="false">06_CONSTRUCTION!O14*04_GENERATION!$C$6*27_SCENARIOS!$C$26*04_GENERATION!O12*04_GENERATION!O13*04_GENERATION!O14</f>
        <v>1665.87182477724</v>
      </c>
      <c r="P17" s="41" t="n">
        <f aca="false">06_CONSTRUCTION!P14*04_GENERATION!$C$6*27_SCENARIOS!$C$26*04_GENERATION!P12*04_GENERATION!P13*04_GENERATION!P14</f>
        <v>1665.87182477724</v>
      </c>
      <c r="Q17" s="41" t="n">
        <f aca="false">06_CONSTRUCTION!Q14*04_GENERATION!$C$6*27_SCENARIOS!$C$26*04_GENERATION!Q12*04_GENERATION!Q13*04_GENERATION!Q14</f>
        <v>1665.87182477724</v>
      </c>
      <c r="R17" s="41" t="n">
        <f aca="false">06_CONSTRUCTION!R14*04_GENERATION!$C$6*27_SCENARIOS!$C$26*04_GENERATION!R12*04_GENERATION!R13*04_GENERATION!R14</f>
        <v>1665.87182477724</v>
      </c>
      <c r="S17" s="41" t="n">
        <f aca="false">06_CONSTRUCTION!S14*04_GENERATION!$C$6*27_SCENARIOS!$C$26*04_GENERATION!S12*04_GENERATION!S13*04_GENERATION!S14</f>
        <v>1665.87182477724</v>
      </c>
      <c r="T17" s="41" t="n">
        <f aca="false">06_CONSTRUCTION!T14*04_GENERATION!$C$6*27_SCENARIOS!$C$26*04_GENERATION!T12*04_GENERATION!T13*04_GENERATION!T14</f>
        <v>1665.87182477724</v>
      </c>
      <c r="U17" s="41" t="n">
        <f aca="false">06_CONSTRUCTION!U14*04_GENERATION!$C$6*27_SCENARIOS!$C$26*04_GENERATION!U12*04_GENERATION!U13*04_GENERATION!U14</f>
        <v>1665.87182477724</v>
      </c>
      <c r="V17" s="41" t="n">
        <f aca="false">06_CONSTRUCTION!V14*04_GENERATION!$C$6*27_SCENARIOS!$C$26*04_GENERATION!V12*04_GENERATION!V13*04_GENERATION!V14</f>
        <v>1665.87182477724</v>
      </c>
      <c r="W17" s="41" t="n">
        <f aca="false">06_CONSTRUCTION!W14*04_GENERATION!$C$6*27_SCENARIOS!$C$26*04_GENERATION!W12*04_GENERATION!W13*04_GENERATION!W14</f>
        <v>1665.87182477724</v>
      </c>
      <c r="X17" s="41" t="n">
        <f aca="false">06_CONSTRUCTION!X14*04_GENERATION!$C$6*27_SCENARIOS!$C$26*04_GENERATION!X12*04_GENERATION!X13*04_GENERATION!X14</f>
        <v>1665.87182477724</v>
      </c>
      <c r="Y17" s="41" t="n">
        <f aca="false">06_CONSTRUCTION!Y14*04_GENERATION!$C$6*27_SCENARIOS!$C$26*04_GENERATION!Y12*04_GENERATION!Y13*04_GENERATION!Y14</f>
        <v>1665.87182477724</v>
      </c>
      <c r="Z17" s="41" t="n">
        <f aca="false">06_CONSTRUCTION!Z14*04_GENERATION!$C$6*27_SCENARIOS!$C$26*04_GENERATION!Z12*04_GENERATION!Z13*04_GENERATION!Z14</f>
        <v>1665.87182477724</v>
      </c>
      <c r="AA17" s="41" t="n">
        <f aca="false">06_CONSTRUCTION!AA14*04_GENERATION!$C$6*27_SCENARIOS!$C$26*04_GENERATION!AA12*04_GENERATION!AA13*04_GENERATION!AA14</f>
        <v>1665.87182477724</v>
      </c>
      <c r="AB17" s="41" t="n">
        <f aca="false">06_CONSTRUCTION!AB14*04_GENERATION!$C$6*27_SCENARIOS!$C$26*04_GENERATION!AB12*04_GENERATION!AB13*04_GENERATION!AB14</f>
        <v>1665.87182477724</v>
      </c>
      <c r="AC17" s="41" t="n">
        <f aca="false">06_CONSTRUCTION!AC14*04_GENERATION!$C$6*27_SCENARIOS!$C$26*04_GENERATION!AC12*04_GENERATION!AC13*04_GENERATION!AC14</f>
        <v>1665.87182477724</v>
      </c>
      <c r="AD17" s="41" t="n">
        <f aca="false">06_CONSTRUCTION!AD14*04_GENERATION!$C$6*27_SCENARIOS!$C$26*04_GENERATION!AD12*04_GENERATION!AD13*04_GENERATION!AD14</f>
        <v>1665.87182477724</v>
      </c>
      <c r="AE17" s="41" t="n">
        <f aca="false">06_CONSTRUCTION!AE14*04_GENERATION!$C$6*27_SCENARIOS!$C$26*04_GENERATION!AE12*04_GENERATION!AE13*04_GENERATION!AE14</f>
        <v>1665.87182477724</v>
      </c>
      <c r="AF17" s="41" t="n">
        <f aca="false">06_CONSTRUCTION!AF14*04_GENERATION!$C$6*27_SCENARIOS!$C$26*04_GENERATION!AF12*04_GENERATION!AF13*04_GENERATION!AF14</f>
        <v>1665.87182477724</v>
      </c>
      <c r="AG17" s="41" t="n">
        <f aca="false">06_CONSTRUCTION!AG14*04_GENERATION!$C$6*27_SCENARIOS!$C$26*04_GENERATION!AG12*04_GENERATION!AG13*04_GENERATION!AG14</f>
        <v>1665.87182477724</v>
      </c>
      <c r="AH17" s="41" t="n">
        <f aca="false">06_CONSTRUCTION!AH14*04_GENERATION!$C$6*27_SCENARIOS!$C$26*04_GENERATION!AH12*04_GENERATION!AH13*04_GENERATION!AH14</f>
        <v>1665.87182477724</v>
      </c>
      <c r="AI17" s="41" t="n">
        <f aca="false">06_CONSTRUCTION!AI14*04_GENERATION!$C$6*27_SCENARIOS!$C$26*04_GENERATION!AI12*04_GENERATION!AI13*04_GENERATION!AI14</f>
        <v>1665.87182477724</v>
      </c>
      <c r="AJ17" s="41" t="n">
        <f aca="false">06_CONSTRUCTION!AJ14*04_GENERATION!$C$6*27_SCENARIOS!$C$26*04_GENERATION!AJ12*04_GENERATION!AJ13*04_GENERATION!AJ14</f>
        <v>1665.87182477724</v>
      </c>
      <c r="AK17" s="41" t="n">
        <f aca="false">06_CONSTRUCTION!AK14*04_GENERATION!$C$6*27_SCENARIOS!$C$26*04_GENERATION!AK12*04_GENERATION!AK13*04_GENERATION!AK14</f>
        <v>1665.87182477724</v>
      </c>
      <c r="AL17" s="41" t="n">
        <f aca="false">06_CONSTRUCTION!AL14*04_GENERATION!$C$6*27_SCENARIOS!$C$26*04_GENERATION!AL12*04_GENERATION!AL13*04_GENERATION!AL14</f>
        <v>1665.87182477724</v>
      </c>
      <c r="AM17" s="41" t="n">
        <f aca="false">06_CONSTRUCTION!AM14*04_GENERATION!$C$6*27_SCENARIOS!$C$26*04_GENERATION!AM12*04_GENERATION!AM13*04_GENERATION!AM14</f>
        <v>1665.87182477724</v>
      </c>
      <c r="AN17" s="41" t="n">
        <f aca="false">06_CONSTRUCTION!AN14*04_GENERATION!$C$6*27_SCENARIOS!$C$26*04_GENERATION!AN12*04_GENERATION!AN13*04_GENERATION!AN14</f>
        <v>0</v>
      </c>
      <c r="AO17" s="41" t="n">
        <f aca="false">06_CONSTRUCTION!AO14*04_GENERATION!$C$6*27_SCENARIOS!$C$26*04_GENERATION!AO12*04_GENERATION!AO13*04_GENERATION!AO14</f>
        <v>0</v>
      </c>
      <c r="AP17" s="41" t="n">
        <f aca="false">06_CONSTRUCTION!AP14*04_GENERATION!$C$6*27_SCENARIOS!$C$26*04_GENERATION!AP12*04_GENERATION!AP13*04_GENERATION!AP14</f>
        <v>0</v>
      </c>
      <c r="AQ17" s="41" t="n">
        <f aca="false">06_CONSTRUCTION!AQ14*04_GENERATION!$C$6*27_SCENARIOS!$C$26*04_GENERATION!AQ12*04_GENERATION!AQ13*04_GENERATION!AQ14</f>
        <v>0</v>
      </c>
      <c r="AR17" s="41" t="n">
        <f aca="false">06_CONSTRUCTION!AR14*04_GENERATION!$C$6*27_SCENARIOS!$C$26*04_GENERATION!AR12*04_GENERATION!AR13*04_GENERATION!AR14</f>
        <v>0</v>
      </c>
    </row>
    <row r="18" customFormat="false" ht="15" hidden="false" customHeight="false" outlineLevel="0" collapsed="false">
      <c r="A18" s="8" t="s">
        <v>209</v>
      </c>
      <c r="B18" s="8" t="s">
        <v>181</v>
      </c>
      <c r="C18" s="32" t="n">
        <f aca="false">SUM(04_GENERATION!$E$18:$AR$18)</f>
        <v>49726.2739696006</v>
      </c>
      <c r="E18" s="32" t="n">
        <f aca="false">04_GENERATION!E17*09_GRID!E17</f>
        <v>0</v>
      </c>
      <c r="F18" s="32" t="n">
        <f aca="false">04_GENERATION!F17*09_GRID!F17</f>
        <v>0</v>
      </c>
      <c r="G18" s="32" t="n">
        <f aca="false">04_GENERATION!G17*09_GRID!G17</f>
        <v>0</v>
      </c>
      <c r="H18" s="32" t="n">
        <f aca="false">04_GENERATION!H17*09_GRID!H17</f>
        <v>0</v>
      </c>
      <c r="I18" s="32" t="n">
        <f aca="false">04_GENERATION!I17*09_GRID!I17</f>
        <v>0</v>
      </c>
      <c r="J18" s="32" t="n">
        <f aca="false">04_GENERATION!J17*09_GRID!J17</f>
        <v>1415.99105106065</v>
      </c>
      <c r="K18" s="32" t="n">
        <f aca="false">04_GENERATION!K17*09_GRID!K17</f>
        <v>1665.87182477724</v>
      </c>
      <c r="L18" s="32" t="n">
        <f aca="false">04_GENERATION!L17*09_GRID!L17</f>
        <v>1665.87182477724</v>
      </c>
      <c r="M18" s="32" t="n">
        <f aca="false">04_GENERATION!M17*09_GRID!M17</f>
        <v>1665.87182477724</v>
      </c>
      <c r="N18" s="32" t="n">
        <f aca="false">04_GENERATION!N17*09_GRID!N17</f>
        <v>1665.87182477724</v>
      </c>
      <c r="O18" s="32" t="n">
        <f aca="false">04_GENERATION!O17*09_GRID!O17</f>
        <v>1665.87182477724</v>
      </c>
      <c r="P18" s="32" t="n">
        <f aca="false">04_GENERATION!P17*09_GRID!P17</f>
        <v>1665.87182477724</v>
      </c>
      <c r="Q18" s="32" t="n">
        <f aca="false">04_GENERATION!Q17*09_GRID!Q17</f>
        <v>1665.87182477724</v>
      </c>
      <c r="R18" s="32" t="n">
        <f aca="false">04_GENERATION!R17*09_GRID!R17</f>
        <v>1665.87182477724</v>
      </c>
      <c r="S18" s="32" t="n">
        <f aca="false">04_GENERATION!S17*09_GRID!S17</f>
        <v>1665.87182477724</v>
      </c>
      <c r="T18" s="32" t="n">
        <f aca="false">04_GENERATION!T17*09_GRID!T17</f>
        <v>1665.87182477724</v>
      </c>
      <c r="U18" s="32" t="n">
        <f aca="false">04_GENERATION!U17*09_GRID!U17</f>
        <v>1665.87182477724</v>
      </c>
      <c r="V18" s="32" t="n">
        <f aca="false">04_GENERATION!V17*09_GRID!V17</f>
        <v>1665.87182477724</v>
      </c>
      <c r="W18" s="32" t="n">
        <f aca="false">04_GENERATION!W17*09_GRID!W17</f>
        <v>1665.87182477724</v>
      </c>
      <c r="X18" s="32" t="n">
        <f aca="false">04_GENERATION!X17*09_GRID!X17</f>
        <v>1665.87182477724</v>
      </c>
      <c r="Y18" s="32" t="n">
        <f aca="false">04_GENERATION!Y17*09_GRID!Y17</f>
        <v>1665.87182477724</v>
      </c>
      <c r="Z18" s="32" t="n">
        <f aca="false">04_GENERATION!Z17*09_GRID!Z17</f>
        <v>1665.87182477724</v>
      </c>
      <c r="AA18" s="32" t="n">
        <f aca="false">04_GENERATION!AA17*09_GRID!AA17</f>
        <v>1665.87182477724</v>
      </c>
      <c r="AB18" s="32" t="n">
        <f aca="false">04_GENERATION!AB17*09_GRID!AB17</f>
        <v>1665.87182477724</v>
      </c>
      <c r="AC18" s="32" t="n">
        <f aca="false">04_GENERATION!AC17*09_GRID!AC17</f>
        <v>1665.87182477724</v>
      </c>
      <c r="AD18" s="32" t="n">
        <f aca="false">04_GENERATION!AD17*09_GRID!AD17</f>
        <v>1665.87182477724</v>
      </c>
      <c r="AE18" s="32" t="n">
        <f aca="false">04_GENERATION!AE17*09_GRID!AE17</f>
        <v>1665.87182477724</v>
      </c>
      <c r="AF18" s="32" t="n">
        <f aca="false">04_GENERATION!AF17*09_GRID!AF17</f>
        <v>1665.87182477724</v>
      </c>
      <c r="AG18" s="32" t="n">
        <f aca="false">04_GENERATION!AG17*09_GRID!AG17</f>
        <v>1665.87182477724</v>
      </c>
      <c r="AH18" s="32" t="n">
        <f aca="false">04_GENERATION!AH17*09_GRID!AH17</f>
        <v>1665.87182477724</v>
      </c>
      <c r="AI18" s="32" t="n">
        <f aca="false">04_GENERATION!AI17*09_GRID!AI17</f>
        <v>1665.87182477724</v>
      </c>
      <c r="AJ18" s="32" t="n">
        <f aca="false">04_GENERATION!AJ17*09_GRID!AJ17</f>
        <v>1665.87182477724</v>
      </c>
      <c r="AK18" s="32" t="n">
        <f aca="false">04_GENERATION!AK17*09_GRID!AK17</f>
        <v>1665.87182477724</v>
      </c>
      <c r="AL18" s="32" t="n">
        <f aca="false">04_GENERATION!AL17*09_GRID!AL17</f>
        <v>1665.87182477724</v>
      </c>
      <c r="AM18" s="32" t="n">
        <f aca="false">04_GENERATION!AM17*09_GRID!AM17</f>
        <v>1665.87182477724</v>
      </c>
      <c r="AN18" s="32" t="n">
        <f aca="false">04_GENERATION!AN17*09_GRID!AN17</f>
        <v>0</v>
      </c>
      <c r="AO18" s="32" t="n">
        <f aca="false">04_GENERATION!AO17*09_GRID!AO17</f>
        <v>0</v>
      </c>
      <c r="AP18" s="32" t="n">
        <f aca="false">04_GENERATION!AP17*09_GRID!AP17</f>
        <v>0</v>
      </c>
      <c r="AQ18" s="32" t="n">
        <f aca="false">04_GENERATION!AQ17*09_GRID!AQ17</f>
        <v>0</v>
      </c>
      <c r="AR18" s="32" t="n">
        <f aca="false">04_GENERATION!AR17*09_GRID!AR17</f>
        <v>0</v>
      </c>
    </row>
    <row r="19" customFormat="false" ht="15" hidden="false" customHeight="false" outlineLevel="0" collapsed="false">
      <c r="A19" s="8" t="s">
        <v>210</v>
      </c>
      <c r="B19" s="8" t="s">
        <v>181</v>
      </c>
      <c r="C19" s="32" t="n">
        <f aca="false">SUM(04_GENERATION!$E$19:$AR$19)</f>
        <v>0</v>
      </c>
      <c r="E19" s="32" t="n">
        <f aca="false">04_GENERATION!E17-04_GENERATION!E18</f>
        <v>0</v>
      </c>
      <c r="F19" s="32" t="n">
        <f aca="false">04_GENERATION!F17-04_GENERATION!F18</f>
        <v>0</v>
      </c>
      <c r="G19" s="32" t="n">
        <f aca="false">04_GENERATION!G17-04_GENERATION!G18</f>
        <v>0</v>
      </c>
      <c r="H19" s="32" t="n">
        <f aca="false">04_GENERATION!H17-04_GENERATION!H18</f>
        <v>0</v>
      </c>
      <c r="I19" s="32" t="n">
        <f aca="false">04_GENERATION!I17-04_GENERATION!I18</f>
        <v>0</v>
      </c>
      <c r="J19" s="32" t="n">
        <f aca="false">04_GENERATION!J17-04_GENERATION!J18</f>
        <v>0</v>
      </c>
      <c r="K19" s="32" t="n">
        <f aca="false">04_GENERATION!K17-04_GENERATION!K18</f>
        <v>0</v>
      </c>
      <c r="L19" s="32" t="n">
        <f aca="false">04_GENERATION!L17-04_GENERATION!L18</f>
        <v>0</v>
      </c>
      <c r="M19" s="32" t="n">
        <f aca="false">04_GENERATION!M17-04_GENERATION!M18</f>
        <v>0</v>
      </c>
      <c r="N19" s="32" t="n">
        <f aca="false">04_GENERATION!N17-04_GENERATION!N18</f>
        <v>0</v>
      </c>
      <c r="O19" s="32" t="n">
        <f aca="false">04_GENERATION!O17-04_GENERATION!O18</f>
        <v>0</v>
      </c>
      <c r="P19" s="32" t="n">
        <f aca="false">04_GENERATION!P17-04_GENERATION!P18</f>
        <v>0</v>
      </c>
      <c r="Q19" s="32" t="n">
        <f aca="false">04_GENERATION!Q17-04_GENERATION!Q18</f>
        <v>0</v>
      </c>
      <c r="R19" s="32" t="n">
        <f aca="false">04_GENERATION!R17-04_GENERATION!R18</f>
        <v>0</v>
      </c>
      <c r="S19" s="32" t="n">
        <f aca="false">04_GENERATION!S17-04_GENERATION!S18</f>
        <v>0</v>
      </c>
      <c r="T19" s="32" t="n">
        <f aca="false">04_GENERATION!T17-04_GENERATION!T18</f>
        <v>0</v>
      </c>
      <c r="U19" s="32" t="n">
        <f aca="false">04_GENERATION!U17-04_GENERATION!U18</f>
        <v>0</v>
      </c>
      <c r="V19" s="32" t="n">
        <f aca="false">04_GENERATION!V17-04_GENERATION!V18</f>
        <v>0</v>
      </c>
      <c r="W19" s="32" t="n">
        <f aca="false">04_GENERATION!W17-04_GENERATION!W18</f>
        <v>0</v>
      </c>
      <c r="X19" s="32" t="n">
        <f aca="false">04_GENERATION!X17-04_GENERATION!X18</f>
        <v>0</v>
      </c>
      <c r="Y19" s="32" t="n">
        <f aca="false">04_GENERATION!Y17-04_GENERATION!Y18</f>
        <v>0</v>
      </c>
      <c r="Z19" s="32" t="n">
        <f aca="false">04_GENERATION!Z17-04_GENERATION!Z18</f>
        <v>0</v>
      </c>
      <c r="AA19" s="32" t="n">
        <f aca="false">04_GENERATION!AA17-04_GENERATION!AA18</f>
        <v>0</v>
      </c>
      <c r="AB19" s="32" t="n">
        <f aca="false">04_GENERATION!AB17-04_GENERATION!AB18</f>
        <v>0</v>
      </c>
      <c r="AC19" s="32" t="n">
        <f aca="false">04_GENERATION!AC17-04_GENERATION!AC18</f>
        <v>0</v>
      </c>
      <c r="AD19" s="32" t="n">
        <f aca="false">04_GENERATION!AD17-04_GENERATION!AD18</f>
        <v>0</v>
      </c>
      <c r="AE19" s="32" t="n">
        <f aca="false">04_GENERATION!AE17-04_GENERATION!AE18</f>
        <v>0</v>
      </c>
      <c r="AF19" s="32" t="n">
        <f aca="false">04_GENERATION!AF17-04_GENERATION!AF18</f>
        <v>0</v>
      </c>
      <c r="AG19" s="32" t="n">
        <f aca="false">04_GENERATION!AG17-04_GENERATION!AG18</f>
        <v>0</v>
      </c>
      <c r="AH19" s="32" t="n">
        <f aca="false">04_GENERATION!AH17-04_GENERATION!AH18</f>
        <v>0</v>
      </c>
      <c r="AI19" s="32" t="n">
        <f aca="false">04_GENERATION!AI17-04_GENERATION!AI18</f>
        <v>0</v>
      </c>
      <c r="AJ19" s="32" t="n">
        <f aca="false">04_GENERATION!AJ17-04_GENERATION!AJ18</f>
        <v>0</v>
      </c>
      <c r="AK19" s="32" t="n">
        <f aca="false">04_GENERATION!AK17-04_GENERATION!AK18</f>
        <v>0</v>
      </c>
      <c r="AL19" s="32" t="n">
        <f aca="false">04_GENERATION!AL17-04_GENERATION!AL18</f>
        <v>0</v>
      </c>
      <c r="AM19" s="32" t="n">
        <f aca="false">04_GENERATION!AM17-04_GENERATION!AM18</f>
        <v>0</v>
      </c>
      <c r="AN19" s="32" t="n">
        <f aca="false">04_GENERATION!AN17-04_GENERATION!AN18</f>
        <v>0</v>
      </c>
      <c r="AO19" s="32" t="n">
        <f aca="false">04_GENERATION!AO17-04_GENERATION!AO18</f>
        <v>0</v>
      </c>
      <c r="AP19" s="32" t="n">
        <f aca="false">04_GENERATION!AP17-04_GENERATION!AP18</f>
        <v>0</v>
      </c>
      <c r="AQ19" s="32" t="n">
        <f aca="false">04_GENERATION!AQ17-04_GENERATION!AQ18</f>
        <v>0</v>
      </c>
      <c r="AR19" s="32" t="n">
        <f aca="false">04_GENERATION!AR17-04_GENERATION!AR18</f>
        <v>0</v>
      </c>
    </row>
    <row r="20" customFormat="false" ht="15" hidden="false" customHeight="false" outlineLevel="0" collapsed="false">
      <c r="A20" s="4" t="s">
        <v>211</v>
      </c>
      <c r="B20" s="8" t="s">
        <v>181</v>
      </c>
      <c r="C20" s="32" t="n">
        <f aca="false">SUM(04_GENERATION!$E$20:$AR$20)</f>
        <v>49726.2739696006</v>
      </c>
      <c r="E20" s="41" t="n">
        <f aca="false">MIN(04_GENERATION!E18,10_DEMAND!E33)</f>
        <v>0</v>
      </c>
      <c r="F20" s="41" t="n">
        <f aca="false">MIN(04_GENERATION!F18,10_DEMAND!F33)</f>
        <v>0</v>
      </c>
      <c r="G20" s="41" t="n">
        <f aca="false">MIN(04_GENERATION!G18,10_DEMAND!G33)</f>
        <v>0</v>
      </c>
      <c r="H20" s="41" t="n">
        <f aca="false">MIN(04_GENERATION!H18,10_DEMAND!H33)</f>
        <v>0</v>
      </c>
      <c r="I20" s="41" t="n">
        <f aca="false">MIN(04_GENERATION!I18,10_DEMAND!I33)</f>
        <v>0</v>
      </c>
      <c r="J20" s="41" t="n">
        <f aca="false">MIN(04_GENERATION!J18,10_DEMAND!J33)</f>
        <v>1415.99105106065</v>
      </c>
      <c r="K20" s="41" t="n">
        <f aca="false">MIN(04_GENERATION!K18,10_DEMAND!K33)</f>
        <v>1665.87182477724</v>
      </c>
      <c r="L20" s="41" t="n">
        <f aca="false">MIN(04_GENERATION!L18,10_DEMAND!L33)</f>
        <v>1665.87182477724</v>
      </c>
      <c r="M20" s="41" t="n">
        <f aca="false">MIN(04_GENERATION!M18,10_DEMAND!M33)</f>
        <v>1665.87182477724</v>
      </c>
      <c r="N20" s="41" t="n">
        <f aca="false">MIN(04_GENERATION!N18,10_DEMAND!N33)</f>
        <v>1665.87182477724</v>
      </c>
      <c r="O20" s="41" t="n">
        <f aca="false">MIN(04_GENERATION!O18,10_DEMAND!O33)</f>
        <v>1665.87182477724</v>
      </c>
      <c r="P20" s="41" t="n">
        <f aca="false">MIN(04_GENERATION!P18,10_DEMAND!P33)</f>
        <v>1665.87182477724</v>
      </c>
      <c r="Q20" s="41" t="n">
        <f aca="false">MIN(04_GENERATION!Q18,10_DEMAND!Q33)</f>
        <v>1665.87182477724</v>
      </c>
      <c r="R20" s="41" t="n">
        <f aca="false">MIN(04_GENERATION!R18,10_DEMAND!R33)</f>
        <v>1665.87182477724</v>
      </c>
      <c r="S20" s="41" t="n">
        <f aca="false">MIN(04_GENERATION!S18,10_DEMAND!S33)</f>
        <v>1665.87182477724</v>
      </c>
      <c r="T20" s="41" t="n">
        <f aca="false">MIN(04_GENERATION!T18,10_DEMAND!T33)</f>
        <v>1665.87182477724</v>
      </c>
      <c r="U20" s="41" t="n">
        <f aca="false">MIN(04_GENERATION!U18,10_DEMAND!U33)</f>
        <v>1665.87182477724</v>
      </c>
      <c r="V20" s="41" t="n">
        <f aca="false">MIN(04_GENERATION!V18,10_DEMAND!V33)</f>
        <v>1665.87182477724</v>
      </c>
      <c r="W20" s="41" t="n">
        <f aca="false">MIN(04_GENERATION!W18,10_DEMAND!W33)</f>
        <v>1665.87182477724</v>
      </c>
      <c r="X20" s="41" t="n">
        <f aca="false">MIN(04_GENERATION!X18,10_DEMAND!X33)</f>
        <v>1665.87182477724</v>
      </c>
      <c r="Y20" s="41" t="n">
        <f aca="false">MIN(04_GENERATION!Y18,10_DEMAND!Y33)</f>
        <v>1665.87182477724</v>
      </c>
      <c r="Z20" s="41" t="n">
        <f aca="false">MIN(04_GENERATION!Z18,10_DEMAND!Z33)</f>
        <v>1665.87182477724</v>
      </c>
      <c r="AA20" s="41" t="n">
        <f aca="false">MIN(04_GENERATION!AA18,10_DEMAND!AA33)</f>
        <v>1665.87182477724</v>
      </c>
      <c r="AB20" s="41" t="n">
        <f aca="false">MIN(04_GENERATION!AB18,10_DEMAND!AB33)</f>
        <v>1665.87182477724</v>
      </c>
      <c r="AC20" s="41" t="n">
        <f aca="false">MIN(04_GENERATION!AC18,10_DEMAND!AC33)</f>
        <v>1665.87182477724</v>
      </c>
      <c r="AD20" s="41" t="n">
        <f aca="false">MIN(04_GENERATION!AD18,10_DEMAND!AD33)</f>
        <v>1665.87182477724</v>
      </c>
      <c r="AE20" s="41" t="n">
        <f aca="false">MIN(04_GENERATION!AE18,10_DEMAND!AE33)</f>
        <v>1665.87182477724</v>
      </c>
      <c r="AF20" s="41" t="n">
        <f aca="false">MIN(04_GENERATION!AF18,10_DEMAND!AF33)</f>
        <v>1665.87182477724</v>
      </c>
      <c r="AG20" s="41" t="n">
        <f aca="false">MIN(04_GENERATION!AG18,10_DEMAND!AG33)</f>
        <v>1665.87182477724</v>
      </c>
      <c r="AH20" s="41" t="n">
        <f aca="false">MIN(04_GENERATION!AH18,10_DEMAND!AH33)</f>
        <v>1665.87182477724</v>
      </c>
      <c r="AI20" s="41" t="n">
        <f aca="false">MIN(04_GENERATION!AI18,10_DEMAND!AI33)</f>
        <v>1665.87182477724</v>
      </c>
      <c r="AJ20" s="41" t="n">
        <f aca="false">MIN(04_GENERATION!AJ18,10_DEMAND!AJ33)</f>
        <v>1665.87182477724</v>
      </c>
      <c r="AK20" s="41" t="n">
        <f aca="false">MIN(04_GENERATION!AK18,10_DEMAND!AK33)</f>
        <v>1665.87182477724</v>
      </c>
      <c r="AL20" s="41" t="n">
        <f aca="false">MIN(04_GENERATION!AL18,10_DEMAND!AL33)</f>
        <v>1665.87182477724</v>
      </c>
      <c r="AM20" s="41" t="n">
        <f aca="false">MIN(04_GENERATION!AM18,10_DEMAND!AM33)</f>
        <v>1665.87182477724</v>
      </c>
      <c r="AN20" s="41" t="n">
        <f aca="false">MIN(04_GENERATION!AN18,10_DEMAND!AN33)</f>
        <v>0</v>
      </c>
      <c r="AO20" s="41" t="n">
        <f aca="false">MIN(04_GENERATION!AO18,10_DEMAND!AO33)</f>
        <v>0</v>
      </c>
      <c r="AP20" s="41" t="n">
        <f aca="false">MIN(04_GENERATION!AP18,10_DEMAND!AP33)</f>
        <v>0</v>
      </c>
      <c r="AQ20" s="41" t="n">
        <f aca="false">MIN(04_GENERATION!AQ18,10_DEMAND!AQ33)</f>
        <v>0</v>
      </c>
      <c r="AR20" s="41" t="n">
        <f aca="false">MIN(04_GENERATION!AR18,10_DEMAND!AR33)</f>
        <v>0</v>
      </c>
    </row>
    <row r="21" customFormat="false" ht="15" hidden="false" customHeight="false" outlineLevel="0" collapsed="false">
      <c r="A21" s="8" t="s">
        <v>212</v>
      </c>
      <c r="B21" s="8" t="s">
        <v>181</v>
      </c>
      <c r="C21" s="32" t="n">
        <f aca="false">SUM(04_GENERATION!$E$21:$AR$21)</f>
        <v>0</v>
      </c>
      <c r="E21" s="32" t="n">
        <f aca="false">04_GENERATION!E18-04_GENERATION!E20</f>
        <v>0</v>
      </c>
      <c r="F21" s="32" t="n">
        <f aca="false">04_GENERATION!F18-04_GENERATION!F20</f>
        <v>0</v>
      </c>
      <c r="G21" s="32" t="n">
        <f aca="false">04_GENERATION!G18-04_GENERATION!G20</f>
        <v>0</v>
      </c>
      <c r="H21" s="32" t="n">
        <f aca="false">04_GENERATION!H18-04_GENERATION!H20</f>
        <v>0</v>
      </c>
      <c r="I21" s="32" t="n">
        <f aca="false">04_GENERATION!I18-04_GENERATION!I20</f>
        <v>0</v>
      </c>
      <c r="J21" s="32" t="n">
        <f aca="false">04_GENERATION!J18-04_GENERATION!J20</f>
        <v>0</v>
      </c>
      <c r="K21" s="32" t="n">
        <f aca="false">04_GENERATION!K18-04_GENERATION!K20</f>
        <v>0</v>
      </c>
      <c r="L21" s="32" t="n">
        <f aca="false">04_GENERATION!L18-04_GENERATION!L20</f>
        <v>0</v>
      </c>
      <c r="M21" s="32" t="n">
        <f aca="false">04_GENERATION!M18-04_GENERATION!M20</f>
        <v>0</v>
      </c>
      <c r="N21" s="32" t="n">
        <f aca="false">04_GENERATION!N18-04_GENERATION!N20</f>
        <v>0</v>
      </c>
      <c r="O21" s="32" t="n">
        <f aca="false">04_GENERATION!O18-04_GENERATION!O20</f>
        <v>0</v>
      </c>
      <c r="P21" s="32" t="n">
        <f aca="false">04_GENERATION!P18-04_GENERATION!P20</f>
        <v>0</v>
      </c>
      <c r="Q21" s="32" t="n">
        <f aca="false">04_GENERATION!Q18-04_GENERATION!Q20</f>
        <v>0</v>
      </c>
      <c r="R21" s="32" t="n">
        <f aca="false">04_GENERATION!R18-04_GENERATION!R20</f>
        <v>0</v>
      </c>
      <c r="S21" s="32" t="n">
        <f aca="false">04_GENERATION!S18-04_GENERATION!S20</f>
        <v>0</v>
      </c>
      <c r="T21" s="32" t="n">
        <f aca="false">04_GENERATION!T18-04_GENERATION!T20</f>
        <v>0</v>
      </c>
      <c r="U21" s="32" t="n">
        <f aca="false">04_GENERATION!U18-04_GENERATION!U20</f>
        <v>0</v>
      </c>
      <c r="V21" s="32" t="n">
        <f aca="false">04_GENERATION!V18-04_GENERATION!V20</f>
        <v>0</v>
      </c>
      <c r="W21" s="32" t="n">
        <f aca="false">04_GENERATION!W18-04_GENERATION!W20</f>
        <v>0</v>
      </c>
      <c r="X21" s="32" t="n">
        <f aca="false">04_GENERATION!X18-04_GENERATION!X20</f>
        <v>0</v>
      </c>
      <c r="Y21" s="32" t="n">
        <f aca="false">04_GENERATION!Y18-04_GENERATION!Y20</f>
        <v>0</v>
      </c>
      <c r="Z21" s="32" t="n">
        <f aca="false">04_GENERATION!Z18-04_GENERATION!Z20</f>
        <v>0</v>
      </c>
      <c r="AA21" s="32" t="n">
        <f aca="false">04_GENERATION!AA18-04_GENERATION!AA20</f>
        <v>0</v>
      </c>
      <c r="AB21" s="32" t="n">
        <f aca="false">04_GENERATION!AB18-04_GENERATION!AB20</f>
        <v>0</v>
      </c>
      <c r="AC21" s="32" t="n">
        <f aca="false">04_GENERATION!AC18-04_GENERATION!AC20</f>
        <v>0</v>
      </c>
      <c r="AD21" s="32" t="n">
        <f aca="false">04_GENERATION!AD18-04_GENERATION!AD20</f>
        <v>0</v>
      </c>
      <c r="AE21" s="32" t="n">
        <f aca="false">04_GENERATION!AE18-04_GENERATION!AE20</f>
        <v>0</v>
      </c>
      <c r="AF21" s="32" t="n">
        <f aca="false">04_GENERATION!AF18-04_GENERATION!AF20</f>
        <v>0</v>
      </c>
      <c r="AG21" s="32" t="n">
        <f aca="false">04_GENERATION!AG18-04_GENERATION!AG20</f>
        <v>0</v>
      </c>
      <c r="AH21" s="32" t="n">
        <f aca="false">04_GENERATION!AH18-04_GENERATION!AH20</f>
        <v>0</v>
      </c>
      <c r="AI21" s="32" t="n">
        <f aca="false">04_GENERATION!AI18-04_GENERATION!AI20</f>
        <v>0</v>
      </c>
      <c r="AJ21" s="32" t="n">
        <f aca="false">04_GENERATION!AJ18-04_GENERATION!AJ20</f>
        <v>0</v>
      </c>
      <c r="AK21" s="32" t="n">
        <f aca="false">04_GENERATION!AK18-04_GENERATION!AK20</f>
        <v>0</v>
      </c>
      <c r="AL21" s="32" t="n">
        <f aca="false">04_GENERATION!AL18-04_GENERATION!AL20</f>
        <v>0</v>
      </c>
      <c r="AM21" s="32" t="n">
        <f aca="false">04_GENERATION!AM18-04_GENERATION!AM20</f>
        <v>0</v>
      </c>
      <c r="AN21" s="32" t="n">
        <f aca="false">04_GENERATION!AN18-04_GENERATION!AN20</f>
        <v>0</v>
      </c>
      <c r="AO21" s="32" t="n">
        <f aca="false">04_GENERATION!AO18-04_GENERATION!AO20</f>
        <v>0</v>
      </c>
      <c r="AP21" s="32" t="n">
        <f aca="false">04_GENERATION!AP18-04_GENERATION!AP20</f>
        <v>0</v>
      </c>
      <c r="AQ21" s="32" t="n">
        <f aca="false">04_GENERATION!AQ18-04_GENERATION!AQ20</f>
        <v>0</v>
      </c>
      <c r="AR21" s="32" t="n">
        <f aca="false">04_GENERATION!AR18-04_GENERATION!AR20</f>
        <v>0</v>
      </c>
    </row>
    <row r="22" customFormat="false" ht="15" hidden="false" customHeight="false" outlineLevel="0" collapsed="false">
      <c r="A22" s="8" t="s">
        <v>213</v>
      </c>
      <c r="B22" s="8" t="s">
        <v>181</v>
      </c>
      <c r="C22" s="32" t="n">
        <f aca="false">SUM(04_GENERATION!$E$22:$AR$22)</f>
        <v>49726.2739696006</v>
      </c>
      <c r="E22" s="32" t="n">
        <f aca="false">04_GENERATION!E16</f>
        <v>0</v>
      </c>
      <c r="F22" s="32" t="n">
        <f aca="false">04_GENERATION!F16</f>
        <v>0</v>
      </c>
      <c r="G22" s="32" t="n">
        <f aca="false">04_GENERATION!G16</f>
        <v>0</v>
      </c>
      <c r="H22" s="32" t="n">
        <f aca="false">04_GENERATION!H16</f>
        <v>0</v>
      </c>
      <c r="I22" s="32" t="n">
        <f aca="false">04_GENERATION!I16</f>
        <v>0</v>
      </c>
      <c r="J22" s="32" t="n">
        <f aca="false">04_GENERATION!J16</f>
        <v>1415.99105106065</v>
      </c>
      <c r="K22" s="32" t="n">
        <f aca="false">04_GENERATION!K16</f>
        <v>1665.87182477724</v>
      </c>
      <c r="L22" s="32" t="n">
        <f aca="false">04_GENERATION!L16</f>
        <v>1665.87182477724</v>
      </c>
      <c r="M22" s="32" t="n">
        <f aca="false">04_GENERATION!M16</f>
        <v>1665.87182477724</v>
      </c>
      <c r="N22" s="32" t="n">
        <f aca="false">04_GENERATION!N16</f>
        <v>1665.87182477724</v>
      </c>
      <c r="O22" s="32" t="n">
        <f aca="false">04_GENERATION!O16</f>
        <v>1665.87182477724</v>
      </c>
      <c r="P22" s="32" t="n">
        <f aca="false">04_GENERATION!P16</f>
        <v>1665.87182477724</v>
      </c>
      <c r="Q22" s="32" t="n">
        <f aca="false">04_GENERATION!Q16</f>
        <v>1665.87182477724</v>
      </c>
      <c r="R22" s="32" t="n">
        <f aca="false">04_GENERATION!R16</f>
        <v>1665.87182477724</v>
      </c>
      <c r="S22" s="32" t="n">
        <f aca="false">04_GENERATION!S16</f>
        <v>1665.87182477724</v>
      </c>
      <c r="T22" s="32" t="n">
        <f aca="false">04_GENERATION!T16</f>
        <v>1665.87182477724</v>
      </c>
      <c r="U22" s="32" t="n">
        <f aca="false">04_GENERATION!U16</f>
        <v>1665.87182477724</v>
      </c>
      <c r="V22" s="32" t="n">
        <f aca="false">04_GENERATION!V16</f>
        <v>1665.87182477724</v>
      </c>
      <c r="W22" s="32" t="n">
        <f aca="false">04_GENERATION!W16</f>
        <v>1665.87182477724</v>
      </c>
      <c r="X22" s="32" t="n">
        <f aca="false">04_GENERATION!X16</f>
        <v>1665.87182477724</v>
      </c>
      <c r="Y22" s="32" t="n">
        <f aca="false">04_GENERATION!Y16</f>
        <v>1665.87182477724</v>
      </c>
      <c r="Z22" s="32" t="n">
        <f aca="false">04_GENERATION!Z16</f>
        <v>1665.87182477724</v>
      </c>
      <c r="AA22" s="32" t="n">
        <f aca="false">04_GENERATION!AA16</f>
        <v>1665.87182477724</v>
      </c>
      <c r="AB22" s="32" t="n">
        <f aca="false">04_GENERATION!AB16</f>
        <v>1665.87182477724</v>
      </c>
      <c r="AC22" s="32" t="n">
        <f aca="false">04_GENERATION!AC16</f>
        <v>1665.87182477724</v>
      </c>
      <c r="AD22" s="32" t="n">
        <f aca="false">04_GENERATION!AD16</f>
        <v>1665.87182477724</v>
      </c>
      <c r="AE22" s="32" t="n">
        <f aca="false">04_GENERATION!AE16</f>
        <v>1665.87182477724</v>
      </c>
      <c r="AF22" s="32" t="n">
        <f aca="false">04_GENERATION!AF16</f>
        <v>1665.87182477724</v>
      </c>
      <c r="AG22" s="32" t="n">
        <f aca="false">04_GENERATION!AG16</f>
        <v>1665.87182477724</v>
      </c>
      <c r="AH22" s="32" t="n">
        <f aca="false">04_GENERATION!AH16</f>
        <v>1665.87182477724</v>
      </c>
      <c r="AI22" s="32" t="n">
        <f aca="false">04_GENERATION!AI16</f>
        <v>1665.87182477724</v>
      </c>
      <c r="AJ22" s="32" t="n">
        <f aca="false">04_GENERATION!AJ16</f>
        <v>1665.87182477724</v>
      </c>
      <c r="AK22" s="32" t="n">
        <f aca="false">04_GENERATION!AK16</f>
        <v>1665.87182477724</v>
      </c>
      <c r="AL22" s="32" t="n">
        <f aca="false">04_GENERATION!AL16</f>
        <v>1665.87182477724</v>
      </c>
      <c r="AM22" s="32" t="n">
        <f aca="false">04_GENERATION!AM16</f>
        <v>1665.87182477724</v>
      </c>
      <c r="AN22" s="32" t="n">
        <f aca="false">04_GENERATION!AN16</f>
        <v>0</v>
      </c>
      <c r="AO22" s="32" t="n">
        <f aca="false">04_GENERATION!AO16</f>
        <v>0</v>
      </c>
      <c r="AP22" s="32" t="n">
        <f aca="false">04_GENERATION!AP16</f>
        <v>0</v>
      </c>
      <c r="AQ22" s="32" t="n">
        <f aca="false">04_GENERATION!AQ16</f>
        <v>0</v>
      </c>
      <c r="AR22" s="32" t="n">
        <f aca="false">04_GENERATION!AR16</f>
        <v>0</v>
      </c>
    </row>
    <row r="23" customFormat="false" ht="15" hidden="false" customHeight="false" outlineLevel="0" collapsed="false">
      <c r="A23" s="8" t="s">
        <v>214</v>
      </c>
      <c r="B23" s="8" t="s">
        <v>181</v>
      </c>
      <c r="C23" s="32" t="n">
        <f aca="false">SUM(04_GENERATION!$E$23:$AR$23)</f>
        <v>42078.7708432678</v>
      </c>
      <c r="E23" s="32" t="n">
        <f aca="false">06_CONSTRUCTION!E14*04_GENERATION!$C$7*27_SCENARIOS!$C$26*04_GENERATION!E13*04_GENERATION!E14</f>
        <v>0</v>
      </c>
      <c r="F23" s="32" t="n">
        <f aca="false">06_CONSTRUCTION!F14*04_GENERATION!$C$7*27_SCENARIOS!$C$26*04_GENERATION!F13*04_GENERATION!F14</f>
        <v>0</v>
      </c>
      <c r="G23" s="32" t="n">
        <f aca="false">06_CONSTRUCTION!G14*04_GENERATION!$C$7*27_SCENARIOS!$C$26*04_GENERATION!G13*04_GENERATION!G14</f>
        <v>0</v>
      </c>
      <c r="H23" s="32" t="n">
        <f aca="false">06_CONSTRUCTION!H14*04_GENERATION!$C$7*27_SCENARIOS!$C$26*04_GENERATION!H13*04_GENERATION!H14</f>
        <v>0</v>
      </c>
      <c r="I23" s="32" t="n">
        <f aca="false">06_CONSTRUCTION!I14*04_GENERATION!$C$7*27_SCENARIOS!$C$26*04_GENERATION!I13*04_GENERATION!I14</f>
        <v>0</v>
      </c>
      <c r="J23" s="32" t="n">
        <f aca="false">06_CONSTRUCTION!J14*04_GENERATION!$C$7*27_SCENARIOS!$C$26*04_GENERATION!J13*04_GENERATION!J14</f>
        <v>1198.22295533593</v>
      </c>
      <c r="K23" s="32" t="n">
        <f aca="false">06_CONSTRUCTION!K14*04_GENERATION!$C$7*27_SCENARIOS!$C$26*04_GENERATION!K13*04_GENERATION!K14</f>
        <v>1409.6740651011</v>
      </c>
      <c r="L23" s="32" t="n">
        <f aca="false">06_CONSTRUCTION!L14*04_GENERATION!$C$7*27_SCENARIOS!$C$26*04_GENERATION!L13*04_GENERATION!L14</f>
        <v>1409.6740651011</v>
      </c>
      <c r="M23" s="32" t="n">
        <f aca="false">06_CONSTRUCTION!M14*04_GENERATION!$C$7*27_SCENARIOS!$C$26*04_GENERATION!M13*04_GENERATION!M14</f>
        <v>1409.6740651011</v>
      </c>
      <c r="N23" s="32" t="n">
        <f aca="false">06_CONSTRUCTION!N14*04_GENERATION!$C$7*27_SCENARIOS!$C$26*04_GENERATION!N13*04_GENERATION!N14</f>
        <v>1409.6740651011</v>
      </c>
      <c r="O23" s="32" t="n">
        <f aca="false">06_CONSTRUCTION!O14*04_GENERATION!$C$7*27_SCENARIOS!$C$26*04_GENERATION!O13*04_GENERATION!O14</f>
        <v>1409.6740651011</v>
      </c>
      <c r="P23" s="32" t="n">
        <f aca="false">06_CONSTRUCTION!P14*04_GENERATION!$C$7*27_SCENARIOS!$C$26*04_GENERATION!P13*04_GENERATION!P14</f>
        <v>1409.6740651011</v>
      </c>
      <c r="Q23" s="32" t="n">
        <f aca="false">06_CONSTRUCTION!Q14*04_GENERATION!$C$7*27_SCENARIOS!$C$26*04_GENERATION!Q13*04_GENERATION!Q14</f>
        <v>1409.6740651011</v>
      </c>
      <c r="R23" s="32" t="n">
        <f aca="false">06_CONSTRUCTION!R14*04_GENERATION!$C$7*27_SCENARIOS!$C$26*04_GENERATION!R13*04_GENERATION!R14</f>
        <v>1409.6740651011</v>
      </c>
      <c r="S23" s="32" t="n">
        <f aca="false">06_CONSTRUCTION!S14*04_GENERATION!$C$7*27_SCENARIOS!$C$26*04_GENERATION!S13*04_GENERATION!S14</f>
        <v>1409.6740651011</v>
      </c>
      <c r="T23" s="32" t="n">
        <f aca="false">06_CONSTRUCTION!T14*04_GENERATION!$C$7*27_SCENARIOS!$C$26*04_GENERATION!T13*04_GENERATION!T14</f>
        <v>1409.6740651011</v>
      </c>
      <c r="U23" s="32" t="n">
        <f aca="false">06_CONSTRUCTION!U14*04_GENERATION!$C$7*27_SCENARIOS!$C$26*04_GENERATION!U13*04_GENERATION!U14</f>
        <v>1409.6740651011</v>
      </c>
      <c r="V23" s="32" t="n">
        <f aca="false">06_CONSTRUCTION!V14*04_GENERATION!$C$7*27_SCENARIOS!$C$26*04_GENERATION!V13*04_GENERATION!V14</f>
        <v>1409.6740651011</v>
      </c>
      <c r="W23" s="32" t="n">
        <f aca="false">06_CONSTRUCTION!W14*04_GENERATION!$C$7*27_SCENARIOS!$C$26*04_GENERATION!W13*04_GENERATION!W14</f>
        <v>1409.6740651011</v>
      </c>
      <c r="X23" s="32" t="n">
        <f aca="false">06_CONSTRUCTION!X14*04_GENERATION!$C$7*27_SCENARIOS!$C$26*04_GENERATION!X13*04_GENERATION!X14</f>
        <v>1409.6740651011</v>
      </c>
      <c r="Y23" s="32" t="n">
        <f aca="false">06_CONSTRUCTION!Y14*04_GENERATION!$C$7*27_SCENARIOS!$C$26*04_GENERATION!Y13*04_GENERATION!Y14</f>
        <v>1409.6740651011</v>
      </c>
      <c r="Z23" s="32" t="n">
        <f aca="false">06_CONSTRUCTION!Z14*04_GENERATION!$C$7*27_SCENARIOS!$C$26*04_GENERATION!Z13*04_GENERATION!Z14</f>
        <v>1409.6740651011</v>
      </c>
      <c r="AA23" s="32" t="n">
        <f aca="false">06_CONSTRUCTION!AA14*04_GENERATION!$C$7*27_SCENARIOS!$C$26*04_GENERATION!AA13*04_GENERATION!AA14</f>
        <v>1409.6740651011</v>
      </c>
      <c r="AB23" s="32" t="n">
        <f aca="false">06_CONSTRUCTION!AB14*04_GENERATION!$C$7*27_SCENARIOS!$C$26*04_GENERATION!AB13*04_GENERATION!AB14</f>
        <v>1409.6740651011</v>
      </c>
      <c r="AC23" s="32" t="n">
        <f aca="false">06_CONSTRUCTION!AC14*04_GENERATION!$C$7*27_SCENARIOS!$C$26*04_GENERATION!AC13*04_GENERATION!AC14</f>
        <v>1409.6740651011</v>
      </c>
      <c r="AD23" s="32" t="n">
        <f aca="false">06_CONSTRUCTION!AD14*04_GENERATION!$C$7*27_SCENARIOS!$C$26*04_GENERATION!AD13*04_GENERATION!AD14</f>
        <v>1409.6740651011</v>
      </c>
      <c r="AE23" s="32" t="n">
        <f aca="false">06_CONSTRUCTION!AE14*04_GENERATION!$C$7*27_SCENARIOS!$C$26*04_GENERATION!AE13*04_GENERATION!AE14</f>
        <v>1409.6740651011</v>
      </c>
      <c r="AF23" s="32" t="n">
        <f aca="false">06_CONSTRUCTION!AF14*04_GENERATION!$C$7*27_SCENARIOS!$C$26*04_GENERATION!AF13*04_GENERATION!AF14</f>
        <v>1409.6740651011</v>
      </c>
      <c r="AG23" s="32" t="n">
        <f aca="false">06_CONSTRUCTION!AG14*04_GENERATION!$C$7*27_SCENARIOS!$C$26*04_GENERATION!AG13*04_GENERATION!AG14</f>
        <v>1409.6740651011</v>
      </c>
      <c r="AH23" s="32" t="n">
        <f aca="false">06_CONSTRUCTION!AH14*04_GENERATION!$C$7*27_SCENARIOS!$C$26*04_GENERATION!AH13*04_GENERATION!AH14</f>
        <v>1409.6740651011</v>
      </c>
      <c r="AI23" s="32" t="n">
        <f aca="false">06_CONSTRUCTION!AI14*04_GENERATION!$C$7*27_SCENARIOS!$C$26*04_GENERATION!AI13*04_GENERATION!AI14</f>
        <v>1409.6740651011</v>
      </c>
      <c r="AJ23" s="32" t="n">
        <f aca="false">06_CONSTRUCTION!AJ14*04_GENERATION!$C$7*27_SCENARIOS!$C$26*04_GENERATION!AJ13*04_GENERATION!AJ14</f>
        <v>1409.6740651011</v>
      </c>
      <c r="AK23" s="32" t="n">
        <f aca="false">06_CONSTRUCTION!AK14*04_GENERATION!$C$7*27_SCENARIOS!$C$26*04_GENERATION!AK13*04_GENERATION!AK14</f>
        <v>1409.6740651011</v>
      </c>
      <c r="AL23" s="32" t="n">
        <f aca="false">06_CONSTRUCTION!AL14*04_GENERATION!$C$7*27_SCENARIOS!$C$26*04_GENERATION!AL13*04_GENERATION!AL14</f>
        <v>1409.6740651011</v>
      </c>
      <c r="AM23" s="32" t="n">
        <f aca="false">06_CONSTRUCTION!AM14*04_GENERATION!$C$7*27_SCENARIOS!$C$26*04_GENERATION!AM13*04_GENERATION!AM14</f>
        <v>1409.6740651011</v>
      </c>
      <c r="AN23" s="32" t="n">
        <f aca="false">06_CONSTRUCTION!AN14*04_GENERATION!$C$7*27_SCENARIOS!$C$26*04_GENERATION!AN13*04_GENERATION!AN14</f>
        <v>0</v>
      </c>
      <c r="AO23" s="32" t="n">
        <f aca="false">06_CONSTRUCTION!AO14*04_GENERATION!$C$7*27_SCENARIOS!$C$26*04_GENERATION!AO13*04_GENERATION!AO14</f>
        <v>0</v>
      </c>
      <c r="AP23" s="32" t="n">
        <f aca="false">06_CONSTRUCTION!AP14*04_GENERATION!$C$7*27_SCENARIOS!$C$26*04_GENERATION!AP13*04_GENERATION!AP14</f>
        <v>0</v>
      </c>
      <c r="AQ23" s="32" t="n">
        <f aca="false">06_CONSTRUCTION!AQ14*04_GENERATION!$C$7*27_SCENARIOS!$C$26*04_GENERATION!AQ13*04_GENERATION!AQ14</f>
        <v>0</v>
      </c>
      <c r="AR23" s="32" t="n">
        <f aca="false">06_CONSTRUCTION!AR14*04_GENERATION!$C$7*27_SCENARIOS!$C$26*04_GENERATION!AR13*04_GENERATION!AR14</f>
        <v>0</v>
      </c>
    </row>
    <row r="24" customFormat="false" ht="15" hidden="false" customHeight="false" outlineLevel="0" collapsed="false">
      <c r="A24" s="8" t="s">
        <v>215</v>
      </c>
      <c r="B24" s="8" t="s">
        <v>56</v>
      </c>
      <c r="E24" s="42" t="n">
        <f aca="false">IF(06_CONSTRUCTION!E14=1,04_GENERATION!E17/(02_PROJECT_INPUTS!$C$15*8.76),0)</f>
        <v>0</v>
      </c>
      <c r="F24" s="42" t="n">
        <f aca="false">IF(06_CONSTRUCTION!F14=1,04_GENERATION!F17/(02_PROJECT_INPUTS!$C$15*8.76),0)</f>
        <v>0</v>
      </c>
      <c r="G24" s="42" t="n">
        <f aca="false">IF(06_CONSTRUCTION!G14=1,04_GENERATION!G17/(02_PROJECT_INPUTS!$C$15*8.76),0)</f>
        <v>0</v>
      </c>
      <c r="H24" s="42" t="n">
        <f aca="false">IF(06_CONSTRUCTION!H14=1,04_GENERATION!H17/(02_PROJECT_INPUTS!$C$15*8.76),0)</f>
        <v>0</v>
      </c>
      <c r="I24" s="42" t="n">
        <f aca="false">IF(06_CONSTRUCTION!I14=1,04_GENERATION!I17/(02_PROJECT_INPUTS!$C$15*8.76),0)</f>
        <v>0</v>
      </c>
      <c r="J24" s="42" t="n">
        <f aca="false">IF(06_CONSTRUCTION!J14=1,04_GENERATION!J17/(02_PROJECT_INPUTS!$C$15*8.76),0)</f>
        <v>0.40410703512005</v>
      </c>
      <c r="K24" s="42" t="n">
        <f aca="false">IF(06_CONSTRUCTION!K14=1,04_GENERATION!K17/(02_PROJECT_INPUTS!$C$15*8.76),0)</f>
        <v>0.475420041317705</v>
      </c>
      <c r="L24" s="42" t="n">
        <f aca="false">IF(06_CONSTRUCTION!L14=1,04_GENERATION!L17/(02_PROJECT_INPUTS!$C$15*8.76),0)</f>
        <v>0.475420041317705</v>
      </c>
      <c r="M24" s="42" t="n">
        <f aca="false">IF(06_CONSTRUCTION!M14=1,04_GENERATION!M17/(02_PROJECT_INPUTS!$C$15*8.76),0)</f>
        <v>0.475420041317705</v>
      </c>
      <c r="N24" s="42" t="n">
        <f aca="false">IF(06_CONSTRUCTION!N14=1,04_GENERATION!N17/(02_PROJECT_INPUTS!$C$15*8.76),0)</f>
        <v>0.475420041317705</v>
      </c>
      <c r="O24" s="42" t="n">
        <f aca="false">IF(06_CONSTRUCTION!O14=1,04_GENERATION!O17/(02_PROJECT_INPUTS!$C$15*8.76),0)</f>
        <v>0.475420041317705</v>
      </c>
      <c r="P24" s="42" t="n">
        <f aca="false">IF(06_CONSTRUCTION!P14=1,04_GENERATION!P17/(02_PROJECT_INPUTS!$C$15*8.76),0)</f>
        <v>0.475420041317705</v>
      </c>
      <c r="Q24" s="42" t="n">
        <f aca="false">IF(06_CONSTRUCTION!Q14=1,04_GENERATION!Q17/(02_PROJECT_INPUTS!$C$15*8.76),0)</f>
        <v>0.475420041317705</v>
      </c>
      <c r="R24" s="42" t="n">
        <f aca="false">IF(06_CONSTRUCTION!R14=1,04_GENERATION!R17/(02_PROJECT_INPUTS!$C$15*8.76),0)</f>
        <v>0.475420041317705</v>
      </c>
      <c r="S24" s="42" t="n">
        <f aca="false">IF(06_CONSTRUCTION!S14=1,04_GENERATION!S17/(02_PROJECT_INPUTS!$C$15*8.76),0)</f>
        <v>0.475420041317705</v>
      </c>
      <c r="T24" s="42" t="n">
        <f aca="false">IF(06_CONSTRUCTION!T14=1,04_GENERATION!T17/(02_PROJECT_INPUTS!$C$15*8.76),0)</f>
        <v>0.475420041317705</v>
      </c>
      <c r="U24" s="42" t="n">
        <f aca="false">IF(06_CONSTRUCTION!U14=1,04_GENERATION!U17/(02_PROJECT_INPUTS!$C$15*8.76),0)</f>
        <v>0.475420041317705</v>
      </c>
      <c r="V24" s="42" t="n">
        <f aca="false">IF(06_CONSTRUCTION!V14=1,04_GENERATION!V17/(02_PROJECT_INPUTS!$C$15*8.76),0)</f>
        <v>0.475420041317705</v>
      </c>
      <c r="W24" s="42" t="n">
        <f aca="false">IF(06_CONSTRUCTION!W14=1,04_GENERATION!W17/(02_PROJECT_INPUTS!$C$15*8.76),0)</f>
        <v>0.475420041317705</v>
      </c>
      <c r="X24" s="42" t="n">
        <f aca="false">IF(06_CONSTRUCTION!X14=1,04_GENERATION!X17/(02_PROJECT_INPUTS!$C$15*8.76),0)</f>
        <v>0.475420041317705</v>
      </c>
      <c r="Y24" s="42" t="n">
        <f aca="false">IF(06_CONSTRUCTION!Y14=1,04_GENERATION!Y17/(02_PROJECT_INPUTS!$C$15*8.76),0)</f>
        <v>0.475420041317705</v>
      </c>
      <c r="Z24" s="42" t="n">
        <f aca="false">IF(06_CONSTRUCTION!Z14=1,04_GENERATION!Z17/(02_PROJECT_INPUTS!$C$15*8.76),0)</f>
        <v>0.475420041317705</v>
      </c>
      <c r="AA24" s="42" t="n">
        <f aca="false">IF(06_CONSTRUCTION!AA14=1,04_GENERATION!AA17/(02_PROJECT_INPUTS!$C$15*8.76),0)</f>
        <v>0.475420041317705</v>
      </c>
      <c r="AB24" s="42" t="n">
        <f aca="false">IF(06_CONSTRUCTION!AB14=1,04_GENERATION!AB17/(02_PROJECT_INPUTS!$C$15*8.76),0)</f>
        <v>0.475420041317705</v>
      </c>
      <c r="AC24" s="42" t="n">
        <f aca="false">IF(06_CONSTRUCTION!AC14=1,04_GENERATION!AC17/(02_PROJECT_INPUTS!$C$15*8.76),0)</f>
        <v>0.475420041317705</v>
      </c>
      <c r="AD24" s="42" t="n">
        <f aca="false">IF(06_CONSTRUCTION!AD14=1,04_GENERATION!AD17/(02_PROJECT_INPUTS!$C$15*8.76),0)</f>
        <v>0.475420041317705</v>
      </c>
      <c r="AE24" s="42" t="n">
        <f aca="false">IF(06_CONSTRUCTION!AE14=1,04_GENERATION!AE17/(02_PROJECT_INPUTS!$C$15*8.76),0)</f>
        <v>0.475420041317705</v>
      </c>
      <c r="AF24" s="42" t="n">
        <f aca="false">IF(06_CONSTRUCTION!AF14=1,04_GENERATION!AF17/(02_PROJECT_INPUTS!$C$15*8.76),0)</f>
        <v>0.475420041317705</v>
      </c>
      <c r="AG24" s="42" t="n">
        <f aca="false">IF(06_CONSTRUCTION!AG14=1,04_GENERATION!AG17/(02_PROJECT_INPUTS!$C$15*8.76),0)</f>
        <v>0.475420041317705</v>
      </c>
      <c r="AH24" s="42" t="n">
        <f aca="false">IF(06_CONSTRUCTION!AH14=1,04_GENERATION!AH17/(02_PROJECT_INPUTS!$C$15*8.76),0)</f>
        <v>0.475420041317705</v>
      </c>
      <c r="AI24" s="42" t="n">
        <f aca="false">IF(06_CONSTRUCTION!AI14=1,04_GENERATION!AI17/(02_PROJECT_INPUTS!$C$15*8.76),0)</f>
        <v>0.475420041317705</v>
      </c>
      <c r="AJ24" s="42" t="n">
        <f aca="false">IF(06_CONSTRUCTION!AJ14=1,04_GENERATION!AJ17/(02_PROJECT_INPUTS!$C$15*8.76),0)</f>
        <v>0.475420041317705</v>
      </c>
      <c r="AK24" s="42" t="n">
        <f aca="false">IF(06_CONSTRUCTION!AK14=1,04_GENERATION!AK17/(02_PROJECT_INPUTS!$C$15*8.76),0)</f>
        <v>0.475420041317705</v>
      </c>
      <c r="AL24" s="42" t="n">
        <f aca="false">IF(06_CONSTRUCTION!AL14=1,04_GENERATION!AL17/(02_PROJECT_INPUTS!$C$15*8.76),0)</f>
        <v>0.475420041317705</v>
      </c>
      <c r="AM24" s="42" t="n">
        <f aca="false">IF(06_CONSTRUCTION!AM14=1,04_GENERATION!AM17/(02_PROJECT_INPUTS!$C$15*8.76),0)</f>
        <v>0.475420041317705</v>
      </c>
      <c r="AN24" s="42" t="n">
        <f aca="false">IF(06_CONSTRUCTION!AN14=1,04_GENERATION!AN17/(02_PROJECT_INPUTS!$C$15*8.76),0)</f>
        <v>0</v>
      </c>
      <c r="AO24" s="42" t="n">
        <f aca="false">IF(06_CONSTRUCTION!AO14=1,04_GENERATION!AO17/(02_PROJECT_INPUTS!$C$15*8.76),0)</f>
        <v>0</v>
      </c>
      <c r="AP24" s="42" t="n">
        <f aca="false">IF(06_CONSTRUCTION!AP14=1,04_GENERATION!AP17/(02_PROJECT_INPUTS!$C$15*8.76),0)</f>
        <v>0</v>
      </c>
      <c r="AQ24" s="42" t="n">
        <f aca="false">IF(06_CONSTRUCTION!AQ14=1,04_GENERATION!AQ17/(02_PROJECT_INPUTS!$C$15*8.76),0)</f>
        <v>0</v>
      </c>
      <c r="AR24" s="42" t="n">
        <f aca="false">IF(06_CONSTRUCTION!AR14=1,04_GENERATION!AR17/(02_PROJECT_INPUTS!$C$15*8.76),0)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216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217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218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219</v>
      </c>
      <c r="B5" s="8" t="s">
        <v>84</v>
      </c>
      <c r="C5" s="43" t="n">
        <v>520</v>
      </c>
      <c r="D5" s="10" t="s">
        <v>94</v>
      </c>
    </row>
    <row r="6" customFormat="false" ht="15" hidden="false" customHeight="false" outlineLevel="0" collapsed="false">
      <c r="A6" s="8" t="s">
        <v>220</v>
      </c>
      <c r="B6" s="8" t="s">
        <v>84</v>
      </c>
      <c r="C6" s="43" t="n">
        <v>60</v>
      </c>
      <c r="D6" s="10" t="s">
        <v>94</v>
      </c>
    </row>
    <row r="7" customFormat="false" ht="15" hidden="false" customHeight="false" outlineLevel="0" collapsed="false">
      <c r="A7" s="8" t="s">
        <v>221</v>
      </c>
      <c r="B7" s="8" t="s">
        <v>84</v>
      </c>
      <c r="C7" s="43" t="n">
        <v>210</v>
      </c>
      <c r="D7" s="10" t="s">
        <v>94</v>
      </c>
    </row>
    <row r="8" customFormat="false" ht="15" hidden="false" customHeight="false" outlineLevel="0" collapsed="false">
      <c r="A8" s="8" t="s">
        <v>222</v>
      </c>
      <c r="B8" s="8" t="s">
        <v>84</v>
      </c>
      <c r="C8" s="43" t="n">
        <v>40</v>
      </c>
      <c r="D8" s="10" t="s">
        <v>94</v>
      </c>
    </row>
    <row r="9" customFormat="false" ht="15" hidden="false" customHeight="false" outlineLevel="0" collapsed="false">
      <c r="A9" s="8" t="s">
        <v>223</v>
      </c>
      <c r="B9" s="8" t="s">
        <v>84</v>
      </c>
      <c r="C9" s="43" t="n">
        <v>45</v>
      </c>
      <c r="D9" s="10" t="s">
        <v>94</v>
      </c>
    </row>
    <row r="10" customFormat="false" ht="15" hidden="false" customHeight="false" outlineLevel="0" collapsed="false">
      <c r="A10" s="8" t="s">
        <v>224</v>
      </c>
      <c r="B10" s="8" t="s">
        <v>84</v>
      </c>
      <c r="C10" s="43" t="n">
        <v>45</v>
      </c>
      <c r="D10" s="10" t="s">
        <v>94</v>
      </c>
    </row>
    <row r="11" customFormat="false" ht="15" hidden="false" customHeight="false" outlineLevel="0" collapsed="false">
      <c r="A11" s="8" t="s">
        <v>225</v>
      </c>
      <c r="B11" s="8" t="s">
        <v>84</v>
      </c>
      <c r="C11" s="37" t="n">
        <f aca="false">SUM(C5:C10)</f>
        <v>920</v>
      </c>
    </row>
    <row r="12" customFormat="false" ht="15" hidden="false" customHeight="false" outlineLevel="0" collapsed="false">
      <c r="A12" s="8" t="s">
        <v>226</v>
      </c>
      <c r="B12" s="8" t="s">
        <v>56</v>
      </c>
      <c r="C12" s="25" t="n">
        <v>0.12</v>
      </c>
      <c r="D12" s="10" t="s">
        <v>227</v>
      </c>
    </row>
    <row r="13" customFormat="false" ht="15" hidden="false" customHeight="false" outlineLevel="0" collapsed="false">
      <c r="A13" s="4" t="s">
        <v>228</v>
      </c>
      <c r="B13" s="8" t="s">
        <v>84</v>
      </c>
      <c r="C13" s="44" t="n">
        <f aca="false">05_PLANT_CAPEX!$C$11*(1+05_PLANT_CAPEX!$C$12)</f>
        <v>1030.4</v>
      </c>
    </row>
    <row r="14" customFormat="false" ht="15" hidden="false" customHeight="false" outlineLevel="0" collapsed="false">
      <c r="A14" s="4" t="s">
        <v>229</v>
      </c>
      <c r="B14" s="8" t="s">
        <v>230</v>
      </c>
      <c r="C14" s="35" t="n">
        <f aca="false">05_PLANT_CAPEX!$C$13/02_PROJECT_INPUTS!$C$15*1000</f>
        <v>2576</v>
      </c>
    </row>
    <row r="15" customFormat="false" ht="15" hidden="false" customHeight="false" outlineLevel="0" collapsed="false">
      <c r="A15" s="8" t="s">
        <v>231</v>
      </c>
      <c r="B15" s="8" t="s">
        <v>232</v>
      </c>
      <c r="C15" s="12" t="n">
        <v>0.04</v>
      </c>
      <c r="D15" s="10" t="s">
        <v>121</v>
      </c>
    </row>
    <row r="16" customFormat="false" ht="15" hidden="false" customHeight="false" outlineLevel="0" collapsed="false">
      <c r="A16" s="8" t="s">
        <v>233</v>
      </c>
      <c r="B16" s="8" t="s">
        <v>38</v>
      </c>
      <c r="C16" s="9" t="n">
        <v>2</v>
      </c>
      <c r="D16" s="10" t="s">
        <v>234</v>
      </c>
    </row>
    <row r="17" customFormat="false" ht="15" hidden="false" customHeight="false" outlineLevel="0" collapsed="false">
      <c r="A17" s="6" t="s">
        <v>235</v>
      </c>
      <c r="B17" s="7"/>
      <c r="C17" s="7"/>
      <c r="D17" s="7"/>
      <c r="E17" s="7"/>
      <c r="F17" s="7"/>
      <c r="G17" s="7"/>
      <c r="H17" s="7"/>
      <c r="I17" s="7"/>
      <c r="J17" s="7"/>
    </row>
    <row r="18" customFormat="false" ht="15" hidden="false" customHeight="false" outlineLevel="0" collapsed="false">
      <c r="A18" s="8" t="s">
        <v>236</v>
      </c>
      <c r="B18" s="8" t="s">
        <v>230</v>
      </c>
      <c r="C18" s="26" t="n">
        <v>2515</v>
      </c>
      <c r="D18" s="10" t="s">
        <v>237</v>
      </c>
    </row>
    <row r="19" customFormat="false" ht="15" hidden="false" customHeight="false" outlineLevel="0" collapsed="false">
      <c r="A19" s="8" t="s">
        <v>238</v>
      </c>
      <c r="B19" s="8" t="s">
        <v>82</v>
      </c>
      <c r="C19" s="45" t="n">
        <f aca="false">05_PLANT_CAPEX!$C$14/05_PLANT_CAPEX!$C$18</f>
        <v>1.02425447316103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239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240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4" customFormat="false" ht="15" hidden="false" customHeight="false" outlineLevel="0" collapsed="false">
      <c r="A4" s="8" t="s">
        <v>241</v>
      </c>
      <c r="B4" s="8"/>
      <c r="E4" s="46" t="n">
        <f aca="false">02_PROJECT_INPUTS!$C$10+1-1</f>
        <v>2027</v>
      </c>
      <c r="F4" s="46" t="n">
        <f aca="false">02_PROJECT_INPUTS!$C$10+2-1</f>
        <v>2028</v>
      </c>
      <c r="G4" s="46" t="n">
        <f aca="false">02_PROJECT_INPUTS!$C$10+3-1</f>
        <v>2029</v>
      </c>
      <c r="H4" s="46" t="n">
        <f aca="false">02_PROJECT_INPUTS!$C$10+4-1</f>
        <v>2030</v>
      </c>
      <c r="I4" s="46" t="n">
        <f aca="false">02_PROJECT_INPUTS!$C$10+5-1</f>
        <v>2031</v>
      </c>
      <c r="J4" s="46" t="n">
        <f aca="false">02_PROJECT_INPUTS!$C$10+6-1</f>
        <v>2032</v>
      </c>
      <c r="K4" s="46" t="n">
        <f aca="false">02_PROJECT_INPUTS!$C$10+7-1</f>
        <v>2033</v>
      </c>
      <c r="L4" s="46" t="n">
        <f aca="false">02_PROJECT_INPUTS!$C$10+8-1</f>
        <v>2034</v>
      </c>
      <c r="M4" s="46" t="n">
        <f aca="false">02_PROJECT_INPUTS!$C$10+9-1</f>
        <v>2035</v>
      </c>
      <c r="N4" s="46" t="n">
        <f aca="false">02_PROJECT_INPUTS!$C$10+10-1</f>
        <v>2036</v>
      </c>
      <c r="O4" s="46" t="n">
        <f aca="false">02_PROJECT_INPUTS!$C$10+11-1</f>
        <v>2037</v>
      </c>
      <c r="P4" s="46" t="n">
        <f aca="false">02_PROJECT_INPUTS!$C$10+12-1</f>
        <v>2038</v>
      </c>
      <c r="Q4" s="46" t="n">
        <f aca="false">02_PROJECT_INPUTS!$C$10+13-1</f>
        <v>2039</v>
      </c>
      <c r="R4" s="46" t="n">
        <f aca="false">02_PROJECT_INPUTS!$C$10+14-1</f>
        <v>2040</v>
      </c>
      <c r="S4" s="46" t="n">
        <f aca="false">02_PROJECT_INPUTS!$C$10+15-1</f>
        <v>2041</v>
      </c>
      <c r="T4" s="46" t="n">
        <f aca="false">02_PROJECT_INPUTS!$C$10+16-1</f>
        <v>2042</v>
      </c>
      <c r="U4" s="46" t="n">
        <f aca="false">02_PROJECT_INPUTS!$C$10+17-1</f>
        <v>2043</v>
      </c>
      <c r="V4" s="46" t="n">
        <f aca="false">02_PROJECT_INPUTS!$C$10+18-1</f>
        <v>2044</v>
      </c>
      <c r="W4" s="46" t="n">
        <f aca="false">02_PROJECT_INPUTS!$C$10+19-1</f>
        <v>2045</v>
      </c>
      <c r="X4" s="46" t="n">
        <f aca="false">02_PROJECT_INPUTS!$C$10+20-1</f>
        <v>2046</v>
      </c>
      <c r="Y4" s="46" t="n">
        <f aca="false">02_PROJECT_INPUTS!$C$10+21-1</f>
        <v>2047</v>
      </c>
      <c r="Z4" s="46" t="n">
        <f aca="false">02_PROJECT_INPUTS!$C$10+22-1</f>
        <v>2048</v>
      </c>
      <c r="AA4" s="46" t="n">
        <f aca="false">02_PROJECT_INPUTS!$C$10+23-1</f>
        <v>2049</v>
      </c>
      <c r="AB4" s="46" t="n">
        <f aca="false">02_PROJECT_INPUTS!$C$10+24-1</f>
        <v>2050</v>
      </c>
      <c r="AC4" s="46" t="n">
        <f aca="false">02_PROJECT_INPUTS!$C$10+25-1</f>
        <v>2051</v>
      </c>
      <c r="AD4" s="46" t="n">
        <f aca="false">02_PROJECT_INPUTS!$C$10+26-1</f>
        <v>2052</v>
      </c>
      <c r="AE4" s="46" t="n">
        <f aca="false">02_PROJECT_INPUTS!$C$10+27-1</f>
        <v>2053</v>
      </c>
      <c r="AF4" s="46" t="n">
        <f aca="false">02_PROJECT_INPUTS!$C$10+28-1</f>
        <v>2054</v>
      </c>
      <c r="AG4" s="46" t="n">
        <f aca="false">02_PROJECT_INPUTS!$C$10+29-1</f>
        <v>2055</v>
      </c>
      <c r="AH4" s="46" t="n">
        <f aca="false">02_PROJECT_INPUTS!$C$10+30-1</f>
        <v>2056</v>
      </c>
      <c r="AI4" s="46" t="n">
        <f aca="false">02_PROJECT_INPUTS!$C$10+31-1</f>
        <v>2057</v>
      </c>
      <c r="AJ4" s="46" t="n">
        <f aca="false">02_PROJECT_INPUTS!$C$10+32-1</f>
        <v>2058</v>
      </c>
      <c r="AK4" s="46" t="n">
        <f aca="false">02_PROJECT_INPUTS!$C$10+33-1</f>
        <v>2059</v>
      </c>
      <c r="AL4" s="46" t="n">
        <f aca="false">02_PROJECT_INPUTS!$C$10+34-1</f>
        <v>2060</v>
      </c>
      <c r="AM4" s="46" t="n">
        <f aca="false">02_PROJECT_INPUTS!$C$10+35-1</f>
        <v>2061</v>
      </c>
      <c r="AN4" s="46" t="n">
        <f aca="false">02_PROJECT_INPUTS!$C$10+36-1</f>
        <v>2062</v>
      </c>
      <c r="AO4" s="46" t="n">
        <f aca="false">02_PROJECT_INPUTS!$C$10+37-1</f>
        <v>2063</v>
      </c>
      <c r="AP4" s="46" t="n">
        <f aca="false">02_PROJECT_INPUTS!$C$10+38-1</f>
        <v>2064</v>
      </c>
      <c r="AQ4" s="46" t="n">
        <f aca="false">02_PROJECT_INPUTS!$C$10+39-1</f>
        <v>2065</v>
      </c>
      <c r="AR4" s="46" t="n">
        <f aca="false">02_PROJECT_INPUTS!$C$10+40-1</f>
        <v>2066</v>
      </c>
    </row>
    <row r="5" customFormat="false" ht="15" hidden="false" customHeight="false" outlineLevel="0" collapsed="false">
      <c r="A5" s="8" t="s">
        <v>242</v>
      </c>
      <c r="B5" s="8" t="s">
        <v>78</v>
      </c>
      <c r="E5" s="47" t="n">
        <f aca="false">IF(06_CONSTRUCTION!E14=1,1-06_CONSTRUCTION!$C$7,0)</f>
        <v>0</v>
      </c>
      <c r="F5" s="47" t="n">
        <f aca="false">IF(06_CONSTRUCTION!F14=1,2-06_CONSTRUCTION!$C$7,0)</f>
        <v>0</v>
      </c>
      <c r="G5" s="47" t="n">
        <f aca="false">IF(06_CONSTRUCTION!G14=1,3-06_CONSTRUCTION!$C$7,0)</f>
        <v>0</v>
      </c>
      <c r="H5" s="47" t="n">
        <f aca="false">IF(06_CONSTRUCTION!H14=1,4-06_CONSTRUCTION!$C$7,0)</f>
        <v>0</v>
      </c>
      <c r="I5" s="47" t="n">
        <f aca="false">IF(06_CONSTRUCTION!I14=1,5-06_CONSTRUCTION!$C$7,0)</f>
        <v>0</v>
      </c>
      <c r="J5" s="47" t="n">
        <f aca="false">IF(06_CONSTRUCTION!J14=1,6-06_CONSTRUCTION!$C$7,0)</f>
        <v>1</v>
      </c>
      <c r="K5" s="47" t="n">
        <f aca="false">IF(06_CONSTRUCTION!K14=1,7-06_CONSTRUCTION!$C$7,0)</f>
        <v>2</v>
      </c>
      <c r="L5" s="47" t="n">
        <f aca="false">IF(06_CONSTRUCTION!L14=1,8-06_CONSTRUCTION!$C$7,0)</f>
        <v>3</v>
      </c>
      <c r="M5" s="47" t="n">
        <f aca="false">IF(06_CONSTRUCTION!M14=1,9-06_CONSTRUCTION!$C$7,0)</f>
        <v>4</v>
      </c>
      <c r="N5" s="47" t="n">
        <f aca="false">IF(06_CONSTRUCTION!N14=1,10-06_CONSTRUCTION!$C$7,0)</f>
        <v>5</v>
      </c>
      <c r="O5" s="47" t="n">
        <f aca="false">IF(06_CONSTRUCTION!O14=1,11-06_CONSTRUCTION!$C$7,0)</f>
        <v>6</v>
      </c>
      <c r="P5" s="47" t="n">
        <f aca="false">IF(06_CONSTRUCTION!P14=1,12-06_CONSTRUCTION!$C$7,0)</f>
        <v>7</v>
      </c>
      <c r="Q5" s="47" t="n">
        <f aca="false">IF(06_CONSTRUCTION!Q14=1,13-06_CONSTRUCTION!$C$7,0)</f>
        <v>8</v>
      </c>
      <c r="R5" s="47" t="n">
        <f aca="false">IF(06_CONSTRUCTION!R14=1,14-06_CONSTRUCTION!$C$7,0)</f>
        <v>9</v>
      </c>
      <c r="S5" s="47" t="n">
        <f aca="false">IF(06_CONSTRUCTION!S14=1,15-06_CONSTRUCTION!$C$7,0)</f>
        <v>10</v>
      </c>
      <c r="T5" s="47" t="n">
        <f aca="false">IF(06_CONSTRUCTION!T14=1,16-06_CONSTRUCTION!$C$7,0)</f>
        <v>11</v>
      </c>
      <c r="U5" s="47" t="n">
        <f aca="false">IF(06_CONSTRUCTION!U14=1,17-06_CONSTRUCTION!$C$7,0)</f>
        <v>12</v>
      </c>
      <c r="V5" s="47" t="n">
        <f aca="false">IF(06_CONSTRUCTION!V14=1,18-06_CONSTRUCTION!$C$7,0)</f>
        <v>13</v>
      </c>
      <c r="W5" s="47" t="n">
        <f aca="false">IF(06_CONSTRUCTION!W14=1,19-06_CONSTRUCTION!$C$7,0)</f>
        <v>14</v>
      </c>
      <c r="X5" s="47" t="n">
        <f aca="false">IF(06_CONSTRUCTION!X14=1,20-06_CONSTRUCTION!$C$7,0)</f>
        <v>15</v>
      </c>
      <c r="Y5" s="47" t="n">
        <f aca="false">IF(06_CONSTRUCTION!Y14=1,21-06_CONSTRUCTION!$C$7,0)</f>
        <v>16</v>
      </c>
      <c r="Z5" s="47" t="n">
        <f aca="false">IF(06_CONSTRUCTION!Z14=1,22-06_CONSTRUCTION!$C$7,0)</f>
        <v>17</v>
      </c>
      <c r="AA5" s="47" t="n">
        <f aca="false">IF(06_CONSTRUCTION!AA14=1,23-06_CONSTRUCTION!$C$7,0)</f>
        <v>18</v>
      </c>
      <c r="AB5" s="47" t="n">
        <f aca="false">IF(06_CONSTRUCTION!AB14=1,24-06_CONSTRUCTION!$C$7,0)</f>
        <v>19</v>
      </c>
      <c r="AC5" s="47" t="n">
        <f aca="false">IF(06_CONSTRUCTION!AC14=1,25-06_CONSTRUCTION!$C$7,0)</f>
        <v>20</v>
      </c>
      <c r="AD5" s="47" t="n">
        <f aca="false">IF(06_CONSTRUCTION!AD14=1,26-06_CONSTRUCTION!$C$7,0)</f>
        <v>21</v>
      </c>
      <c r="AE5" s="47" t="n">
        <f aca="false">IF(06_CONSTRUCTION!AE14=1,27-06_CONSTRUCTION!$C$7,0)</f>
        <v>22</v>
      </c>
      <c r="AF5" s="47" t="n">
        <f aca="false">IF(06_CONSTRUCTION!AF14=1,28-06_CONSTRUCTION!$C$7,0)</f>
        <v>23</v>
      </c>
      <c r="AG5" s="47" t="n">
        <f aca="false">IF(06_CONSTRUCTION!AG14=1,29-06_CONSTRUCTION!$C$7,0)</f>
        <v>24</v>
      </c>
      <c r="AH5" s="47" t="n">
        <f aca="false">IF(06_CONSTRUCTION!AH14=1,30-06_CONSTRUCTION!$C$7,0)</f>
        <v>25</v>
      </c>
      <c r="AI5" s="47" t="n">
        <f aca="false">IF(06_CONSTRUCTION!AI14=1,31-06_CONSTRUCTION!$C$7,0)</f>
        <v>26</v>
      </c>
      <c r="AJ5" s="47" t="n">
        <f aca="false">IF(06_CONSTRUCTION!AJ14=1,32-06_CONSTRUCTION!$C$7,0)</f>
        <v>27</v>
      </c>
      <c r="AK5" s="47" t="n">
        <f aca="false">IF(06_CONSTRUCTION!AK14=1,33-06_CONSTRUCTION!$C$7,0)</f>
        <v>28</v>
      </c>
      <c r="AL5" s="47" t="n">
        <f aca="false">IF(06_CONSTRUCTION!AL14=1,34-06_CONSTRUCTION!$C$7,0)</f>
        <v>29</v>
      </c>
      <c r="AM5" s="47" t="n">
        <f aca="false">IF(06_CONSTRUCTION!AM14=1,35-06_CONSTRUCTION!$C$7,0)</f>
        <v>30</v>
      </c>
      <c r="AN5" s="47" t="n">
        <f aca="false">IF(06_CONSTRUCTION!AN14=1,36-06_CONSTRUCTION!$C$7,0)</f>
        <v>0</v>
      </c>
      <c r="AO5" s="47" t="n">
        <f aca="false">IF(06_CONSTRUCTION!AO14=1,37-06_CONSTRUCTION!$C$7,0)</f>
        <v>0</v>
      </c>
      <c r="AP5" s="47" t="n">
        <f aca="false">IF(06_CONSTRUCTION!AP14=1,38-06_CONSTRUCTION!$C$7,0)</f>
        <v>0</v>
      </c>
      <c r="AQ5" s="47" t="n">
        <f aca="false">IF(06_CONSTRUCTION!AQ14=1,39-06_CONSTRUCTION!$C$7,0)</f>
        <v>0</v>
      </c>
      <c r="AR5" s="47" t="n">
        <f aca="false">IF(06_CONSTRUCTION!AR14=1,40-06_CONSTRUCTION!$C$7,0)</f>
        <v>0</v>
      </c>
    </row>
    <row r="7" customFormat="false" ht="15" hidden="false" customHeight="false" outlineLevel="0" collapsed="false">
      <c r="A7" s="8" t="s">
        <v>243</v>
      </c>
      <c r="B7" s="8" t="s">
        <v>109</v>
      </c>
      <c r="C7" s="14" t="n">
        <f aca="false">02_PROJECT_INPUTS!$C$12+27_SCENARIOS!$C$28</f>
        <v>5</v>
      </c>
    </row>
    <row r="8" customFormat="false" ht="15" hidden="false" customHeight="false" outlineLevel="0" collapsed="false">
      <c r="A8" s="4" t="s">
        <v>244</v>
      </c>
      <c r="B8" s="8" t="s">
        <v>105</v>
      </c>
      <c r="C8" s="48" t="n">
        <f aca="false">02_PROJECT_INPUTS!$C$10+06_CONSTRUCTION!$C$7</f>
        <v>2032</v>
      </c>
    </row>
    <row r="9" customFormat="false" ht="15" hidden="false" customHeight="false" outlineLevel="0" collapsed="false">
      <c r="A9" s="4" t="s">
        <v>245</v>
      </c>
      <c r="B9" s="8" t="s">
        <v>84</v>
      </c>
      <c r="C9" s="44" t="n">
        <f aca="false">05_PLANT_CAPEX!$C$13*27_SCENARIOS!$C$27*(1+05_PLANT_CAPEX!$C$15*27_SCENARIOS!$C$28)</f>
        <v>1030.4</v>
      </c>
    </row>
    <row r="11" customFormat="false" ht="15" hidden="false" customHeight="false" outlineLevel="0" collapsed="false">
      <c r="A11" s="6" t="s">
        <v>246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</row>
    <row r="12" customFormat="false" ht="15" hidden="false" customHeight="false" outlineLevel="0" collapsed="false">
      <c r="A12" s="8" t="s">
        <v>247</v>
      </c>
      <c r="B12" s="8" t="s">
        <v>78</v>
      </c>
      <c r="E12" s="47" t="n">
        <f aca="false">1</f>
        <v>1</v>
      </c>
      <c r="F12" s="47" t="n">
        <f aca="false">2</f>
        <v>2</v>
      </c>
      <c r="G12" s="47" t="n">
        <f aca="false">3</f>
        <v>3</v>
      </c>
      <c r="H12" s="47" t="n">
        <f aca="false">4</f>
        <v>4</v>
      </c>
      <c r="I12" s="47" t="n">
        <f aca="false">5</f>
        <v>5</v>
      </c>
      <c r="J12" s="47" t="n">
        <f aca="false">6</f>
        <v>6</v>
      </c>
      <c r="K12" s="47" t="n">
        <f aca="false">7</f>
        <v>7</v>
      </c>
      <c r="L12" s="47" t="n">
        <f aca="false">8</f>
        <v>8</v>
      </c>
      <c r="M12" s="47" t="n">
        <f aca="false">9</f>
        <v>9</v>
      </c>
      <c r="N12" s="47" t="n">
        <f aca="false">10</f>
        <v>10</v>
      </c>
      <c r="O12" s="47" t="n">
        <f aca="false">11</f>
        <v>11</v>
      </c>
      <c r="P12" s="47" t="n">
        <f aca="false">12</f>
        <v>12</v>
      </c>
      <c r="Q12" s="47" t="n">
        <f aca="false">13</f>
        <v>13</v>
      </c>
      <c r="R12" s="47" t="n">
        <f aca="false">14</f>
        <v>14</v>
      </c>
      <c r="S12" s="47" t="n">
        <f aca="false">15</f>
        <v>15</v>
      </c>
      <c r="T12" s="47" t="n">
        <f aca="false">16</f>
        <v>16</v>
      </c>
      <c r="U12" s="47" t="n">
        <f aca="false">17</f>
        <v>17</v>
      </c>
      <c r="V12" s="47" t="n">
        <f aca="false">18</f>
        <v>18</v>
      </c>
      <c r="W12" s="47" t="n">
        <f aca="false">19</f>
        <v>19</v>
      </c>
      <c r="X12" s="47" t="n">
        <f aca="false">20</f>
        <v>20</v>
      </c>
      <c r="Y12" s="47" t="n">
        <f aca="false">21</f>
        <v>21</v>
      </c>
      <c r="Z12" s="47" t="n">
        <f aca="false">22</f>
        <v>22</v>
      </c>
      <c r="AA12" s="47" t="n">
        <f aca="false">23</f>
        <v>23</v>
      </c>
      <c r="AB12" s="47" t="n">
        <f aca="false">24</f>
        <v>24</v>
      </c>
      <c r="AC12" s="47" t="n">
        <f aca="false">25</f>
        <v>25</v>
      </c>
      <c r="AD12" s="47" t="n">
        <f aca="false">26</f>
        <v>26</v>
      </c>
      <c r="AE12" s="47" t="n">
        <f aca="false">27</f>
        <v>27</v>
      </c>
      <c r="AF12" s="47" t="n">
        <f aca="false">28</f>
        <v>28</v>
      </c>
      <c r="AG12" s="47" t="n">
        <f aca="false">29</f>
        <v>29</v>
      </c>
      <c r="AH12" s="47" t="n">
        <f aca="false">30</f>
        <v>30</v>
      </c>
      <c r="AI12" s="47" t="n">
        <f aca="false">31</f>
        <v>31</v>
      </c>
      <c r="AJ12" s="47" t="n">
        <f aca="false">32</f>
        <v>32</v>
      </c>
      <c r="AK12" s="47" t="n">
        <f aca="false">33</f>
        <v>33</v>
      </c>
      <c r="AL12" s="47" t="n">
        <f aca="false">34</f>
        <v>34</v>
      </c>
      <c r="AM12" s="47" t="n">
        <f aca="false">35</f>
        <v>35</v>
      </c>
      <c r="AN12" s="47" t="n">
        <f aca="false">36</f>
        <v>36</v>
      </c>
      <c r="AO12" s="47" t="n">
        <f aca="false">37</f>
        <v>37</v>
      </c>
      <c r="AP12" s="47" t="n">
        <f aca="false">38</f>
        <v>38</v>
      </c>
      <c r="AQ12" s="47" t="n">
        <f aca="false">39</f>
        <v>39</v>
      </c>
      <c r="AR12" s="47" t="n">
        <f aca="false">40</f>
        <v>40</v>
      </c>
    </row>
    <row r="13" customFormat="false" ht="15" hidden="false" customHeight="false" outlineLevel="0" collapsed="false">
      <c r="A13" s="8" t="s">
        <v>248</v>
      </c>
      <c r="B13" s="8" t="s">
        <v>249</v>
      </c>
      <c r="E13" s="47" t="n">
        <f aca="false">IF(1&lt;=06_CONSTRUCTION!$C$7,1,0)</f>
        <v>1</v>
      </c>
      <c r="F13" s="47" t="n">
        <f aca="false">IF(2&lt;=06_CONSTRUCTION!$C$7,1,0)</f>
        <v>1</v>
      </c>
      <c r="G13" s="47" t="n">
        <f aca="false">IF(3&lt;=06_CONSTRUCTION!$C$7,1,0)</f>
        <v>1</v>
      </c>
      <c r="H13" s="47" t="n">
        <f aca="false">IF(4&lt;=06_CONSTRUCTION!$C$7,1,0)</f>
        <v>1</v>
      </c>
      <c r="I13" s="47" t="n">
        <f aca="false">IF(5&lt;=06_CONSTRUCTION!$C$7,1,0)</f>
        <v>1</v>
      </c>
      <c r="J13" s="47" t="n">
        <f aca="false">IF(6&lt;=06_CONSTRUCTION!$C$7,1,0)</f>
        <v>0</v>
      </c>
      <c r="K13" s="47" t="n">
        <f aca="false">IF(7&lt;=06_CONSTRUCTION!$C$7,1,0)</f>
        <v>0</v>
      </c>
      <c r="L13" s="47" t="n">
        <f aca="false">IF(8&lt;=06_CONSTRUCTION!$C$7,1,0)</f>
        <v>0</v>
      </c>
      <c r="M13" s="47" t="n">
        <f aca="false">IF(9&lt;=06_CONSTRUCTION!$C$7,1,0)</f>
        <v>0</v>
      </c>
      <c r="N13" s="47" t="n">
        <f aca="false">IF(10&lt;=06_CONSTRUCTION!$C$7,1,0)</f>
        <v>0</v>
      </c>
      <c r="O13" s="47" t="n">
        <f aca="false">IF(11&lt;=06_CONSTRUCTION!$C$7,1,0)</f>
        <v>0</v>
      </c>
      <c r="P13" s="47" t="n">
        <f aca="false">IF(12&lt;=06_CONSTRUCTION!$C$7,1,0)</f>
        <v>0</v>
      </c>
      <c r="Q13" s="47" t="n">
        <f aca="false">IF(13&lt;=06_CONSTRUCTION!$C$7,1,0)</f>
        <v>0</v>
      </c>
      <c r="R13" s="47" t="n">
        <f aca="false">IF(14&lt;=06_CONSTRUCTION!$C$7,1,0)</f>
        <v>0</v>
      </c>
      <c r="S13" s="47" t="n">
        <f aca="false">IF(15&lt;=06_CONSTRUCTION!$C$7,1,0)</f>
        <v>0</v>
      </c>
      <c r="T13" s="47" t="n">
        <f aca="false">IF(16&lt;=06_CONSTRUCTION!$C$7,1,0)</f>
        <v>0</v>
      </c>
      <c r="U13" s="47" t="n">
        <f aca="false">IF(17&lt;=06_CONSTRUCTION!$C$7,1,0)</f>
        <v>0</v>
      </c>
      <c r="V13" s="47" t="n">
        <f aca="false">IF(18&lt;=06_CONSTRUCTION!$C$7,1,0)</f>
        <v>0</v>
      </c>
      <c r="W13" s="47" t="n">
        <f aca="false">IF(19&lt;=06_CONSTRUCTION!$C$7,1,0)</f>
        <v>0</v>
      </c>
      <c r="X13" s="47" t="n">
        <f aca="false">IF(20&lt;=06_CONSTRUCTION!$C$7,1,0)</f>
        <v>0</v>
      </c>
      <c r="Y13" s="47" t="n">
        <f aca="false">IF(21&lt;=06_CONSTRUCTION!$C$7,1,0)</f>
        <v>0</v>
      </c>
      <c r="Z13" s="47" t="n">
        <f aca="false">IF(22&lt;=06_CONSTRUCTION!$C$7,1,0)</f>
        <v>0</v>
      </c>
      <c r="AA13" s="47" t="n">
        <f aca="false">IF(23&lt;=06_CONSTRUCTION!$C$7,1,0)</f>
        <v>0</v>
      </c>
      <c r="AB13" s="47" t="n">
        <f aca="false">IF(24&lt;=06_CONSTRUCTION!$C$7,1,0)</f>
        <v>0</v>
      </c>
      <c r="AC13" s="47" t="n">
        <f aca="false">IF(25&lt;=06_CONSTRUCTION!$C$7,1,0)</f>
        <v>0</v>
      </c>
      <c r="AD13" s="47" t="n">
        <f aca="false">IF(26&lt;=06_CONSTRUCTION!$C$7,1,0)</f>
        <v>0</v>
      </c>
      <c r="AE13" s="47" t="n">
        <f aca="false">IF(27&lt;=06_CONSTRUCTION!$C$7,1,0)</f>
        <v>0</v>
      </c>
      <c r="AF13" s="47" t="n">
        <f aca="false">IF(28&lt;=06_CONSTRUCTION!$C$7,1,0)</f>
        <v>0</v>
      </c>
      <c r="AG13" s="47" t="n">
        <f aca="false">IF(29&lt;=06_CONSTRUCTION!$C$7,1,0)</f>
        <v>0</v>
      </c>
      <c r="AH13" s="47" t="n">
        <f aca="false">IF(30&lt;=06_CONSTRUCTION!$C$7,1,0)</f>
        <v>0</v>
      </c>
      <c r="AI13" s="47" t="n">
        <f aca="false">IF(31&lt;=06_CONSTRUCTION!$C$7,1,0)</f>
        <v>0</v>
      </c>
      <c r="AJ13" s="47" t="n">
        <f aca="false">IF(32&lt;=06_CONSTRUCTION!$C$7,1,0)</f>
        <v>0</v>
      </c>
      <c r="AK13" s="47" t="n">
        <f aca="false">IF(33&lt;=06_CONSTRUCTION!$C$7,1,0)</f>
        <v>0</v>
      </c>
      <c r="AL13" s="47" t="n">
        <f aca="false">IF(34&lt;=06_CONSTRUCTION!$C$7,1,0)</f>
        <v>0</v>
      </c>
      <c r="AM13" s="47" t="n">
        <f aca="false">IF(35&lt;=06_CONSTRUCTION!$C$7,1,0)</f>
        <v>0</v>
      </c>
      <c r="AN13" s="47" t="n">
        <f aca="false">IF(36&lt;=06_CONSTRUCTION!$C$7,1,0)</f>
        <v>0</v>
      </c>
      <c r="AO13" s="47" t="n">
        <f aca="false">IF(37&lt;=06_CONSTRUCTION!$C$7,1,0)</f>
        <v>0</v>
      </c>
      <c r="AP13" s="47" t="n">
        <f aca="false">IF(38&lt;=06_CONSTRUCTION!$C$7,1,0)</f>
        <v>0</v>
      </c>
      <c r="AQ13" s="47" t="n">
        <f aca="false">IF(39&lt;=06_CONSTRUCTION!$C$7,1,0)</f>
        <v>0</v>
      </c>
      <c r="AR13" s="47" t="n">
        <f aca="false">IF(40&lt;=06_CONSTRUCTION!$C$7,1,0)</f>
        <v>0</v>
      </c>
    </row>
    <row r="14" customFormat="false" ht="15" hidden="false" customHeight="false" outlineLevel="0" collapsed="false">
      <c r="A14" s="8" t="s">
        <v>250</v>
      </c>
      <c r="B14" s="8" t="s">
        <v>249</v>
      </c>
      <c r="C14" s="47" t="n">
        <f aca="false">SUM(06_CONSTRUCTION!$E$14:$AR$14)</f>
        <v>30</v>
      </c>
      <c r="E14" s="47" t="n">
        <f aca="false">IF(AND(1&gt;06_CONSTRUCTION!$C$7,1&lt;=06_CONSTRUCTION!$C$7+02_PROJECT_INPUTS!$C$13),1,0)</f>
        <v>0</v>
      </c>
      <c r="F14" s="47" t="n">
        <f aca="false">IF(AND(2&gt;06_CONSTRUCTION!$C$7,2&lt;=06_CONSTRUCTION!$C$7+02_PROJECT_INPUTS!$C$13),1,0)</f>
        <v>0</v>
      </c>
      <c r="G14" s="47" t="n">
        <f aca="false">IF(AND(3&gt;06_CONSTRUCTION!$C$7,3&lt;=06_CONSTRUCTION!$C$7+02_PROJECT_INPUTS!$C$13),1,0)</f>
        <v>0</v>
      </c>
      <c r="H14" s="47" t="n">
        <f aca="false">IF(AND(4&gt;06_CONSTRUCTION!$C$7,4&lt;=06_CONSTRUCTION!$C$7+02_PROJECT_INPUTS!$C$13),1,0)</f>
        <v>0</v>
      </c>
      <c r="I14" s="47" t="n">
        <f aca="false">IF(AND(5&gt;06_CONSTRUCTION!$C$7,5&lt;=06_CONSTRUCTION!$C$7+02_PROJECT_INPUTS!$C$13),1,0)</f>
        <v>0</v>
      </c>
      <c r="J14" s="47" t="n">
        <f aca="false">IF(AND(6&gt;06_CONSTRUCTION!$C$7,6&lt;=06_CONSTRUCTION!$C$7+02_PROJECT_INPUTS!$C$13),1,0)</f>
        <v>1</v>
      </c>
      <c r="K14" s="47" t="n">
        <f aca="false">IF(AND(7&gt;06_CONSTRUCTION!$C$7,7&lt;=06_CONSTRUCTION!$C$7+02_PROJECT_INPUTS!$C$13),1,0)</f>
        <v>1</v>
      </c>
      <c r="L14" s="47" t="n">
        <f aca="false">IF(AND(8&gt;06_CONSTRUCTION!$C$7,8&lt;=06_CONSTRUCTION!$C$7+02_PROJECT_INPUTS!$C$13),1,0)</f>
        <v>1</v>
      </c>
      <c r="M14" s="47" t="n">
        <f aca="false">IF(AND(9&gt;06_CONSTRUCTION!$C$7,9&lt;=06_CONSTRUCTION!$C$7+02_PROJECT_INPUTS!$C$13),1,0)</f>
        <v>1</v>
      </c>
      <c r="N14" s="47" t="n">
        <f aca="false">IF(AND(10&gt;06_CONSTRUCTION!$C$7,10&lt;=06_CONSTRUCTION!$C$7+02_PROJECT_INPUTS!$C$13),1,0)</f>
        <v>1</v>
      </c>
      <c r="O14" s="47" t="n">
        <f aca="false">IF(AND(11&gt;06_CONSTRUCTION!$C$7,11&lt;=06_CONSTRUCTION!$C$7+02_PROJECT_INPUTS!$C$13),1,0)</f>
        <v>1</v>
      </c>
      <c r="P14" s="47" t="n">
        <f aca="false">IF(AND(12&gt;06_CONSTRUCTION!$C$7,12&lt;=06_CONSTRUCTION!$C$7+02_PROJECT_INPUTS!$C$13),1,0)</f>
        <v>1</v>
      </c>
      <c r="Q14" s="47" t="n">
        <f aca="false">IF(AND(13&gt;06_CONSTRUCTION!$C$7,13&lt;=06_CONSTRUCTION!$C$7+02_PROJECT_INPUTS!$C$13),1,0)</f>
        <v>1</v>
      </c>
      <c r="R14" s="47" t="n">
        <f aca="false">IF(AND(14&gt;06_CONSTRUCTION!$C$7,14&lt;=06_CONSTRUCTION!$C$7+02_PROJECT_INPUTS!$C$13),1,0)</f>
        <v>1</v>
      </c>
      <c r="S14" s="47" t="n">
        <f aca="false">IF(AND(15&gt;06_CONSTRUCTION!$C$7,15&lt;=06_CONSTRUCTION!$C$7+02_PROJECT_INPUTS!$C$13),1,0)</f>
        <v>1</v>
      </c>
      <c r="T14" s="47" t="n">
        <f aca="false">IF(AND(16&gt;06_CONSTRUCTION!$C$7,16&lt;=06_CONSTRUCTION!$C$7+02_PROJECT_INPUTS!$C$13),1,0)</f>
        <v>1</v>
      </c>
      <c r="U14" s="47" t="n">
        <f aca="false">IF(AND(17&gt;06_CONSTRUCTION!$C$7,17&lt;=06_CONSTRUCTION!$C$7+02_PROJECT_INPUTS!$C$13),1,0)</f>
        <v>1</v>
      </c>
      <c r="V14" s="47" t="n">
        <f aca="false">IF(AND(18&gt;06_CONSTRUCTION!$C$7,18&lt;=06_CONSTRUCTION!$C$7+02_PROJECT_INPUTS!$C$13),1,0)</f>
        <v>1</v>
      </c>
      <c r="W14" s="47" t="n">
        <f aca="false">IF(AND(19&gt;06_CONSTRUCTION!$C$7,19&lt;=06_CONSTRUCTION!$C$7+02_PROJECT_INPUTS!$C$13),1,0)</f>
        <v>1</v>
      </c>
      <c r="X14" s="47" t="n">
        <f aca="false">IF(AND(20&gt;06_CONSTRUCTION!$C$7,20&lt;=06_CONSTRUCTION!$C$7+02_PROJECT_INPUTS!$C$13),1,0)</f>
        <v>1</v>
      </c>
      <c r="Y14" s="47" t="n">
        <f aca="false">IF(AND(21&gt;06_CONSTRUCTION!$C$7,21&lt;=06_CONSTRUCTION!$C$7+02_PROJECT_INPUTS!$C$13),1,0)</f>
        <v>1</v>
      </c>
      <c r="Z14" s="47" t="n">
        <f aca="false">IF(AND(22&gt;06_CONSTRUCTION!$C$7,22&lt;=06_CONSTRUCTION!$C$7+02_PROJECT_INPUTS!$C$13),1,0)</f>
        <v>1</v>
      </c>
      <c r="AA14" s="47" t="n">
        <f aca="false">IF(AND(23&gt;06_CONSTRUCTION!$C$7,23&lt;=06_CONSTRUCTION!$C$7+02_PROJECT_INPUTS!$C$13),1,0)</f>
        <v>1</v>
      </c>
      <c r="AB14" s="47" t="n">
        <f aca="false">IF(AND(24&gt;06_CONSTRUCTION!$C$7,24&lt;=06_CONSTRUCTION!$C$7+02_PROJECT_INPUTS!$C$13),1,0)</f>
        <v>1</v>
      </c>
      <c r="AC14" s="47" t="n">
        <f aca="false">IF(AND(25&gt;06_CONSTRUCTION!$C$7,25&lt;=06_CONSTRUCTION!$C$7+02_PROJECT_INPUTS!$C$13),1,0)</f>
        <v>1</v>
      </c>
      <c r="AD14" s="47" t="n">
        <f aca="false">IF(AND(26&gt;06_CONSTRUCTION!$C$7,26&lt;=06_CONSTRUCTION!$C$7+02_PROJECT_INPUTS!$C$13),1,0)</f>
        <v>1</v>
      </c>
      <c r="AE14" s="47" t="n">
        <f aca="false">IF(AND(27&gt;06_CONSTRUCTION!$C$7,27&lt;=06_CONSTRUCTION!$C$7+02_PROJECT_INPUTS!$C$13),1,0)</f>
        <v>1</v>
      </c>
      <c r="AF14" s="47" t="n">
        <f aca="false">IF(AND(28&gt;06_CONSTRUCTION!$C$7,28&lt;=06_CONSTRUCTION!$C$7+02_PROJECT_INPUTS!$C$13),1,0)</f>
        <v>1</v>
      </c>
      <c r="AG14" s="47" t="n">
        <f aca="false">IF(AND(29&gt;06_CONSTRUCTION!$C$7,29&lt;=06_CONSTRUCTION!$C$7+02_PROJECT_INPUTS!$C$13),1,0)</f>
        <v>1</v>
      </c>
      <c r="AH14" s="47" t="n">
        <f aca="false">IF(AND(30&gt;06_CONSTRUCTION!$C$7,30&lt;=06_CONSTRUCTION!$C$7+02_PROJECT_INPUTS!$C$13),1,0)</f>
        <v>1</v>
      </c>
      <c r="AI14" s="47" t="n">
        <f aca="false">IF(AND(31&gt;06_CONSTRUCTION!$C$7,31&lt;=06_CONSTRUCTION!$C$7+02_PROJECT_INPUTS!$C$13),1,0)</f>
        <v>1</v>
      </c>
      <c r="AJ14" s="47" t="n">
        <f aca="false">IF(AND(32&gt;06_CONSTRUCTION!$C$7,32&lt;=06_CONSTRUCTION!$C$7+02_PROJECT_INPUTS!$C$13),1,0)</f>
        <v>1</v>
      </c>
      <c r="AK14" s="47" t="n">
        <f aca="false">IF(AND(33&gt;06_CONSTRUCTION!$C$7,33&lt;=06_CONSTRUCTION!$C$7+02_PROJECT_INPUTS!$C$13),1,0)</f>
        <v>1</v>
      </c>
      <c r="AL14" s="47" t="n">
        <f aca="false">IF(AND(34&gt;06_CONSTRUCTION!$C$7,34&lt;=06_CONSTRUCTION!$C$7+02_PROJECT_INPUTS!$C$13),1,0)</f>
        <v>1</v>
      </c>
      <c r="AM14" s="47" t="n">
        <f aca="false">IF(AND(35&gt;06_CONSTRUCTION!$C$7,35&lt;=06_CONSTRUCTION!$C$7+02_PROJECT_INPUTS!$C$13),1,0)</f>
        <v>1</v>
      </c>
      <c r="AN14" s="47" t="n">
        <f aca="false">IF(AND(36&gt;06_CONSTRUCTION!$C$7,36&lt;=06_CONSTRUCTION!$C$7+02_PROJECT_INPUTS!$C$13),1,0)</f>
        <v>0</v>
      </c>
      <c r="AO14" s="47" t="n">
        <f aca="false">IF(AND(37&gt;06_CONSTRUCTION!$C$7,37&lt;=06_CONSTRUCTION!$C$7+02_PROJECT_INPUTS!$C$13),1,0)</f>
        <v>0</v>
      </c>
      <c r="AP14" s="47" t="n">
        <f aca="false">IF(AND(38&gt;06_CONSTRUCTION!$C$7,38&lt;=06_CONSTRUCTION!$C$7+02_PROJECT_INPUTS!$C$13),1,0)</f>
        <v>0</v>
      </c>
      <c r="AQ14" s="47" t="n">
        <f aca="false">IF(AND(39&gt;06_CONSTRUCTION!$C$7,39&lt;=06_CONSTRUCTION!$C$7+02_PROJECT_INPUTS!$C$13),1,0)</f>
        <v>0</v>
      </c>
      <c r="AR14" s="47" t="n">
        <f aca="false">IF(AND(40&gt;06_CONSTRUCTION!$C$7,40&lt;=06_CONSTRUCTION!$C$7+02_PROJECT_INPUTS!$C$13),1,0)</f>
        <v>0</v>
      </c>
    </row>
    <row r="15" customFormat="false" ht="15" hidden="false" customHeight="false" outlineLevel="0" collapsed="false">
      <c r="A15" s="8" t="s">
        <v>251</v>
      </c>
      <c r="B15" s="8" t="s">
        <v>249</v>
      </c>
      <c r="E15" s="47" t="n">
        <f aca="false">IF(1=06_CONSTRUCTION!$C$7,1,0)</f>
        <v>0</v>
      </c>
      <c r="F15" s="47" t="n">
        <f aca="false">IF(2=06_CONSTRUCTION!$C$7,1,0)</f>
        <v>0</v>
      </c>
      <c r="G15" s="47" t="n">
        <f aca="false">IF(3=06_CONSTRUCTION!$C$7,1,0)</f>
        <v>0</v>
      </c>
      <c r="H15" s="47" t="n">
        <f aca="false">IF(4=06_CONSTRUCTION!$C$7,1,0)</f>
        <v>0</v>
      </c>
      <c r="I15" s="47" t="n">
        <f aca="false">IF(5=06_CONSTRUCTION!$C$7,1,0)</f>
        <v>1</v>
      </c>
      <c r="J15" s="47" t="n">
        <f aca="false">IF(6=06_CONSTRUCTION!$C$7,1,0)</f>
        <v>0</v>
      </c>
      <c r="K15" s="47" t="n">
        <f aca="false">IF(7=06_CONSTRUCTION!$C$7,1,0)</f>
        <v>0</v>
      </c>
      <c r="L15" s="47" t="n">
        <f aca="false">IF(8=06_CONSTRUCTION!$C$7,1,0)</f>
        <v>0</v>
      </c>
      <c r="M15" s="47" t="n">
        <f aca="false">IF(9=06_CONSTRUCTION!$C$7,1,0)</f>
        <v>0</v>
      </c>
      <c r="N15" s="47" t="n">
        <f aca="false">IF(10=06_CONSTRUCTION!$C$7,1,0)</f>
        <v>0</v>
      </c>
      <c r="O15" s="47" t="n">
        <f aca="false">IF(11=06_CONSTRUCTION!$C$7,1,0)</f>
        <v>0</v>
      </c>
      <c r="P15" s="47" t="n">
        <f aca="false">IF(12=06_CONSTRUCTION!$C$7,1,0)</f>
        <v>0</v>
      </c>
      <c r="Q15" s="47" t="n">
        <f aca="false">IF(13=06_CONSTRUCTION!$C$7,1,0)</f>
        <v>0</v>
      </c>
      <c r="R15" s="47" t="n">
        <f aca="false">IF(14=06_CONSTRUCTION!$C$7,1,0)</f>
        <v>0</v>
      </c>
      <c r="S15" s="47" t="n">
        <f aca="false">IF(15=06_CONSTRUCTION!$C$7,1,0)</f>
        <v>0</v>
      </c>
      <c r="T15" s="47" t="n">
        <f aca="false">IF(16=06_CONSTRUCTION!$C$7,1,0)</f>
        <v>0</v>
      </c>
      <c r="U15" s="47" t="n">
        <f aca="false">IF(17=06_CONSTRUCTION!$C$7,1,0)</f>
        <v>0</v>
      </c>
      <c r="V15" s="47" t="n">
        <f aca="false">IF(18=06_CONSTRUCTION!$C$7,1,0)</f>
        <v>0</v>
      </c>
      <c r="W15" s="47" t="n">
        <f aca="false">IF(19=06_CONSTRUCTION!$C$7,1,0)</f>
        <v>0</v>
      </c>
      <c r="X15" s="47" t="n">
        <f aca="false">IF(20=06_CONSTRUCTION!$C$7,1,0)</f>
        <v>0</v>
      </c>
      <c r="Y15" s="47" t="n">
        <f aca="false">IF(21=06_CONSTRUCTION!$C$7,1,0)</f>
        <v>0</v>
      </c>
      <c r="Z15" s="47" t="n">
        <f aca="false">IF(22=06_CONSTRUCTION!$C$7,1,0)</f>
        <v>0</v>
      </c>
      <c r="AA15" s="47" t="n">
        <f aca="false">IF(23=06_CONSTRUCTION!$C$7,1,0)</f>
        <v>0</v>
      </c>
      <c r="AB15" s="47" t="n">
        <f aca="false">IF(24=06_CONSTRUCTION!$C$7,1,0)</f>
        <v>0</v>
      </c>
      <c r="AC15" s="47" t="n">
        <f aca="false">IF(25=06_CONSTRUCTION!$C$7,1,0)</f>
        <v>0</v>
      </c>
      <c r="AD15" s="47" t="n">
        <f aca="false">IF(26=06_CONSTRUCTION!$C$7,1,0)</f>
        <v>0</v>
      </c>
      <c r="AE15" s="47" t="n">
        <f aca="false">IF(27=06_CONSTRUCTION!$C$7,1,0)</f>
        <v>0</v>
      </c>
      <c r="AF15" s="47" t="n">
        <f aca="false">IF(28=06_CONSTRUCTION!$C$7,1,0)</f>
        <v>0</v>
      </c>
      <c r="AG15" s="47" t="n">
        <f aca="false">IF(29=06_CONSTRUCTION!$C$7,1,0)</f>
        <v>0</v>
      </c>
      <c r="AH15" s="47" t="n">
        <f aca="false">IF(30=06_CONSTRUCTION!$C$7,1,0)</f>
        <v>0</v>
      </c>
      <c r="AI15" s="47" t="n">
        <f aca="false">IF(31=06_CONSTRUCTION!$C$7,1,0)</f>
        <v>0</v>
      </c>
      <c r="AJ15" s="47" t="n">
        <f aca="false">IF(32=06_CONSTRUCTION!$C$7,1,0)</f>
        <v>0</v>
      </c>
      <c r="AK15" s="47" t="n">
        <f aca="false">IF(33=06_CONSTRUCTION!$C$7,1,0)</f>
        <v>0</v>
      </c>
      <c r="AL15" s="47" t="n">
        <f aca="false">IF(34=06_CONSTRUCTION!$C$7,1,0)</f>
        <v>0</v>
      </c>
      <c r="AM15" s="47" t="n">
        <f aca="false">IF(35=06_CONSTRUCTION!$C$7,1,0)</f>
        <v>0</v>
      </c>
      <c r="AN15" s="47" t="n">
        <f aca="false">IF(36=06_CONSTRUCTION!$C$7,1,0)</f>
        <v>0</v>
      </c>
      <c r="AO15" s="47" t="n">
        <f aca="false">IF(37=06_CONSTRUCTION!$C$7,1,0)</f>
        <v>0</v>
      </c>
      <c r="AP15" s="47" t="n">
        <f aca="false">IF(38=06_CONSTRUCTION!$C$7,1,0)</f>
        <v>0</v>
      </c>
      <c r="AQ15" s="47" t="n">
        <f aca="false">IF(39=06_CONSTRUCTION!$C$7,1,0)</f>
        <v>0</v>
      </c>
      <c r="AR15" s="47" t="n">
        <f aca="false">IF(40=06_CONSTRUCTION!$C$7,1,0)</f>
        <v>0</v>
      </c>
    </row>
    <row r="16" customFormat="false" ht="15" hidden="false" customHeight="false" outlineLevel="0" collapsed="false">
      <c r="A16" s="6" t="s">
        <v>252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</row>
    <row r="17" customFormat="false" ht="15" hidden="false" customHeight="false" outlineLevel="0" collapsed="false">
      <c r="A17" s="8" t="s">
        <v>253</v>
      </c>
      <c r="B17" s="8" t="s">
        <v>82</v>
      </c>
      <c r="E17" s="40" t="n">
        <f aca="false">(1+02_PROJECT_INPUTS!$C$18)^(06_CONSTRUCTION!E4-02_PROJECT_INPUTS!$C$11)</f>
        <v>1.02</v>
      </c>
      <c r="F17" s="40" t="n">
        <f aca="false">(1+02_PROJECT_INPUTS!$C$18)^(06_CONSTRUCTION!F4-02_PROJECT_INPUTS!$C$11)</f>
        <v>1.0404</v>
      </c>
      <c r="G17" s="40" t="n">
        <f aca="false">(1+02_PROJECT_INPUTS!$C$18)^(06_CONSTRUCTION!G4-02_PROJECT_INPUTS!$C$11)</f>
        <v>1.061208</v>
      </c>
      <c r="H17" s="40" t="n">
        <f aca="false">(1+02_PROJECT_INPUTS!$C$18)^(06_CONSTRUCTION!H4-02_PROJECT_INPUTS!$C$11)</f>
        <v>1.08243216</v>
      </c>
      <c r="I17" s="40" t="n">
        <f aca="false">(1+02_PROJECT_INPUTS!$C$18)^(06_CONSTRUCTION!I4-02_PROJECT_INPUTS!$C$11)</f>
        <v>1.1040808032</v>
      </c>
      <c r="J17" s="40" t="n">
        <f aca="false">(1+02_PROJECT_INPUTS!$C$18)^(06_CONSTRUCTION!J4-02_PROJECT_INPUTS!$C$11)</f>
        <v>1.126162419264</v>
      </c>
      <c r="K17" s="40" t="n">
        <f aca="false">(1+02_PROJECT_INPUTS!$C$18)^(06_CONSTRUCTION!K4-02_PROJECT_INPUTS!$C$11)</f>
        <v>1.14868566764928</v>
      </c>
      <c r="L17" s="40" t="n">
        <f aca="false">(1+02_PROJECT_INPUTS!$C$18)^(06_CONSTRUCTION!L4-02_PROJECT_INPUTS!$C$11)</f>
        <v>1.17165938100227</v>
      </c>
      <c r="M17" s="40" t="n">
        <f aca="false">(1+02_PROJECT_INPUTS!$C$18)^(06_CONSTRUCTION!M4-02_PROJECT_INPUTS!$C$11)</f>
        <v>1.19509256862231</v>
      </c>
      <c r="N17" s="40" t="n">
        <f aca="false">(1+02_PROJECT_INPUTS!$C$18)^(06_CONSTRUCTION!N4-02_PROJECT_INPUTS!$C$11)</f>
        <v>1.21899441999476</v>
      </c>
      <c r="O17" s="40" t="n">
        <f aca="false">(1+02_PROJECT_INPUTS!$C$18)^(06_CONSTRUCTION!O4-02_PROJECT_INPUTS!$C$11)</f>
        <v>1.24337430839465</v>
      </c>
      <c r="P17" s="40" t="n">
        <f aca="false">(1+02_PROJECT_INPUTS!$C$18)^(06_CONSTRUCTION!P4-02_PROJECT_INPUTS!$C$11)</f>
        <v>1.26824179456255</v>
      </c>
      <c r="Q17" s="40" t="n">
        <f aca="false">(1+02_PROJECT_INPUTS!$C$18)^(06_CONSTRUCTION!Q4-02_PROJECT_INPUTS!$C$11)</f>
        <v>1.2936066304538</v>
      </c>
      <c r="R17" s="40" t="n">
        <f aca="false">(1+02_PROJECT_INPUTS!$C$18)^(06_CONSTRUCTION!R4-02_PROJECT_INPUTS!$C$11)</f>
        <v>1.31947876306287</v>
      </c>
      <c r="S17" s="40" t="n">
        <f aca="false">(1+02_PROJECT_INPUTS!$C$18)^(06_CONSTRUCTION!S4-02_PROJECT_INPUTS!$C$11)</f>
        <v>1.34586833832413</v>
      </c>
      <c r="T17" s="40" t="n">
        <f aca="false">(1+02_PROJECT_INPUTS!$C$18)^(06_CONSTRUCTION!T4-02_PROJECT_INPUTS!$C$11)</f>
        <v>1.37278570509061</v>
      </c>
      <c r="U17" s="40" t="n">
        <f aca="false">(1+02_PROJECT_INPUTS!$C$18)^(06_CONSTRUCTION!U4-02_PROJECT_INPUTS!$C$11)</f>
        <v>1.40024141919242</v>
      </c>
      <c r="V17" s="40" t="n">
        <f aca="false">(1+02_PROJECT_INPUTS!$C$18)^(06_CONSTRUCTION!V4-02_PROJECT_INPUTS!$C$11)</f>
        <v>1.42824624757627</v>
      </c>
      <c r="W17" s="40" t="n">
        <f aca="false">(1+02_PROJECT_INPUTS!$C$18)^(06_CONSTRUCTION!W4-02_PROJECT_INPUTS!$C$11)</f>
        <v>1.4568111725278</v>
      </c>
      <c r="X17" s="40" t="n">
        <f aca="false">(1+02_PROJECT_INPUTS!$C$18)^(06_CONSTRUCTION!X4-02_PROJECT_INPUTS!$C$11)</f>
        <v>1.48594739597836</v>
      </c>
      <c r="Y17" s="40" t="n">
        <f aca="false">(1+02_PROJECT_INPUTS!$C$18)^(06_CONSTRUCTION!Y4-02_PROJECT_INPUTS!$C$11)</f>
        <v>1.51566634389792</v>
      </c>
      <c r="Z17" s="40" t="n">
        <f aca="false">(1+02_PROJECT_INPUTS!$C$18)^(06_CONSTRUCTION!Z4-02_PROJECT_INPUTS!$C$11)</f>
        <v>1.54597967077588</v>
      </c>
      <c r="AA17" s="40" t="n">
        <f aca="false">(1+02_PROJECT_INPUTS!$C$18)^(06_CONSTRUCTION!AA4-02_PROJECT_INPUTS!$C$11)</f>
        <v>1.5768992641914</v>
      </c>
      <c r="AB17" s="40" t="n">
        <f aca="false">(1+02_PROJECT_INPUTS!$C$18)^(06_CONSTRUCTION!AB4-02_PROJECT_INPUTS!$C$11)</f>
        <v>1.60843724947523</v>
      </c>
      <c r="AC17" s="40" t="n">
        <f aca="false">(1+02_PROJECT_INPUTS!$C$18)^(06_CONSTRUCTION!AC4-02_PROJECT_INPUTS!$C$11)</f>
        <v>1.64060599446473</v>
      </c>
      <c r="AD17" s="40" t="n">
        <f aca="false">(1+02_PROJECT_INPUTS!$C$18)^(06_CONSTRUCTION!AD4-02_PROJECT_INPUTS!$C$11)</f>
        <v>1.67341811435403</v>
      </c>
      <c r="AE17" s="40" t="n">
        <f aca="false">(1+02_PROJECT_INPUTS!$C$18)^(06_CONSTRUCTION!AE4-02_PROJECT_INPUTS!$C$11)</f>
        <v>1.70688647664111</v>
      </c>
      <c r="AF17" s="40" t="n">
        <f aca="false">(1+02_PROJECT_INPUTS!$C$18)^(06_CONSTRUCTION!AF4-02_PROJECT_INPUTS!$C$11)</f>
        <v>1.74102420617393</v>
      </c>
      <c r="AG17" s="40" t="n">
        <f aca="false">(1+02_PROJECT_INPUTS!$C$18)^(06_CONSTRUCTION!AG4-02_PROJECT_INPUTS!$C$11)</f>
        <v>1.77584469029741</v>
      </c>
      <c r="AH17" s="40" t="n">
        <f aca="false">(1+02_PROJECT_INPUTS!$C$18)^(06_CONSTRUCTION!AH4-02_PROJECT_INPUTS!$C$11)</f>
        <v>1.81136158410335</v>
      </c>
      <c r="AI17" s="40" t="n">
        <f aca="false">(1+02_PROJECT_INPUTS!$C$18)^(06_CONSTRUCTION!AI4-02_PROJECT_INPUTS!$C$11)</f>
        <v>1.84758881578542</v>
      </c>
      <c r="AJ17" s="40" t="n">
        <f aca="false">(1+02_PROJECT_INPUTS!$C$18)^(06_CONSTRUCTION!AJ4-02_PROJECT_INPUTS!$C$11)</f>
        <v>1.88454059210113</v>
      </c>
      <c r="AK17" s="40" t="n">
        <f aca="false">(1+02_PROJECT_INPUTS!$C$18)^(06_CONSTRUCTION!AK4-02_PROJECT_INPUTS!$C$11)</f>
        <v>1.92223140394315</v>
      </c>
      <c r="AL17" s="40" t="n">
        <f aca="false">(1+02_PROJECT_INPUTS!$C$18)^(06_CONSTRUCTION!AL4-02_PROJECT_INPUTS!$C$11)</f>
        <v>1.96067603202202</v>
      </c>
      <c r="AM17" s="40" t="n">
        <f aca="false">(1+02_PROJECT_INPUTS!$C$18)^(06_CONSTRUCTION!AM4-02_PROJECT_INPUTS!$C$11)</f>
        <v>1.99988955266246</v>
      </c>
      <c r="AN17" s="40" t="n">
        <f aca="false">(1+02_PROJECT_INPUTS!$C$18)^(06_CONSTRUCTION!AN4-02_PROJECT_INPUTS!$C$11)</f>
        <v>2.03988734371571</v>
      </c>
      <c r="AO17" s="40" t="n">
        <f aca="false">(1+02_PROJECT_INPUTS!$C$18)^(06_CONSTRUCTION!AO4-02_PROJECT_INPUTS!$C$11)</f>
        <v>2.08068509059002</v>
      </c>
      <c r="AP17" s="40" t="n">
        <f aca="false">(1+02_PROJECT_INPUTS!$C$18)^(06_CONSTRUCTION!AP4-02_PROJECT_INPUTS!$C$11)</f>
        <v>2.12229879240182</v>
      </c>
      <c r="AQ17" s="40" t="n">
        <f aca="false">(1+02_PROJECT_INPUTS!$C$18)^(06_CONSTRUCTION!AQ4-02_PROJECT_INPUTS!$C$11)</f>
        <v>2.16474476824986</v>
      </c>
      <c r="AR17" s="40" t="n">
        <f aca="false">(1+02_PROJECT_INPUTS!$C$18)^(06_CONSTRUCTION!AR4-02_PROJECT_INPUTS!$C$11)</f>
        <v>2.20803966361485</v>
      </c>
    </row>
    <row r="18" customFormat="false" ht="15" hidden="false" customHeight="false" outlineLevel="0" collapsed="false">
      <c r="A18" s="8" t="s">
        <v>254</v>
      </c>
      <c r="B18" s="8" t="s">
        <v>82</v>
      </c>
      <c r="E18" s="40" t="n">
        <f aca="false">(1+02_PROJECT_INPUTS!$C$19)^(06_CONSTRUCTION!E4-02_PROJECT_INPUTS!$C$11)</f>
        <v>1.08</v>
      </c>
      <c r="F18" s="40" t="n">
        <f aca="false">(1+02_PROJECT_INPUTS!$C$19)^(06_CONSTRUCTION!F4-02_PROJECT_INPUTS!$C$11)</f>
        <v>1.1664</v>
      </c>
      <c r="G18" s="40" t="n">
        <f aca="false">(1+02_PROJECT_INPUTS!$C$19)^(06_CONSTRUCTION!G4-02_PROJECT_INPUTS!$C$11)</f>
        <v>1.259712</v>
      </c>
      <c r="H18" s="40" t="n">
        <f aca="false">(1+02_PROJECT_INPUTS!$C$19)^(06_CONSTRUCTION!H4-02_PROJECT_INPUTS!$C$11)</f>
        <v>1.36048896</v>
      </c>
      <c r="I18" s="40" t="n">
        <f aca="false">(1+02_PROJECT_INPUTS!$C$19)^(06_CONSTRUCTION!I4-02_PROJECT_INPUTS!$C$11)</f>
        <v>1.4693280768</v>
      </c>
      <c r="J18" s="40" t="n">
        <f aca="false">(1+02_PROJECT_INPUTS!$C$19)^(06_CONSTRUCTION!J4-02_PROJECT_INPUTS!$C$11)</f>
        <v>1.586874322944</v>
      </c>
      <c r="K18" s="40" t="n">
        <f aca="false">(1+02_PROJECT_INPUTS!$C$19)^(06_CONSTRUCTION!K4-02_PROJECT_INPUTS!$C$11)</f>
        <v>1.71382426877952</v>
      </c>
      <c r="L18" s="40" t="n">
        <f aca="false">(1+02_PROJECT_INPUTS!$C$19)^(06_CONSTRUCTION!L4-02_PROJECT_INPUTS!$C$11)</f>
        <v>1.85093021028188</v>
      </c>
      <c r="M18" s="40" t="n">
        <f aca="false">(1+02_PROJECT_INPUTS!$C$19)^(06_CONSTRUCTION!M4-02_PROJECT_INPUTS!$C$11)</f>
        <v>1.99900462710443</v>
      </c>
      <c r="N18" s="40" t="n">
        <f aca="false">(1+02_PROJECT_INPUTS!$C$19)^(06_CONSTRUCTION!N4-02_PROJECT_INPUTS!$C$11)</f>
        <v>2.15892499727279</v>
      </c>
      <c r="O18" s="40" t="n">
        <f aca="false">(1+02_PROJECT_INPUTS!$C$19)^(06_CONSTRUCTION!O4-02_PROJECT_INPUTS!$C$11)</f>
        <v>2.33163899705461</v>
      </c>
      <c r="P18" s="40" t="n">
        <f aca="false">(1+02_PROJECT_INPUTS!$C$19)^(06_CONSTRUCTION!P4-02_PROJECT_INPUTS!$C$11)</f>
        <v>2.51817011681898</v>
      </c>
      <c r="Q18" s="40" t="n">
        <f aca="false">(1+02_PROJECT_INPUTS!$C$19)^(06_CONSTRUCTION!Q4-02_PROJECT_INPUTS!$C$11)</f>
        <v>2.7196237261645</v>
      </c>
      <c r="R18" s="40" t="n">
        <f aca="false">(1+02_PROJECT_INPUTS!$C$19)^(06_CONSTRUCTION!R4-02_PROJECT_INPUTS!$C$11)</f>
        <v>2.93719362425766</v>
      </c>
      <c r="S18" s="40" t="n">
        <f aca="false">(1+02_PROJECT_INPUTS!$C$19)^(06_CONSTRUCTION!S4-02_PROJECT_INPUTS!$C$11)</f>
        <v>3.17216911419827</v>
      </c>
      <c r="T18" s="40" t="n">
        <f aca="false">(1+02_PROJECT_INPUTS!$C$19)^(06_CONSTRUCTION!T4-02_PROJECT_INPUTS!$C$11)</f>
        <v>3.42594264333413</v>
      </c>
      <c r="U18" s="40" t="n">
        <f aca="false">(1+02_PROJECT_INPUTS!$C$19)^(06_CONSTRUCTION!U4-02_PROJECT_INPUTS!$C$11)</f>
        <v>3.70001805480087</v>
      </c>
      <c r="V18" s="40" t="n">
        <f aca="false">(1+02_PROJECT_INPUTS!$C$19)^(06_CONSTRUCTION!V4-02_PROJECT_INPUTS!$C$11)</f>
        <v>3.99601949918493</v>
      </c>
      <c r="W18" s="40" t="n">
        <f aca="false">(1+02_PROJECT_INPUTS!$C$19)^(06_CONSTRUCTION!W4-02_PROJECT_INPUTS!$C$11)</f>
        <v>4.31570105911973</v>
      </c>
      <c r="X18" s="40" t="n">
        <f aca="false">(1+02_PROJECT_INPUTS!$C$19)^(06_CONSTRUCTION!X4-02_PROJECT_INPUTS!$C$11)</f>
        <v>4.66095714384931</v>
      </c>
      <c r="Y18" s="40" t="n">
        <f aca="false">(1+02_PROJECT_INPUTS!$C$19)^(06_CONSTRUCTION!Y4-02_PROJECT_INPUTS!$C$11)</f>
        <v>5.03383371535725</v>
      </c>
      <c r="Z18" s="40" t="n">
        <f aca="false">(1+02_PROJECT_INPUTS!$C$19)^(06_CONSTRUCTION!Z4-02_PROJECT_INPUTS!$C$11)</f>
        <v>5.43654041258583</v>
      </c>
      <c r="AA18" s="40" t="n">
        <f aca="false">(1+02_PROJECT_INPUTS!$C$19)^(06_CONSTRUCTION!AA4-02_PROJECT_INPUTS!$C$11)</f>
        <v>5.8714636455927</v>
      </c>
      <c r="AB18" s="40" t="n">
        <f aca="false">(1+02_PROJECT_INPUTS!$C$19)^(06_CONSTRUCTION!AB4-02_PROJECT_INPUTS!$C$11)</f>
        <v>6.34118073724012</v>
      </c>
      <c r="AC18" s="40" t="n">
        <f aca="false">(1+02_PROJECT_INPUTS!$C$19)^(06_CONSTRUCTION!AC4-02_PROJECT_INPUTS!$C$11)</f>
        <v>6.84847519621933</v>
      </c>
      <c r="AD18" s="40" t="n">
        <f aca="false">(1+02_PROJECT_INPUTS!$C$19)^(06_CONSTRUCTION!AD4-02_PROJECT_INPUTS!$C$11)</f>
        <v>7.39635321191687</v>
      </c>
      <c r="AE18" s="40" t="n">
        <f aca="false">(1+02_PROJECT_INPUTS!$C$19)^(06_CONSTRUCTION!AE4-02_PROJECT_INPUTS!$C$11)</f>
        <v>7.98806146887022</v>
      </c>
      <c r="AF18" s="40" t="n">
        <f aca="false">(1+02_PROJECT_INPUTS!$C$19)^(06_CONSTRUCTION!AF4-02_PROJECT_INPUTS!$C$11)</f>
        <v>8.62710638637984</v>
      </c>
      <c r="AG18" s="40" t="n">
        <f aca="false">(1+02_PROJECT_INPUTS!$C$19)^(06_CONSTRUCTION!AG4-02_PROJECT_INPUTS!$C$11)</f>
        <v>9.31727489729023</v>
      </c>
      <c r="AH18" s="40" t="n">
        <f aca="false">(1+02_PROJECT_INPUTS!$C$19)^(06_CONSTRUCTION!AH4-02_PROJECT_INPUTS!$C$11)</f>
        <v>10.0626568890735</v>
      </c>
      <c r="AI18" s="40" t="n">
        <f aca="false">(1+02_PROJECT_INPUTS!$C$19)^(06_CONSTRUCTION!AI4-02_PROJECT_INPUTS!$C$11)</f>
        <v>10.8676694401993</v>
      </c>
      <c r="AJ18" s="40" t="n">
        <f aca="false">(1+02_PROJECT_INPUTS!$C$19)^(06_CONSTRUCTION!AJ4-02_PROJECT_INPUTS!$C$11)</f>
        <v>11.7370829954153</v>
      </c>
      <c r="AK18" s="40" t="n">
        <f aca="false">(1+02_PROJECT_INPUTS!$C$19)^(06_CONSTRUCTION!AK4-02_PROJECT_INPUTS!$C$11)</f>
        <v>12.6760496350485</v>
      </c>
      <c r="AL18" s="40" t="n">
        <f aca="false">(1+02_PROJECT_INPUTS!$C$19)^(06_CONSTRUCTION!AL4-02_PROJECT_INPUTS!$C$11)</f>
        <v>13.6901336058524</v>
      </c>
      <c r="AM18" s="40" t="n">
        <f aca="false">(1+02_PROJECT_INPUTS!$C$19)^(06_CONSTRUCTION!AM4-02_PROJECT_INPUTS!$C$11)</f>
        <v>14.7853442943206</v>
      </c>
      <c r="AN18" s="40" t="n">
        <f aca="false">(1+02_PROJECT_INPUTS!$C$19)^(06_CONSTRUCTION!AN4-02_PROJECT_INPUTS!$C$11)</f>
        <v>15.9681718378662</v>
      </c>
      <c r="AO18" s="40" t="n">
        <f aca="false">(1+02_PROJECT_INPUTS!$C$19)^(06_CONSTRUCTION!AO4-02_PROJECT_INPUTS!$C$11)</f>
        <v>17.2456255848955</v>
      </c>
      <c r="AP18" s="40" t="n">
        <f aca="false">(1+02_PROJECT_INPUTS!$C$19)^(06_CONSTRUCTION!AP4-02_PROJECT_INPUTS!$C$11)</f>
        <v>18.6252756316872</v>
      </c>
      <c r="AQ18" s="40" t="n">
        <f aca="false">(1+02_PROJECT_INPUTS!$C$19)^(06_CONSTRUCTION!AQ4-02_PROJECT_INPUTS!$C$11)</f>
        <v>20.1152976822221</v>
      </c>
      <c r="AR18" s="40" t="n">
        <f aca="false">(1+02_PROJECT_INPUTS!$C$19)^(06_CONSTRUCTION!AR4-02_PROJECT_INPUTS!$C$11)</f>
        <v>21.7245214967999</v>
      </c>
    </row>
    <row r="19" customFormat="false" ht="15" hidden="false" customHeight="false" outlineLevel="0" collapsed="false">
      <c r="A19" s="8" t="s">
        <v>255</v>
      </c>
      <c r="B19" s="8" t="s">
        <v>124</v>
      </c>
      <c r="E19" s="49" t="n">
        <f aca="false">02_PROJECT_INPUTS!$C$20*(1+27_SCENARIOS!$C$34)^(06_CONSTRUCTION!E4-02_PROJECT_INPUTS!$C$11)*IF(06_CONSTRUCTION!E4&gt;=06_CONSTRUCTION!$C$8,1+27_SCENARIOS!$C$35,1)</f>
        <v>21.2</v>
      </c>
      <c r="F19" s="49" t="n">
        <f aca="false">02_PROJECT_INPUTS!$C$20*(1+27_SCENARIOS!$C$34)^(06_CONSTRUCTION!F4-02_PROJECT_INPUTS!$C$11)*IF(06_CONSTRUCTION!F4&gt;=06_CONSTRUCTION!$C$8,1+27_SCENARIOS!$C$35,1)</f>
        <v>22.472</v>
      </c>
      <c r="G19" s="49" t="n">
        <f aca="false">02_PROJECT_INPUTS!$C$20*(1+27_SCENARIOS!$C$34)^(06_CONSTRUCTION!G4-02_PROJECT_INPUTS!$C$11)*IF(06_CONSTRUCTION!G4&gt;=06_CONSTRUCTION!$C$8,1+27_SCENARIOS!$C$35,1)</f>
        <v>23.82032</v>
      </c>
      <c r="H19" s="49" t="n">
        <f aca="false">02_PROJECT_INPUTS!$C$20*(1+27_SCENARIOS!$C$34)^(06_CONSTRUCTION!H4-02_PROJECT_INPUTS!$C$11)*IF(06_CONSTRUCTION!H4&gt;=06_CONSTRUCTION!$C$8,1+27_SCENARIOS!$C$35,1)</f>
        <v>25.2495392</v>
      </c>
      <c r="I19" s="49" t="n">
        <f aca="false">02_PROJECT_INPUTS!$C$20*(1+27_SCENARIOS!$C$34)^(06_CONSTRUCTION!I4-02_PROJECT_INPUTS!$C$11)*IF(06_CONSTRUCTION!I4&gt;=06_CONSTRUCTION!$C$8,1+27_SCENARIOS!$C$35,1)</f>
        <v>26.764511552</v>
      </c>
      <c r="J19" s="49" t="n">
        <f aca="false">02_PROJECT_INPUTS!$C$20*(1+27_SCENARIOS!$C$34)^(06_CONSTRUCTION!J4-02_PROJECT_INPUTS!$C$11)*IF(06_CONSTRUCTION!J4&gt;=06_CONSTRUCTION!$C$8,1+27_SCENARIOS!$C$35,1)</f>
        <v>28.37038224512</v>
      </c>
      <c r="K19" s="49" t="n">
        <f aca="false">02_PROJECT_INPUTS!$C$20*(1+27_SCENARIOS!$C$34)^(06_CONSTRUCTION!K4-02_PROJECT_INPUTS!$C$11)*IF(06_CONSTRUCTION!K4&gt;=06_CONSTRUCTION!$C$8,1+27_SCENARIOS!$C$35,1)</f>
        <v>30.0726051798272</v>
      </c>
      <c r="L19" s="49" t="n">
        <f aca="false">02_PROJECT_INPUTS!$C$20*(1+27_SCENARIOS!$C$34)^(06_CONSTRUCTION!L4-02_PROJECT_INPUTS!$C$11)*IF(06_CONSTRUCTION!L4&gt;=06_CONSTRUCTION!$C$8,1+27_SCENARIOS!$C$35,1)</f>
        <v>31.8769614906168</v>
      </c>
      <c r="M19" s="49" t="n">
        <f aca="false">02_PROJECT_INPUTS!$C$20*(1+27_SCENARIOS!$C$34)^(06_CONSTRUCTION!M4-02_PROJECT_INPUTS!$C$11)*IF(06_CONSTRUCTION!M4&gt;=06_CONSTRUCTION!$C$8,1+27_SCENARIOS!$C$35,1)</f>
        <v>33.7895791800539</v>
      </c>
      <c r="N19" s="49" t="n">
        <f aca="false">02_PROJECT_INPUTS!$C$20*(1+27_SCENARIOS!$C$34)^(06_CONSTRUCTION!N4-02_PROJECT_INPUTS!$C$11)*IF(06_CONSTRUCTION!N4&gt;=06_CONSTRUCTION!$C$8,1+27_SCENARIOS!$C$35,1)</f>
        <v>35.8169539308571</v>
      </c>
      <c r="O19" s="49" t="n">
        <f aca="false">02_PROJECT_INPUTS!$C$20*(1+27_SCENARIOS!$C$34)^(06_CONSTRUCTION!O4-02_PROJECT_INPUTS!$C$11)*IF(06_CONSTRUCTION!O4&gt;=06_CONSTRUCTION!$C$8,1+27_SCENARIOS!$C$35,1)</f>
        <v>37.9659711667085</v>
      </c>
      <c r="P19" s="49" t="n">
        <f aca="false">02_PROJECT_INPUTS!$C$20*(1+27_SCENARIOS!$C$34)^(06_CONSTRUCTION!P4-02_PROJECT_INPUTS!$C$11)*IF(06_CONSTRUCTION!P4&gt;=06_CONSTRUCTION!$C$8,1+27_SCENARIOS!$C$35,1)</f>
        <v>40.243929436711</v>
      </c>
      <c r="Q19" s="49" t="n">
        <f aca="false">02_PROJECT_INPUTS!$C$20*(1+27_SCENARIOS!$C$34)^(06_CONSTRUCTION!Q4-02_PROJECT_INPUTS!$C$11)*IF(06_CONSTRUCTION!Q4&gt;=06_CONSTRUCTION!$C$8,1+27_SCENARIOS!$C$35,1)</f>
        <v>42.6585652029137</v>
      </c>
      <c r="R19" s="49" t="n">
        <f aca="false">02_PROJECT_INPUTS!$C$20*(1+27_SCENARIOS!$C$34)^(06_CONSTRUCTION!R4-02_PROJECT_INPUTS!$C$11)*IF(06_CONSTRUCTION!R4&gt;=06_CONSTRUCTION!$C$8,1+27_SCENARIOS!$C$35,1)</f>
        <v>45.2180791150885</v>
      </c>
      <c r="S19" s="49" t="n">
        <f aca="false">02_PROJECT_INPUTS!$C$20*(1+27_SCENARIOS!$C$34)^(06_CONSTRUCTION!S4-02_PROJECT_INPUTS!$C$11)*IF(06_CONSTRUCTION!S4&gt;=06_CONSTRUCTION!$C$8,1+27_SCENARIOS!$C$35,1)</f>
        <v>47.9311638619938</v>
      </c>
      <c r="T19" s="49" t="n">
        <f aca="false">02_PROJECT_INPUTS!$C$20*(1+27_SCENARIOS!$C$34)^(06_CONSTRUCTION!T4-02_PROJECT_INPUTS!$C$11)*IF(06_CONSTRUCTION!T4&gt;=06_CONSTRUCTION!$C$8,1+27_SCENARIOS!$C$35,1)</f>
        <v>50.8070336937135</v>
      </c>
      <c r="U19" s="49" t="n">
        <f aca="false">02_PROJECT_INPUTS!$C$20*(1+27_SCENARIOS!$C$34)^(06_CONSTRUCTION!U4-02_PROJECT_INPUTS!$C$11)*IF(06_CONSTRUCTION!U4&gt;=06_CONSTRUCTION!$C$8,1+27_SCENARIOS!$C$35,1)</f>
        <v>53.8554557153363</v>
      </c>
      <c r="V19" s="49" t="n">
        <f aca="false">02_PROJECT_INPUTS!$C$20*(1+27_SCENARIOS!$C$34)^(06_CONSTRUCTION!V4-02_PROJECT_INPUTS!$C$11)*IF(06_CONSTRUCTION!V4&gt;=06_CONSTRUCTION!$C$8,1+27_SCENARIOS!$C$35,1)</f>
        <v>57.0867830582565</v>
      </c>
      <c r="W19" s="49" t="n">
        <f aca="false">02_PROJECT_INPUTS!$C$20*(1+27_SCENARIOS!$C$34)^(06_CONSTRUCTION!W4-02_PROJECT_INPUTS!$C$11)*IF(06_CONSTRUCTION!W4&gt;=06_CONSTRUCTION!$C$8,1+27_SCENARIOS!$C$35,1)</f>
        <v>60.5119900417518</v>
      </c>
      <c r="X19" s="49" t="n">
        <f aca="false">02_PROJECT_INPUTS!$C$20*(1+27_SCENARIOS!$C$34)^(06_CONSTRUCTION!X4-02_PROJECT_INPUTS!$C$11)*IF(06_CONSTRUCTION!X4&gt;=06_CONSTRUCTION!$C$8,1+27_SCENARIOS!$C$35,1)</f>
        <v>64.142709444257</v>
      </c>
      <c r="Y19" s="49" t="n">
        <f aca="false">02_PROJECT_INPUTS!$C$20*(1+27_SCENARIOS!$C$34)^(06_CONSTRUCTION!Y4-02_PROJECT_INPUTS!$C$11)*IF(06_CONSTRUCTION!Y4&gt;=06_CONSTRUCTION!$C$8,1+27_SCENARIOS!$C$35,1)</f>
        <v>67.9912720109124</v>
      </c>
      <c r="Z19" s="49" t="n">
        <f aca="false">02_PROJECT_INPUTS!$C$20*(1+27_SCENARIOS!$C$34)^(06_CONSTRUCTION!Z4-02_PROJECT_INPUTS!$C$11)*IF(06_CONSTRUCTION!Z4&gt;=06_CONSTRUCTION!$C$8,1+27_SCENARIOS!$C$35,1)</f>
        <v>72.0707483315671</v>
      </c>
      <c r="AA19" s="49" t="n">
        <f aca="false">02_PROJECT_INPUTS!$C$20*(1+27_SCENARIOS!$C$34)^(06_CONSTRUCTION!AA4-02_PROJECT_INPUTS!$C$11)*IF(06_CONSTRUCTION!AA4&gt;=06_CONSTRUCTION!$C$8,1+27_SCENARIOS!$C$35,1)</f>
        <v>76.3949932314612</v>
      </c>
      <c r="AB19" s="49" t="n">
        <f aca="false">02_PROJECT_INPUTS!$C$20*(1+27_SCENARIOS!$C$34)^(06_CONSTRUCTION!AB4-02_PROJECT_INPUTS!$C$11)*IF(06_CONSTRUCTION!AB4&gt;=06_CONSTRUCTION!$C$8,1+27_SCENARIOS!$C$35,1)</f>
        <v>80.9786928253488</v>
      </c>
      <c r="AC19" s="49" t="n">
        <f aca="false">02_PROJECT_INPUTS!$C$20*(1+27_SCENARIOS!$C$34)^(06_CONSTRUCTION!AC4-02_PROJECT_INPUTS!$C$11)*IF(06_CONSTRUCTION!AC4&gt;=06_CONSTRUCTION!$C$8,1+27_SCENARIOS!$C$35,1)</f>
        <v>85.8374143948698</v>
      </c>
      <c r="AD19" s="49" t="n">
        <f aca="false">02_PROJECT_INPUTS!$C$20*(1+27_SCENARIOS!$C$34)^(06_CONSTRUCTION!AD4-02_PROJECT_INPUTS!$C$11)*IF(06_CONSTRUCTION!AD4&gt;=06_CONSTRUCTION!$C$8,1+27_SCENARIOS!$C$35,1)</f>
        <v>90.987659258562</v>
      </c>
      <c r="AE19" s="49" t="n">
        <f aca="false">02_PROJECT_INPUTS!$C$20*(1+27_SCENARIOS!$C$34)^(06_CONSTRUCTION!AE4-02_PROJECT_INPUTS!$C$11)*IF(06_CONSTRUCTION!AE4&gt;=06_CONSTRUCTION!$C$8,1+27_SCENARIOS!$C$35,1)</f>
        <v>96.4469188140757</v>
      </c>
      <c r="AF19" s="49" t="n">
        <f aca="false">02_PROJECT_INPUTS!$C$20*(1+27_SCENARIOS!$C$34)^(06_CONSTRUCTION!AF4-02_PROJECT_INPUTS!$C$11)*IF(06_CONSTRUCTION!AF4&gt;=06_CONSTRUCTION!$C$8,1+27_SCENARIOS!$C$35,1)</f>
        <v>102.23373394292</v>
      </c>
      <c r="AG19" s="49" t="n">
        <f aca="false">02_PROJECT_INPUTS!$C$20*(1+27_SCENARIOS!$C$34)^(06_CONSTRUCTION!AG4-02_PROJECT_INPUTS!$C$11)*IF(06_CONSTRUCTION!AG4&gt;=06_CONSTRUCTION!$C$8,1+27_SCENARIOS!$C$35,1)</f>
        <v>108.367757979495</v>
      </c>
      <c r="AH19" s="49" t="n">
        <f aca="false">02_PROJECT_INPUTS!$C$20*(1+27_SCENARIOS!$C$34)^(06_CONSTRUCTION!AH4-02_PROJECT_INPUTS!$C$11)*IF(06_CONSTRUCTION!AH4&gt;=06_CONSTRUCTION!$C$8,1+27_SCENARIOS!$C$35,1)</f>
        <v>114.869823458265</v>
      </c>
      <c r="AI19" s="49" t="n">
        <f aca="false">02_PROJECT_INPUTS!$C$20*(1+27_SCENARIOS!$C$34)^(06_CONSTRUCTION!AI4-02_PROJECT_INPUTS!$C$11)*IF(06_CONSTRUCTION!AI4&gt;=06_CONSTRUCTION!$C$8,1+27_SCENARIOS!$C$35,1)</f>
        <v>121.762012865761</v>
      </c>
      <c r="AJ19" s="49" t="n">
        <f aca="false">02_PROJECT_INPUTS!$C$20*(1+27_SCENARIOS!$C$34)^(06_CONSTRUCTION!AJ4-02_PROJECT_INPUTS!$C$11)*IF(06_CONSTRUCTION!AJ4&gt;=06_CONSTRUCTION!$C$8,1+27_SCENARIOS!$C$35,1)</f>
        <v>129.067733637707</v>
      </c>
      <c r="AK19" s="49" t="n">
        <f aca="false">02_PROJECT_INPUTS!$C$20*(1+27_SCENARIOS!$C$34)^(06_CONSTRUCTION!AK4-02_PROJECT_INPUTS!$C$11)*IF(06_CONSTRUCTION!AK4&gt;=06_CONSTRUCTION!$C$8,1+27_SCENARIOS!$C$35,1)</f>
        <v>136.811797655969</v>
      </c>
      <c r="AL19" s="49" t="n">
        <f aca="false">02_PROJECT_INPUTS!$C$20*(1+27_SCENARIOS!$C$34)^(06_CONSTRUCTION!AL4-02_PROJECT_INPUTS!$C$11)*IF(06_CONSTRUCTION!AL4&gt;=06_CONSTRUCTION!$C$8,1+27_SCENARIOS!$C$35,1)</f>
        <v>145.020505515327</v>
      </c>
      <c r="AM19" s="49" t="n">
        <f aca="false">02_PROJECT_INPUTS!$C$20*(1+27_SCENARIOS!$C$34)^(06_CONSTRUCTION!AM4-02_PROJECT_INPUTS!$C$11)*IF(06_CONSTRUCTION!AM4&gt;=06_CONSTRUCTION!$C$8,1+27_SCENARIOS!$C$35,1)</f>
        <v>153.721735846247</v>
      </c>
      <c r="AN19" s="49" t="n">
        <f aca="false">02_PROJECT_INPUTS!$C$20*(1+27_SCENARIOS!$C$34)^(06_CONSTRUCTION!AN4-02_PROJECT_INPUTS!$C$11)*IF(06_CONSTRUCTION!AN4&gt;=06_CONSTRUCTION!$C$8,1+27_SCENARIOS!$C$35,1)</f>
        <v>162.945039997022</v>
      </c>
      <c r="AO19" s="49" t="n">
        <f aca="false">02_PROJECT_INPUTS!$C$20*(1+27_SCENARIOS!$C$34)^(06_CONSTRUCTION!AO4-02_PROJECT_INPUTS!$C$11)*IF(06_CONSTRUCTION!AO4&gt;=06_CONSTRUCTION!$C$8,1+27_SCENARIOS!$C$35,1)</f>
        <v>172.721742396843</v>
      </c>
      <c r="AP19" s="49" t="n">
        <f aca="false">02_PROJECT_INPUTS!$C$20*(1+27_SCENARIOS!$C$34)^(06_CONSTRUCTION!AP4-02_PROJECT_INPUTS!$C$11)*IF(06_CONSTRUCTION!AP4&gt;=06_CONSTRUCTION!$C$8,1+27_SCENARIOS!$C$35,1)</f>
        <v>183.085046940654</v>
      </c>
      <c r="AQ19" s="49" t="n">
        <f aca="false">02_PROJECT_INPUTS!$C$20*(1+27_SCENARIOS!$C$34)^(06_CONSTRUCTION!AQ4-02_PROJECT_INPUTS!$C$11)*IF(06_CONSTRUCTION!AQ4&gt;=06_CONSTRUCTION!$C$8,1+27_SCENARIOS!$C$35,1)</f>
        <v>194.070149757093</v>
      </c>
      <c r="AR19" s="49" t="n">
        <f aca="false">02_PROJECT_INPUTS!$C$20*(1+27_SCENARIOS!$C$34)^(06_CONSTRUCTION!AR4-02_PROJECT_INPUTS!$C$11)*IF(06_CONSTRUCTION!AR4&gt;=06_CONSTRUCTION!$C$8,1+27_SCENARIOS!$C$35,1)</f>
        <v>205.714358742519</v>
      </c>
    </row>
    <row r="20" customFormat="false" ht="15" hidden="false" customHeight="false" outlineLevel="0" collapsed="false">
      <c r="A20" s="8" t="s">
        <v>256</v>
      </c>
      <c r="B20" s="8" t="s">
        <v>82</v>
      </c>
      <c r="E20" s="40" t="n">
        <f aca="false">06_CONSTRUCTION!E19/02_PROJECT_INPUTS!$C$20</f>
        <v>1.06</v>
      </c>
      <c r="F20" s="40" t="n">
        <f aca="false">06_CONSTRUCTION!F19/02_PROJECT_INPUTS!$C$20</f>
        <v>1.1236</v>
      </c>
      <c r="G20" s="40" t="n">
        <f aca="false">06_CONSTRUCTION!G19/02_PROJECT_INPUTS!$C$20</f>
        <v>1.191016</v>
      </c>
      <c r="H20" s="40" t="n">
        <f aca="false">06_CONSTRUCTION!H19/02_PROJECT_INPUTS!$C$20</f>
        <v>1.26247696</v>
      </c>
      <c r="I20" s="40" t="n">
        <f aca="false">06_CONSTRUCTION!I19/02_PROJECT_INPUTS!$C$20</f>
        <v>1.3382255776</v>
      </c>
      <c r="J20" s="40" t="n">
        <f aca="false">06_CONSTRUCTION!J19/02_PROJECT_INPUTS!$C$20</f>
        <v>1.418519112256</v>
      </c>
      <c r="K20" s="40" t="n">
        <f aca="false">06_CONSTRUCTION!K19/02_PROJECT_INPUTS!$C$20</f>
        <v>1.50363025899136</v>
      </c>
      <c r="L20" s="40" t="n">
        <f aca="false">06_CONSTRUCTION!L19/02_PROJECT_INPUTS!$C$20</f>
        <v>1.59384807453084</v>
      </c>
      <c r="M20" s="40" t="n">
        <f aca="false">06_CONSTRUCTION!M19/02_PROJECT_INPUTS!$C$20</f>
        <v>1.68947895900269</v>
      </c>
      <c r="N20" s="40" t="n">
        <f aca="false">06_CONSTRUCTION!N19/02_PROJECT_INPUTS!$C$20</f>
        <v>1.79084769654285</v>
      </c>
      <c r="O20" s="40" t="n">
        <f aca="false">06_CONSTRUCTION!O19/02_PROJECT_INPUTS!$C$20</f>
        <v>1.89829855833543</v>
      </c>
      <c r="P20" s="40" t="n">
        <f aca="false">06_CONSTRUCTION!P19/02_PROJECT_INPUTS!$C$20</f>
        <v>2.01219647183555</v>
      </c>
      <c r="Q20" s="40" t="n">
        <f aca="false">06_CONSTRUCTION!Q19/02_PROJECT_INPUTS!$C$20</f>
        <v>2.13292826014568</v>
      </c>
      <c r="R20" s="40" t="n">
        <f aca="false">06_CONSTRUCTION!R19/02_PROJECT_INPUTS!$C$20</f>
        <v>2.26090395575443</v>
      </c>
      <c r="S20" s="40" t="n">
        <f aca="false">06_CONSTRUCTION!S19/02_PROJECT_INPUTS!$C$20</f>
        <v>2.39655819309969</v>
      </c>
      <c r="T20" s="40" t="n">
        <f aca="false">06_CONSTRUCTION!T19/02_PROJECT_INPUTS!$C$20</f>
        <v>2.54035168468567</v>
      </c>
      <c r="U20" s="40" t="n">
        <f aca="false">06_CONSTRUCTION!U19/02_PROJECT_INPUTS!$C$20</f>
        <v>2.69277278576681</v>
      </c>
      <c r="V20" s="40" t="n">
        <f aca="false">06_CONSTRUCTION!V19/02_PROJECT_INPUTS!$C$20</f>
        <v>2.85433915291282</v>
      </c>
      <c r="W20" s="40" t="n">
        <f aca="false">06_CONSTRUCTION!W19/02_PROJECT_INPUTS!$C$20</f>
        <v>3.02559950208759</v>
      </c>
      <c r="X20" s="40" t="n">
        <f aca="false">06_CONSTRUCTION!X19/02_PROJECT_INPUTS!$C$20</f>
        <v>3.20713547221285</v>
      </c>
      <c r="Y20" s="40" t="n">
        <f aca="false">06_CONSTRUCTION!Y19/02_PROJECT_INPUTS!$C$20</f>
        <v>3.39956360054562</v>
      </c>
      <c r="Z20" s="40" t="n">
        <f aca="false">06_CONSTRUCTION!Z19/02_PROJECT_INPUTS!$C$20</f>
        <v>3.60353741657836</v>
      </c>
      <c r="AA20" s="40" t="n">
        <f aca="false">06_CONSTRUCTION!AA19/02_PROJECT_INPUTS!$C$20</f>
        <v>3.81974966157306</v>
      </c>
      <c r="AB20" s="40" t="n">
        <f aca="false">06_CONSTRUCTION!AB19/02_PROJECT_INPUTS!$C$20</f>
        <v>4.04893464126744</v>
      </c>
      <c r="AC20" s="40" t="n">
        <f aca="false">06_CONSTRUCTION!AC19/02_PROJECT_INPUTS!$C$20</f>
        <v>4.29187071974349</v>
      </c>
      <c r="AD20" s="40" t="n">
        <f aca="false">06_CONSTRUCTION!AD19/02_PROJECT_INPUTS!$C$20</f>
        <v>4.5493829629281</v>
      </c>
      <c r="AE20" s="40" t="n">
        <f aca="false">06_CONSTRUCTION!AE19/02_PROJECT_INPUTS!$C$20</f>
        <v>4.82234594070378</v>
      </c>
      <c r="AF20" s="40" t="n">
        <f aca="false">06_CONSTRUCTION!AF19/02_PROJECT_INPUTS!$C$20</f>
        <v>5.11168669714601</v>
      </c>
      <c r="AG20" s="40" t="n">
        <f aca="false">06_CONSTRUCTION!AG19/02_PROJECT_INPUTS!$C$20</f>
        <v>5.41838789897477</v>
      </c>
      <c r="AH20" s="40" t="n">
        <f aca="false">06_CONSTRUCTION!AH19/02_PROJECT_INPUTS!$C$20</f>
        <v>5.74349117291326</v>
      </c>
      <c r="AI20" s="40" t="n">
        <f aca="false">06_CONSTRUCTION!AI19/02_PROJECT_INPUTS!$C$20</f>
        <v>6.08810064328806</v>
      </c>
      <c r="AJ20" s="40" t="n">
        <f aca="false">06_CONSTRUCTION!AJ19/02_PROJECT_INPUTS!$C$20</f>
        <v>6.45338668188534</v>
      </c>
      <c r="AK20" s="40" t="n">
        <f aca="false">06_CONSTRUCTION!AK19/02_PROJECT_INPUTS!$C$20</f>
        <v>6.84058988279846</v>
      </c>
      <c r="AL20" s="40" t="n">
        <f aca="false">06_CONSTRUCTION!AL19/02_PROJECT_INPUTS!$C$20</f>
        <v>7.25102527576637</v>
      </c>
      <c r="AM20" s="40" t="n">
        <f aca="false">06_CONSTRUCTION!AM19/02_PROJECT_INPUTS!$C$20</f>
        <v>7.68608679231235</v>
      </c>
      <c r="AN20" s="40" t="n">
        <f aca="false">06_CONSTRUCTION!AN19/02_PROJECT_INPUTS!$C$20</f>
        <v>8.14725199985109</v>
      </c>
      <c r="AO20" s="40" t="n">
        <f aca="false">06_CONSTRUCTION!AO19/02_PROJECT_INPUTS!$C$20</f>
        <v>8.63608711984216</v>
      </c>
      <c r="AP20" s="40" t="n">
        <f aca="false">06_CONSTRUCTION!AP19/02_PROJECT_INPUTS!$C$20</f>
        <v>9.15425234703269</v>
      </c>
      <c r="AQ20" s="40" t="n">
        <f aca="false">06_CONSTRUCTION!AQ19/02_PROJECT_INPUTS!$C$20</f>
        <v>9.70350748785465</v>
      </c>
      <c r="AR20" s="40" t="n">
        <f aca="false">06_CONSTRUCTION!AR19/02_PROJECT_INPUTS!$C$20</f>
        <v>10.2857179371259</v>
      </c>
    </row>
    <row r="21" customFormat="false" ht="15" hidden="false" customHeight="false" outlineLevel="0" collapsed="false">
      <c r="A21" s="8" t="s">
        <v>257</v>
      </c>
      <c r="B21" s="8" t="s">
        <v>82</v>
      </c>
      <c r="E21" s="40" t="n">
        <f aca="false">(1+02_PROJECT_INPUTS!$C$22)^(06_CONSTRUCTION!E4-02_PROJECT_INPUTS!$C$11)</f>
        <v>1.025</v>
      </c>
      <c r="F21" s="40" t="n">
        <f aca="false">(1+02_PROJECT_INPUTS!$C$22)^(06_CONSTRUCTION!F4-02_PROJECT_INPUTS!$C$11)</f>
        <v>1.050625</v>
      </c>
      <c r="G21" s="40" t="n">
        <f aca="false">(1+02_PROJECT_INPUTS!$C$22)^(06_CONSTRUCTION!G4-02_PROJECT_INPUTS!$C$11)</f>
        <v>1.076890625</v>
      </c>
      <c r="H21" s="40" t="n">
        <f aca="false">(1+02_PROJECT_INPUTS!$C$22)^(06_CONSTRUCTION!H4-02_PROJECT_INPUTS!$C$11)</f>
        <v>1.103812890625</v>
      </c>
      <c r="I21" s="40" t="n">
        <f aca="false">(1+02_PROJECT_INPUTS!$C$22)^(06_CONSTRUCTION!I4-02_PROJECT_INPUTS!$C$11)</f>
        <v>1.13140821289062</v>
      </c>
      <c r="J21" s="40" t="n">
        <f aca="false">(1+02_PROJECT_INPUTS!$C$22)^(06_CONSTRUCTION!J4-02_PROJECT_INPUTS!$C$11)</f>
        <v>1.15969341821289</v>
      </c>
      <c r="K21" s="40" t="n">
        <f aca="false">(1+02_PROJECT_INPUTS!$C$22)^(06_CONSTRUCTION!K4-02_PROJECT_INPUTS!$C$11)</f>
        <v>1.18868575366821</v>
      </c>
      <c r="L21" s="40" t="n">
        <f aca="false">(1+02_PROJECT_INPUTS!$C$22)^(06_CONSTRUCTION!L4-02_PROJECT_INPUTS!$C$11)</f>
        <v>1.21840289750992</v>
      </c>
      <c r="M21" s="40" t="n">
        <f aca="false">(1+02_PROJECT_INPUTS!$C$22)^(06_CONSTRUCTION!M4-02_PROJECT_INPUTS!$C$11)</f>
        <v>1.24886296994767</v>
      </c>
      <c r="N21" s="40" t="n">
        <f aca="false">(1+02_PROJECT_INPUTS!$C$22)^(06_CONSTRUCTION!N4-02_PROJECT_INPUTS!$C$11)</f>
        <v>1.28008454419636</v>
      </c>
      <c r="O21" s="40" t="n">
        <f aca="false">(1+02_PROJECT_INPUTS!$C$22)^(06_CONSTRUCTION!O4-02_PROJECT_INPUTS!$C$11)</f>
        <v>1.31208665780127</v>
      </c>
      <c r="P21" s="40" t="n">
        <f aca="false">(1+02_PROJECT_INPUTS!$C$22)^(06_CONSTRUCTION!P4-02_PROJECT_INPUTS!$C$11)</f>
        <v>1.3448888242463</v>
      </c>
      <c r="Q21" s="40" t="n">
        <f aca="false">(1+02_PROJECT_INPUTS!$C$22)^(06_CONSTRUCTION!Q4-02_PROJECT_INPUTS!$C$11)</f>
        <v>1.37851104485245</v>
      </c>
      <c r="R21" s="40" t="n">
        <f aca="false">(1+02_PROJECT_INPUTS!$C$22)^(06_CONSTRUCTION!R4-02_PROJECT_INPUTS!$C$11)</f>
        <v>1.41297382097377</v>
      </c>
      <c r="S21" s="40" t="n">
        <f aca="false">(1+02_PROJECT_INPUTS!$C$22)^(06_CONSTRUCTION!S4-02_PROJECT_INPUTS!$C$11)</f>
        <v>1.44829816649811</v>
      </c>
      <c r="T21" s="40" t="n">
        <f aca="false">(1+02_PROJECT_INPUTS!$C$22)^(06_CONSTRUCTION!T4-02_PROJECT_INPUTS!$C$11)</f>
        <v>1.48450562066056</v>
      </c>
      <c r="U21" s="40" t="n">
        <f aca="false">(1+02_PROJECT_INPUTS!$C$22)^(06_CONSTRUCTION!U4-02_PROJECT_INPUTS!$C$11)</f>
        <v>1.52161826117708</v>
      </c>
      <c r="V21" s="40" t="n">
        <f aca="false">(1+02_PROJECT_INPUTS!$C$22)^(06_CONSTRUCTION!V4-02_PROJECT_INPUTS!$C$11)</f>
        <v>1.5596587177065</v>
      </c>
      <c r="W21" s="40" t="n">
        <f aca="false">(1+02_PROJECT_INPUTS!$C$22)^(06_CONSTRUCTION!W4-02_PROJECT_INPUTS!$C$11)</f>
        <v>1.59865018564917</v>
      </c>
      <c r="X21" s="40" t="n">
        <f aca="false">(1+02_PROJECT_INPUTS!$C$22)^(06_CONSTRUCTION!X4-02_PROJECT_INPUTS!$C$11)</f>
        <v>1.63861644029039</v>
      </c>
      <c r="Y21" s="40" t="n">
        <f aca="false">(1+02_PROJECT_INPUTS!$C$22)^(06_CONSTRUCTION!Y4-02_PROJECT_INPUTS!$C$11)</f>
        <v>1.67958185129765</v>
      </c>
      <c r="Z21" s="40" t="n">
        <f aca="false">(1+02_PROJECT_INPUTS!$C$22)^(06_CONSTRUCTION!Z4-02_PROJECT_INPUTS!$C$11)</f>
        <v>1.7215713975801</v>
      </c>
      <c r="AA21" s="40" t="n">
        <f aca="false">(1+02_PROJECT_INPUTS!$C$22)^(06_CONSTRUCTION!AA4-02_PROJECT_INPUTS!$C$11)</f>
        <v>1.7646106825196</v>
      </c>
      <c r="AB21" s="40" t="n">
        <f aca="false">(1+02_PROJECT_INPUTS!$C$22)^(06_CONSTRUCTION!AB4-02_PROJECT_INPUTS!$C$11)</f>
        <v>1.80872594958259</v>
      </c>
      <c r="AC21" s="40" t="n">
        <f aca="false">(1+02_PROJECT_INPUTS!$C$22)^(06_CONSTRUCTION!AC4-02_PROJECT_INPUTS!$C$11)</f>
        <v>1.85394409832215</v>
      </c>
      <c r="AD21" s="40" t="n">
        <f aca="false">(1+02_PROJECT_INPUTS!$C$22)^(06_CONSTRUCTION!AD4-02_PROJECT_INPUTS!$C$11)</f>
        <v>1.90029270078021</v>
      </c>
      <c r="AE21" s="40" t="n">
        <f aca="false">(1+02_PROJECT_INPUTS!$C$22)^(06_CONSTRUCTION!AE4-02_PROJECT_INPUTS!$C$11)</f>
        <v>1.94780001829971</v>
      </c>
      <c r="AF21" s="40" t="n">
        <f aca="false">(1+02_PROJECT_INPUTS!$C$22)^(06_CONSTRUCTION!AF4-02_PROJECT_INPUTS!$C$11)</f>
        <v>1.9964950187572</v>
      </c>
      <c r="AG21" s="40" t="n">
        <f aca="false">(1+02_PROJECT_INPUTS!$C$22)^(06_CONSTRUCTION!AG4-02_PROJECT_INPUTS!$C$11)</f>
        <v>2.04640739422613</v>
      </c>
      <c r="AH21" s="40" t="n">
        <f aca="false">(1+02_PROJECT_INPUTS!$C$22)^(06_CONSTRUCTION!AH4-02_PROJECT_INPUTS!$C$11)</f>
        <v>2.09756757908179</v>
      </c>
      <c r="AI21" s="40" t="n">
        <f aca="false">(1+02_PROJECT_INPUTS!$C$22)^(06_CONSTRUCTION!AI4-02_PROJECT_INPUTS!$C$11)</f>
        <v>2.15000676855883</v>
      </c>
      <c r="AJ21" s="40" t="n">
        <f aca="false">(1+02_PROJECT_INPUTS!$C$22)^(06_CONSTRUCTION!AJ4-02_PROJECT_INPUTS!$C$11)</f>
        <v>2.2037569377728</v>
      </c>
      <c r="AK21" s="40" t="n">
        <f aca="false">(1+02_PROJECT_INPUTS!$C$22)^(06_CONSTRUCTION!AK4-02_PROJECT_INPUTS!$C$11)</f>
        <v>2.25885086121712</v>
      </c>
      <c r="AL21" s="40" t="n">
        <f aca="false">(1+02_PROJECT_INPUTS!$C$22)^(06_CONSTRUCTION!AL4-02_PROJECT_INPUTS!$C$11)</f>
        <v>2.31532213274755</v>
      </c>
      <c r="AM21" s="40" t="n">
        <f aca="false">(1+02_PROJECT_INPUTS!$C$22)^(06_CONSTRUCTION!AM4-02_PROJECT_INPUTS!$C$11)</f>
        <v>2.37320518606624</v>
      </c>
      <c r="AN21" s="40" t="n">
        <f aca="false">(1+02_PROJECT_INPUTS!$C$22)^(06_CONSTRUCTION!AN4-02_PROJECT_INPUTS!$C$11)</f>
        <v>2.43253531571789</v>
      </c>
      <c r="AO21" s="40" t="n">
        <f aca="false">(1+02_PROJECT_INPUTS!$C$22)^(06_CONSTRUCTION!AO4-02_PROJECT_INPUTS!$C$11)</f>
        <v>2.49334869861084</v>
      </c>
      <c r="AP21" s="40" t="n">
        <f aca="false">(1+02_PROJECT_INPUTS!$C$22)^(06_CONSTRUCTION!AP4-02_PROJECT_INPUTS!$C$11)</f>
        <v>2.55568241607611</v>
      </c>
      <c r="AQ21" s="40" t="n">
        <f aca="false">(1+02_PROJECT_INPUTS!$C$22)^(06_CONSTRUCTION!AQ4-02_PROJECT_INPUTS!$C$11)</f>
        <v>2.61957447647801</v>
      </c>
      <c r="AR21" s="40" t="n">
        <f aca="false">(1+02_PROJECT_INPUTS!$C$22)^(06_CONSTRUCTION!AR4-02_PROJECT_INPUTS!$C$11)</f>
        <v>2.68506383838996</v>
      </c>
    </row>
    <row r="22" customFormat="false" ht="15" hidden="false" customHeight="false" outlineLevel="0" collapsed="false">
      <c r="A22" s="6" t="s">
        <v>258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</row>
    <row r="23" customFormat="false" ht="15" hidden="false" customHeight="false" outlineLevel="0" collapsed="false">
      <c r="A23" s="8" t="s">
        <v>259</v>
      </c>
      <c r="B23" s="8" t="s">
        <v>56</v>
      </c>
      <c r="C23" s="42" t="n">
        <f aca="false">SUM(06_CONSTRUCTION!$E$23:$AR$23)</f>
        <v>1</v>
      </c>
      <c r="E23" s="42" t="n">
        <f aca="false">IF(06_CONSTRUCTION!E13=1,SIN(PI()*(1-0.5)/06_CONSTRUCTION!$C$7)*SIN(PI()/(2*06_CONSTRUCTION!$C$7)),0)</f>
        <v>0.0954915028125263</v>
      </c>
      <c r="F23" s="42" t="n">
        <f aca="false">IF(06_CONSTRUCTION!F13=1,SIN(PI()*(2-0.5)/06_CONSTRUCTION!$C$7)*SIN(PI()/(2*06_CONSTRUCTION!$C$7)),0)</f>
        <v>0.25</v>
      </c>
      <c r="G23" s="42" t="n">
        <f aca="false">IF(06_CONSTRUCTION!G13=1,SIN(PI()*(3-0.5)/06_CONSTRUCTION!$C$7)*SIN(PI()/(2*06_CONSTRUCTION!$C$7)),0)</f>
        <v>0.309016994374947</v>
      </c>
      <c r="H23" s="42" t="n">
        <f aca="false">IF(06_CONSTRUCTION!H13=1,SIN(PI()*(4-0.5)/06_CONSTRUCTION!$C$7)*SIN(PI()/(2*06_CONSTRUCTION!$C$7)),0)</f>
        <v>0.25</v>
      </c>
      <c r="I23" s="42" t="n">
        <f aca="false">IF(06_CONSTRUCTION!I13=1,SIN(PI()*(5-0.5)/06_CONSTRUCTION!$C$7)*SIN(PI()/(2*06_CONSTRUCTION!$C$7)),0)</f>
        <v>0.0954915028125263</v>
      </c>
      <c r="J23" s="42" t="n">
        <f aca="false">IF(06_CONSTRUCTION!J13=1,SIN(PI()*(6-0.5)/06_CONSTRUCTION!$C$7)*SIN(PI()/(2*06_CONSTRUCTION!$C$7)),0)</f>
        <v>0</v>
      </c>
      <c r="K23" s="42" t="n">
        <f aca="false">IF(06_CONSTRUCTION!K13=1,SIN(PI()*(7-0.5)/06_CONSTRUCTION!$C$7)*SIN(PI()/(2*06_CONSTRUCTION!$C$7)),0)</f>
        <v>0</v>
      </c>
      <c r="L23" s="42" t="n">
        <f aca="false">IF(06_CONSTRUCTION!L13=1,SIN(PI()*(8-0.5)/06_CONSTRUCTION!$C$7)*SIN(PI()/(2*06_CONSTRUCTION!$C$7)),0)</f>
        <v>0</v>
      </c>
      <c r="M23" s="42" t="n">
        <f aca="false">IF(06_CONSTRUCTION!M13=1,SIN(PI()*(9-0.5)/06_CONSTRUCTION!$C$7)*SIN(PI()/(2*06_CONSTRUCTION!$C$7)),0)</f>
        <v>0</v>
      </c>
      <c r="N23" s="42" t="n">
        <f aca="false">IF(06_CONSTRUCTION!N13=1,SIN(PI()*(10-0.5)/06_CONSTRUCTION!$C$7)*SIN(PI()/(2*06_CONSTRUCTION!$C$7)),0)</f>
        <v>0</v>
      </c>
      <c r="O23" s="42" t="n">
        <f aca="false">IF(06_CONSTRUCTION!O13=1,SIN(PI()*(11-0.5)/06_CONSTRUCTION!$C$7)*SIN(PI()/(2*06_CONSTRUCTION!$C$7)),0)</f>
        <v>0</v>
      </c>
      <c r="P23" s="42" t="n">
        <f aca="false">IF(06_CONSTRUCTION!P13=1,SIN(PI()*(12-0.5)/06_CONSTRUCTION!$C$7)*SIN(PI()/(2*06_CONSTRUCTION!$C$7)),0)</f>
        <v>0</v>
      </c>
      <c r="Q23" s="42" t="n">
        <f aca="false">IF(06_CONSTRUCTION!Q13=1,SIN(PI()*(13-0.5)/06_CONSTRUCTION!$C$7)*SIN(PI()/(2*06_CONSTRUCTION!$C$7)),0)</f>
        <v>0</v>
      </c>
      <c r="R23" s="42" t="n">
        <f aca="false">IF(06_CONSTRUCTION!R13=1,SIN(PI()*(14-0.5)/06_CONSTRUCTION!$C$7)*SIN(PI()/(2*06_CONSTRUCTION!$C$7)),0)</f>
        <v>0</v>
      </c>
      <c r="S23" s="42" t="n">
        <f aca="false">IF(06_CONSTRUCTION!S13=1,SIN(PI()*(15-0.5)/06_CONSTRUCTION!$C$7)*SIN(PI()/(2*06_CONSTRUCTION!$C$7)),0)</f>
        <v>0</v>
      </c>
      <c r="T23" s="42" t="n">
        <f aca="false">IF(06_CONSTRUCTION!T13=1,SIN(PI()*(16-0.5)/06_CONSTRUCTION!$C$7)*SIN(PI()/(2*06_CONSTRUCTION!$C$7)),0)</f>
        <v>0</v>
      </c>
      <c r="U23" s="42" t="n">
        <f aca="false">IF(06_CONSTRUCTION!U13=1,SIN(PI()*(17-0.5)/06_CONSTRUCTION!$C$7)*SIN(PI()/(2*06_CONSTRUCTION!$C$7)),0)</f>
        <v>0</v>
      </c>
      <c r="V23" s="42" t="n">
        <f aca="false">IF(06_CONSTRUCTION!V13=1,SIN(PI()*(18-0.5)/06_CONSTRUCTION!$C$7)*SIN(PI()/(2*06_CONSTRUCTION!$C$7)),0)</f>
        <v>0</v>
      </c>
      <c r="W23" s="42" t="n">
        <f aca="false">IF(06_CONSTRUCTION!W13=1,SIN(PI()*(19-0.5)/06_CONSTRUCTION!$C$7)*SIN(PI()/(2*06_CONSTRUCTION!$C$7)),0)</f>
        <v>0</v>
      </c>
      <c r="X23" s="42" t="n">
        <f aca="false">IF(06_CONSTRUCTION!X13=1,SIN(PI()*(20-0.5)/06_CONSTRUCTION!$C$7)*SIN(PI()/(2*06_CONSTRUCTION!$C$7)),0)</f>
        <v>0</v>
      </c>
      <c r="Y23" s="42" t="n">
        <f aca="false">IF(06_CONSTRUCTION!Y13=1,SIN(PI()*(21-0.5)/06_CONSTRUCTION!$C$7)*SIN(PI()/(2*06_CONSTRUCTION!$C$7)),0)</f>
        <v>0</v>
      </c>
      <c r="Z23" s="42" t="n">
        <f aca="false">IF(06_CONSTRUCTION!Z13=1,SIN(PI()*(22-0.5)/06_CONSTRUCTION!$C$7)*SIN(PI()/(2*06_CONSTRUCTION!$C$7)),0)</f>
        <v>0</v>
      </c>
      <c r="AA23" s="42" t="n">
        <f aca="false">IF(06_CONSTRUCTION!AA13=1,SIN(PI()*(23-0.5)/06_CONSTRUCTION!$C$7)*SIN(PI()/(2*06_CONSTRUCTION!$C$7)),0)</f>
        <v>0</v>
      </c>
      <c r="AB23" s="42" t="n">
        <f aca="false">IF(06_CONSTRUCTION!AB13=1,SIN(PI()*(24-0.5)/06_CONSTRUCTION!$C$7)*SIN(PI()/(2*06_CONSTRUCTION!$C$7)),0)</f>
        <v>0</v>
      </c>
      <c r="AC23" s="42" t="n">
        <f aca="false">IF(06_CONSTRUCTION!AC13=1,SIN(PI()*(25-0.5)/06_CONSTRUCTION!$C$7)*SIN(PI()/(2*06_CONSTRUCTION!$C$7)),0)</f>
        <v>0</v>
      </c>
      <c r="AD23" s="42" t="n">
        <f aca="false">IF(06_CONSTRUCTION!AD13=1,SIN(PI()*(26-0.5)/06_CONSTRUCTION!$C$7)*SIN(PI()/(2*06_CONSTRUCTION!$C$7)),0)</f>
        <v>0</v>
      </c>
      <c r="AE23" s="42" t="n">
        <f aca="false">IF(06_CONSTRUCTION!AE13=1,SIN(PI()*(27-0.5)/06_CONSTRUCTION!$C$7)*SIN(PI()/(2*06_CONSTRUCTION!$C$7)),0)</f>
        <v>0</v>
      </c>
      <c r="AF23" s="42" t="n">
        <f aca="false">IF(06_CONSTRUCTION!AF13=1,SIN(PI()*(28-0.5)/06_CONSTRUCTION!$C$7)*SIN(PI()/(2*06_CONSTRUCTION!$C$7)),0)</f>
        <v>0</v>
      </c>
      <c r="AG23" s="42" t="n">
        <f aca="false">IF(06_CONSTRUCTION!AG13=1,SIN(PI()*(29-0.5)/06_CONSTRUCTION!$C$7)*SIN(PI()/(2*06_CONSTRUCTION!$C$7)),0)</f>
        <v>0</v>
      </c>
      <c r="AH23" s="42" t="n">
        <f aca="false">IF(06_CONSTRUCTION!AH13=1,SIN(PI()*(30-0.5)/06_CONSTRUCTION!$C$7)*SIN(PI()/(2*06_CONSTRUCTION!$C$7)),0)</f>
        <v>0</v>
      </c>
      <c r="AI23" s="42" t="n">
        <f aca="false">IF(06_CONSTRUCTION!AI13=1,SIN(PI()*(31-0.5)/06_CONSTRUCTION!$C$7)*SIN(PI()/(2*06_CONSTRUCTION!$C$7)),0)</f>
        <v>0</v>
      </c>
      <c r="AJ23" s="42" t="n">
        <f aca="false">IF(06_CONSTRUCTION!AJ13=1,SIN(PI()*(32-0.5)/06_CONSTRUCTION!$C$7)*SIN(PI()/(2*06_CONSTRUCTION!$C$7)),0)</f>
        <v>0</v>
      </c>
      <c r="AK23" s="42" t="n">
        <f aca="false">IF(06_CONSTRUCTION!AK13=1,SIN(PI()*(33-0.5)/06_CONSTRUCTION!$C$7)*SIN(PI()/(2*06_CONSTRUCTION!$C$7)),0)</f>
        <v>0</v>
      </c>
      <c r="AL23" s="42" t="n">
        <f aca="false">IF(06_CONSTRUCTION!AL13=1,SIN(PI()*(34-0.5)/06_CONSTRUCTION!$C$7)*SIN(PI()/(2*06_CONSTRUCTION!$C$7)),0)</f>
        <v>0</v>
      </c>
      <c r="AM23" s="42" t="n">
        <f aca="false">IF(06_CONSTRUCTION!AM13=1,SIN(PI()*(35-0.5)/06_CONSTRUCTION!$C$7)*SIN(PI()/(2*06_CONSTRUCTION!$C$7)),0)</f>
        <v>0</v>
      </c>
      <c r="AN23" s="42" t="n">
        <f aca="false">IF(06_CONSTRUCTION!AN13=1,SIN(PI()*(36-0.5)/06_CONSTRUCTION!$C$7)*SIN(PI()/(2*06_CONSTRUCTION!$C$7)),0)</f>
        <v>0</v>
      </c>
      <c r="AO23" s="42" t="n">
        <f aca="false">IF(06_CONSTRUCTION!AO13=1,SIN(PI()*(37-0.5)/06_CONSTRUCTION!$C$7)*SIN(PI()/(2*06_CONSTRUCTION!$C$7)),0)</f>
        <v>0</v>
      </c>
      <c r="AP23" s="42" t="n">
        <f aca="false">IF(06_CONSTRUCTION!AP13=1,SIN(PI()*(38-0.5)/06_CONSTRUCTION!$C$7)*SIN(PI()/(2*06_CONSTRUCTION!$C$7)),0)</f>
        <v>0</v>
      </c>
      <c r="AQ23" s="42" t="n">
        <f aca="false">IF(06_CONSTRUCTION!AQ13=1,SIN(PI()*(39-0.5)/06_CONSTRUCTION!$C$7)*SIN(PI()/(2*06_CONSTRUCTION!$C$7)),0)</f>
        <v>0</v>
      </c>
      <c r="AR23" s="42" t="n">
        <f aca="false">IF(06_CONSTRUCTION!AR13=1,SIN(PI()*(40-0.5)/06_CONSTRUCTION!$C$7)*SIN(PI()/(2*06_CONSTRUCTION!$C$7)),0)</f>
        <v>0</v>
      </c>
    </row>
    <row r="24" customFormat="false" ht="15" hidden="false" customHeight="false" outlineLevel="0" collapsed="false">
      <c r="A24" s="8" t="s">
        <v>260</v>
      </c>
      <c r="B24" s="8" t="s">
        <v>56</v>
      </c>
      <c r="E24" s="42" t="n">
        <f aca="false">06_CONSTRUCTION!D24+06_CONSTRUCTION!E23</f>
        <v>0.0954915028125263</v>
      </c>
      <c r="F24" s="42" t="n">
        <f aca="false">06_CONSTRUCTION!E24+06_CONSTRUCTION!F23</f>
        <v>0.345491502812526</v>
      </c>
      <c r="G24" s="42" t="n">
        <f aca="false">06_CONSTRUCTION!F24+06_CONSTRUCTION!G23</f>
        <v>0.654508497187474</v>
      </c>
      <c r="H24" s="42" t="n">
        <f aca="false">06_CONSTRUCTION!G24+06_CONSTRUCTION!H23</f>
        <v>0.904508497187474</v>
      </c>
      <c r="I24" s="42" t="n">
        <f aca="false">06_CONSTRUCTION!H24+06_CONSTRUCTION!I23</f>
        <v>1</v>
      </c>
      <c r="J24" s="42" t="n">
        <f aca="false">06_CONSTRUCTION!I24+06_CONSTRUCTION!J23</f>
        <v>1</v>
      </c>
      <c r="K24" s="42" t="n">
        <f aca="false">06_CONSTRUCTION!J24+06_CONSTRUCTION!K23</f>
        <v>1</v>
      </c>
      <c r="L24" s="42" t="n">
        <f aca="false">06_CONSTRUCTION!K24+06_CONSTRUCTION!L23</f>
        <v>1</v>
      </c>
      <c r="M24" s="42" t="n">
        <f aca="false">06_CONSTRUCTION!L24+06_CONSTRUCTION!M23</f>
        <v>1</v>
      </c>
      <c r="N24" s="42" t="n">
        <f aca="false">06_CONSTRUCTION!M24+06_CONSTRUCTION!N23</f>
        <v>1</v>
      </c>
      <c r="O24" s="42" t="n">
        <f aca="false">06_CONSTRUCTION!N24+06_CONSTRUCTION!O23</f>
        <v>1</v>
      </c>
      <c r="P24" s="42" t="n">
        <f aca="false">06_CONSTRUCTION!O24+06_CONSTRUCTION!P23</f>
        <v>1</v>
      </c>
      <c r="Q24" s="42" t="n">
        <f aca="false">06_CONSTRUCTION!P24+06_CONSTRUCTION!Q23</f>
        <v>1</v>
      </c>
      <c r="R24" s="42" t="n">
        <f aca="false">06_CONSTRUCTION!Q24+06_CONSTRUCTION!R23</f>
        <v>1</v>
      </c>
      <c r="S24" s="42" t="n">
        <f aca="false">06_CONSTRUCTION!R24+06_CONSTRUCTION!S23</f>
        <v>1</v>
      </c>
      <c r="T24" s="42" t="n">
        <f aca="false">06_CONSTRUCTION!S24+06_CONSTRUCTION!T23</f>
        <v>1</v>
      </c>
      <c r="U24" s="42" t="n">
        <f aca="false">06_CONSTRUCTION!T24+06_CONSTRUCTION!U23</f>
        <v>1</v>
      </c>
      <c r="V24" s="42" t="n">
        <f aca="false">06_CONSTRUCTION!U24+06_CONSTRUCTION!V23</f>
        <v>1</v>
      </c>
      <c r="W24" s="42" t="n">
        <f aca="false">06_CONSTRUCTION!V24+06_CONSTRUCTION!W23</f>
        <v>1</v>
      </c>
      <c r="X24" s="42" t="n">
        <f aca="false">06_CONSTRUCTION!W24+06_CONSTRUCTION!X23</f>
        <v>1</v>
      </c>
      <c r="Y24" s="42" t="n">
        <f aca="false">06_CONSTRUCTION!X24+06_CONSTRUCTION!Y23</f>
        <v>1</v>
      </c>
      <c r="Z24" s="42" t="n">
        <f aca="false">06_CONSTRUCTION!Y24+06_CONSTRUCTION!Z23</f>
        <v>1</v>
      </c>
      <c r="AA24" s="42" t="n">
        <f aca="false">06_CONSTRUCTION!Z24+06_CONSTRUCTION!AA23</f>
        <v>1</v>
      </c>
      <c r="AB24" s="42" t="n">
        <f aca="false">06_CONSTRUCTION!AA24+06_CONSTRUCTION!AB23</f>
        <v>1</v>
      </c>
      <c r="AC24" s="42" t="n">
        <f aca="false">06_CONSTRUCTION!AB24+06_CONSTRUCTION!AC23</f>
        <v>1</v>
      </c>
      <c r="AD24" s="42" t="n">
        <f aca="false">06_CONSTRUCTION!AC24+06_CONSTRUCTION!AD23</f>
        <v>1</v>
      </c>
      <c r="AE24" s="42" t="n">
        <f aca="false">06_CONSTRUCTION!AD24+06_CONSTRUCTION!AE23</f>
        <v>1</v>
      </c>
      <c r="AF24" s="42" t="n">
        <f aca="false">06_CONSTRUCTION!AE24+06_CONSTRUCTION!AF23</f>
        <v>1</v>
      </c>
      <c r="AG24" s="42" t="n">
        <f aca="false">06_CONSTRUCTION!AF24+06_CONSTRUCTION!AG23</f>
        <v>1</v>
      </c>
      <c r="AH24" s="42" t="n">
        <f aca="false">06_CONSTRUCTION!AG24+06_CONSTRUCTION!AH23</f>
        <v>1</v>
      </c>
      <c r="AI24" s="42" t="n">
        <f aca="false">06_CONSTRUCTION!AH24+06_CONSTRUCTION!AI23</f>
        <v>1</v>
      </c>
      <c r="AJ24" s="42" t="n">
        <f aca="false">06_CONSTRUCTION!AI24+06_CONSTRUCTION!AJ23</f>
        <v>1</v>
      </c>
      <c r="AK24" s="42" t="n">
        <f aca="false">06_CONSTRUCTION!AJ24+06_CONSTRUCTION!AK23</f>
        <v>1</v>
      </c>
      <c r="AL24" s="42" t="n">
        <f aca="false">06_CONSTRUCTION!AK24+06_CONSTRUCTION!AL23</f>
        <v>1</v>
      </c>
      <c r="AM24" s="42" t="n">
        <f aca="false">06_CONSTRUCTION!AL24+06_CONSTRUCTION!AM23</f>
        <v>1</v>
      </c>
      <c r="AN24" s="42" t="n">
        <f aca="false">06_CONSTRUCTION!AM24+06_CONSTRUCTION!AN23</f>
        <v>1</v>
      </c>
      <c r="AO24" s="42" t="n">
        <f aca="false">06_CONSTRUCTION!AN24+06_CONSTRUCTION!AO23</f>
        <v>1</v>
      </c>
      <c r="AP24" s="42" t="n">
        <f aca="false">06_CONSTRUCTION!AO24+06_CONSTRUCTION!AP23</f>
        <v>1</v>
      </c>
      <c r="AQ24" s="42" t="n">
        <f aca="false">06_CONSTRUCTION!AP24+06_CONSTRUCTION!AQ23</f>
        <v>1</v>
      </c>
      <c r="AR24" s="42" t="n">
        <f aca="false">06_CONSTRUCTION!AQ24+06_CONSTRUCTION!AR23</f>
        <v>1</v>
      </c>
    </row>
    <row r="25" customFormat="false" ht="15" hidden="false" customHeight="false" outlineLevel="0" collapsed="false">
      <c r="A25" s="4" t="s">
        <v>261</v>
      </c>
      <c r="B25" s="8" t="s">
        <v>84</v>
      </c>
      <c r="C25" s="34" t="n">
        <f aca="false">SUM(06_CONSTRUCTION!$E$25:$AR$25)</f>
        <v>1110.05572917934</v>
      </c>
      <c r="E25" s="50" t="n">
        <f aca="false">06_CONSTRUCTION!$C$9*06_CONSTRUCTION!E23*06_CONSTRUCTION!E21</f>
        <v>100.854305610478</v>
      </c>
      <c r="F25" s="50" t="n">
        <f aca="false">06_CONSTRUCTION!$C$9*06_CONSTRUCTION!F23*06_CONSTRUCTION!F21</f>
        <v>270.641</v>
      </c>
      <c r="G25" s="50" t="n">
        <f aca="false">06_CONSTRUCTION!$C$9*06_CONSTRUCTION!G23*06_CONSTRUCTION!G21</f>
        <v>342.893940335984</v>
      </c>
      <c r="H25" s="50" t="n">
        <f aca="false">06_CONSTRUCTION!$C$9*06_CONSTRUCTION!H23*06_CONSTRUCTION!H21</f>
        <v>284.342200625</v>
      </c>
      <c r="I25" s="50" t="n">
        <f aca="false">06_CONSTRUCTION!$C$9*06_CONSTRUCTION!I23*06_CONSTRUCTION!I21</f>
        <v>111.324282607879</v>
      </c>
      <c r="J25" s="50" t="n">
        <f aca="false">06_CONSTRUCTION!$C$9*06_CONSTRUCTION!J23*06_CONSTRUCTION!J21</f>
        <v>0</v>
      </c>
      <c r="K25" s="50" t="n">
        <f aca="false">06_CONSTRUCTION!$C$9*06_CONSTRUCTION!K23*06_CONSTRUCTION!K21</f>
        <v>0</v>
      </c>
      <c r="L25" s="50" t="n">
        <f aca="false">06_CONSTRUCTION!$C$9*06_CONSTRUCTION!L23*06_CONSTRUCTION!L21</f>
        <v>0</v>
      </c>
      <c r="M25" s="50" t="n">
        <f aca="false">06_CONSTRUCTION!$C$9*06_CONSTRUCTION!M23*06_CONSTRUCTION!M21</f>
        <v>0</v>
      </c>
      <c r="N25" s="50" t="n">
        <f aca="false">06_CONSTRUCTION!$C$9*06_CONSTRUCTION!N23*06_CONSTRUCTION!N21</f>
        <v>0</v>
      </c>
      <c r="O25" s="50" t="n">
        <f aca="false">06_CONSTRUCTION!$C$9*06_CONSTRUCTION!O23*06_CONSTRUCTION!O21</f>
        <v>0</v>
      </c>
      <c r="P25" s="50" t="n">
        <f aca="false">06_CONSTRUCTION!$C$9*06_CONSTRUCTION!P23*06_CONSTRUCTION!P21</f>
        <v>0</v>
      </c>
      <c r="Q25" s="50" t="n">
        <f aca="false">06_CONSTRUCTION!$C$9*06_CONSTRUCTION!Q23*06_CONSTRUCTION!Q21</f>
        <v>0</v>
      </c>
      <c r="R25" s="50" t="n">
        <f aca="false">06_CONSTRUCTION!$C$9*06_CONSTRUCTION!R23*06_CONSTRUCTION!R21</f>
        <v>0</v>
      </c>
      <c r="S25" s="50" t="n">
        <f aca="false">06_CONSTRUCTION!$C$9*06_CONSTRUCTION!S23*06_CONSTRUCTION!S21</f>
        <v>0</v>
      </c>
      <c r="T25" s="50" t="n">
        <f aca="false">06_CONSTRUCTION!$C$9*06_CONSTRUCTION!T23*06_CONSTRUCTION!T21</f>
        <v>0</v>
      </c>
      <c r="U25" s="50" t="n">
        <f aca="false">06_CONSTRUCTION!$C$9*06_CONSTRUCTION!U23*06_CONSTRUCTION!U21</f>
        <v>0</v>
      </c>
      <c r="V25" s="50" t="n">
        <f aca="false">06_CONSTRUCTION!$C$9*06_CONSTRUCTION!V23*06_CONSTRUCTION!V21</f>
        <v>0</v>
      </c>
      <c r="W25" s="50" t="n">
        <f aca="false">06_CONSTRUCTION!$C$9*06_CONSTRUCTION!W23*06_CONSTRUCTION!W21</f>
        <v>0</v>
      </c>
      <c r="X25" s="50" t="n">
        <f aca="false">06_CONSTRUCTION!$C$9*06_CONSTRUCTION!X23*06_CONSTRUCTION!X21</f>
        <v>0</v>
      </c>
      <c r="Y25" s="50" t="n">
        <f aca="false">06_CONSTRUCTION!$C$9*06_CONSTRUCTION!Y23*06_CONSTRUCTION!Y21</f>
        <v>0</v>
      </c>
      <c r="Z25" s="50" t="n">
        <f aca="false">06_CONSTRUCTION!$C$9*06_CONSTRUCTION!Z23*06_CONSTRUCTION!Z21</f>
        <v>0</v>
      </c>
      <c r="AA25" s="50" t="n">
        <f aca="false">06_CONSTRUCTION!$C$9*06_CONSTRUCTION!AA23*06_CONSTRUCTION!AA21</f>
        <v>0</v>
      </c>
      <c r="AB25" s="50" t="n">
        <f aca="false">06_CONSTRUCTION!$C$9*06_CONSTRUCTION!AB23*06_CONSTRUCTION!AB21</f>
        <v>0</v>
      </c>
      <c r="AC25" s="50" t="n">
        <f aca="false">06_CONSTRUCTION!$C$9*06_CONSTRUCTION!AC23*06_CONSTRUCTION!AC21</f>
        <v>0</v>
      </c>
      <c r="AD25" s="50" t="n">
        <f aca="false">06_CONSTRUCTION!$C$9*06_CONSTRUCTION!AD23*06_CONSTRUCTION!AD21</f>
        <v>0</v>
      </c>
      <c r="AE25" s="50" t="n">
        <f aca="false">06_CONSTRUCTION!$C$9*06_CONSTRUCTION!AE23*06_CONSTRUCTION!AE21</f>
        <v>0</v>
      </c>
      <c r="AF25" s="50" t="n">
        <f aca="false">06_CONSTRUCTION!$C$9*06_CONSTRUCTION!AF23*06_CONSTRUCTION!AF21</f>
        <v>0</v>
      </c>
      <c r="AG25" s="50" t="n">
        <f aca="false">06_CONSTRUCTION!$C$9*06_CONSTRUCTION!AG23*06_CONSTRUCTION!AG21</f>
        <v>0</v>
      </c>
      <c r="AH25" s="50" t="n">
        <f aca="false">06_CONSTRUCTION!$C$9*06_CONSTRUCTION!AH23*06_CONSTRUCTION!AH21</f>
        <v>0</v>
      </c>
      <c r="AI25" s="50" t="n">
        <f aca="false">06_CONSTRUCTION!$C$9*06_CONSTRUCTION!AI23*06_CONSTRUCTION!AI21</f>
        <v>0</v>
      </c>
      <c r="AJ25" s="50" t="n">
        <f aca="false">06_CONSTRUCTION!$C$9*06_CONSTRUCTION!AJ23*06_CONSTRUCTION!AJ21</f>
        <v>0</v>
      </c>
      <c r="AK25" s="50" t="n">
        <f aca="false">06_CONSTRUCTION!$C$9*06_CONSTRUCTION!AK23*06_CONSTRUCTION!AK21</f>
        <v>0</v>
      </c>
      <c r="AL25" s="50" t="n">
        <f aca="false">06_CONSTRUCTION!$C$9*06_CONSTRUCTION!AL23*06_CONSTRUCTION!AL21</f>
        <v>0</v>
      </c>
      <c r="AM25" s="50" t="n">
        <f aca="false">06_CONSTRUCTION!$C$9*06_CONSTRUCTION!AM23*06_CONSTRUCTION!AM21</f>
        <v>0</v>
      </c>
      <c r="AN25" s="50" t="n">
        <f aca="false">06_CONSTRUCTION!$C$9*06_CONSTRUCTION!AN23*06_CONSTRUCTION!AN21</f>
        <v>0</v>
      </c>
      <c r="AO25" s="50" t="n">
        <f aca="false">06_CONSTRUCTION!$C$9*06_CONSTRUCTION!AO23*06_CONSTRUCTION!AO21</f>
        <v>0</v>
      </c>
      <c r="AP25" s="50" t="n">
        <f aca="false">06_CONSTRUCTION!$C$9*06_CONSTRUCTION!AP23*06_CONSTRUCTION!AP21</f>
        <v>0</v>
      </c>
      <c r="AQ25" s="50" t="n">
        <f aca="false">06_CONSTRUCTION!$C$9*06_CONSTRUCTION!AQ23*06_CONSTRUCTION!AQ21</f>
        <v>0</v>
      </c>
      <c r="AR25" s="50" t="n">
        <f aca="false">06_CONSTRUCTION!$C$9*06_CONSTRUCTION!AR23*06_CONSTRUCTION!AR21</f>
        <v>0</v>
      </c>
    </row>
    <row r="27" customFormat="false" ht="15" hidden="false" customHeight="false" outlineLevel="0" collapsed="false">
      <c r="A27" s="10" t="s">
        <v>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263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264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265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266</v>
      </c>
      <c r="B7" s="8" t="s">
        <v>267</v>
      </c>
      <c r="C7" s="22" t="n">
        <v>14</v>
      </c>
      <c r="D7" s="10" t="s">
        <v>268</v>
      </c>
    </row>
    <row r="8" customFormat="false" ht="15" hidden="false" customHeight="false" outlineLevel="0" collapsed="false">
      <c r="A8" s="8" t="s">
        <v>269</v>
      </c>
      <c r="B8" s="8" t="s">
        <v>270</v>
      </c>
      <c r="C8" s="24" t="n">
        <v>1</v>
      </c>
    </row>
    <row r="9" customFormat="false" ht="15" hidden="false" customHeight="false" outlineLevel="0" collapsed="false">
      <c r="A9" s="8" t="s">
        <v>271</v>
      </c>
      <c r="B9" s="8" t="s">
        <v>272</v>
      </c>
      <c r="C9" s="13" t="n">
        <v>0.0035</v>
      </c>
    </row>
    <row r="10" customFormat="false" ht="15" hidden="false" customHeight="false" outlineLevel="0" collapsed="false">
      <c r="A10" s="8" t="s">
        <v>273</v>
      </c>
      <c r="B10" s="8" t="s">
        <v>272</v>
      </c>
      <c r="C10" s="13" t="n">
        <v>0.0025</v>
      </c>
    </row>
    <row r="11" customFormat="false" ht="15" hidden="false" customHeight="false" outlineLevel="0" collapsed="false">
      <c r="A11" s="8" t="s">
        <v>274</v>
      </c>
      <c r="B11" s="8" t="s">
        <v>267</v>
      </c>
      <c r="C11" s="43" t="n">
        <v>3</v>
      </c>
    </row>
    <row r="12" customFormat="false" ht="15" hidden="false" customHeight="false" outlineLevel="0" collapsed="false">
      <c r="A12" s="8" t="s">
        <v>275</v>
      </c>
      <c r="B12" s="8" t="s">
        <v>270</v>
      </c>
      <c r="C12" s="51" t="n">
        <v>2.5</v>
      </c>
      <c r="D12" s="10" t="s">
        <v>276</v>
      </c>
    </row>
    <row r="13" customFormat="false" ht="15" hidden="false" customHeight="false" outlineLevel="0" collapsed="false">
      <c r="A13" s="6" t="s">
        <v>277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</row>
    <row r="14" customFormat="false" ht="15" hidden="false" customHeight="false" outlineLevel="0" collapsed="false">
      <c r="A14" s="8" t="s">
        <v>278</v>
      </c>
      <c r="B14" s="8" t="s">
        <v>84</v>
      </c>
      <c r="C14" s="34" t="n">
        <f aca="false">SUM(07_OPEX!$E$14:$AR$14)</f>
        <v>639.607447116193</v>
      </c>
      <c r="E14" s="34" t="n">
        <f aca="false">06_CONSTRUCTION!E14*07_OPEX!$C$7*27_SCENARIOS!$C$39*06_CONSTRUCTION!E17</f>
        <v>0</v>
      </c>
      <c r="F14" s="34" t="n">
        <f aca="false">06_CONSTRUCTION!F14*07_OPEX!$C$7*27_SCENARIOS!$C$39*06_CONSTRUCTION!F17</f>
        <v>0</v>
      </c>
      <c r="G14" s="34" t="n">
        <f aca="false">06_CONSTRUCTION!G14*07_OPEX!$C$7*27_SCENARIOS!$C$39*06_CONSTRUCTION!G17</f>
        <v>0</v>
      </c>
      <c r="H14" s="34" t="n">
        <f aca="false">06_CONSTRUCTION!H14*07_OPEX!$C$7*27_SCENARIOS!$C$39*06_CONSTRUCTION!H17</f>
        <v>0</v>
      </c>
      <c r="I14" s="34" t="n">
        <f aca="false">06_CONSTRUCTION!I14*07_OPEX!$C$7*27_SCENARIOS!$C$39*06_CONSTRUCTION!I17</f>
        <v>0</v>
      </c>
      <c r="J14" s="34" t="n">
        <f aca="false">06_CONSTRUCTION!J14*07_OPEX!$C$7*27_SCENARIOS!$C$39*06_CONSTRUCTION!J17</f>
        <v>15.766273869696</v>
      </c>
      <c r="K14" s="34" t="n">
        <f aca="false">06_CONSTRUCTION!K14*07_OPEX!$C$7*27_SCENARIOS!$C$39*06_CONSTRUCTION!K17</f>
        <v>16.0815993470899</v>
      </c>
      <c r="L14" s="34" t="n">
        <f aca="false">06_CONSTRUCTION!L14*07_OPEX!$C$7*27_SCENARIOS!$C$39*06_CONSTRUCTION!L17</f>
        <v>16.4032313340317</v>
      </c>
      <c r="M14" s="34" t="n">
        <f aca="false">06_CONSTRUCTION!M14*07_OPEX!$C$7*27_SCENARIOS!$C$39*06_CONSTRUCTION!M17</f>
        <v>16.7312959607124</v>
      </c>
      <c r="N14" s="34" t="n">
        <f aca="false">06_CONSTRUCTION!N14*07_OPEX!$C$7*27_SCENARIOS!$C$39*06_CONSTRUCTION!N17</f>
        <v>17.0659218799266</v>
      </c>
      <c r="O14" s="34" t="n">
        <f aca="false">06_CONSTRUCTION!O14*07_OPEX!$C$7*27_SCENARIOS!$C$39*06_CONSTRUCTION!O17</f>
        <v>17.4072403175251</v>
      </c>
      <c r="P14" s="34" t="n">
        <f aca="false">06_CONSTRUCTION!P14*07_OPEX!$C$7*27_SCENARIOS!$C$39*06_CONSTRUCTION!P17</f>
        <v>17.7553851238756</v>
      </c>
      <c r="Q14" s="34" t="n">
        <f aca="false">06_CONSTRUCTION!Q14*07_OPEX!$C$7*27_SCENARIOS!$C$39*06_CONSTRUCTION!Q17</f>
        <v>18.1104928263532</v>
      </c>
      <c r="R14" s="34" t="n">
        <f aca="false">06_CONSTRUCTION!R14*07_OPEX!$C$7*27_SCENARIOS!$C$39*06_CONSTRUCTION!R17</f>
        <v>18.4727026828802</v>
      </c>
      <c r="S14" s="34" t="n">
        <f aca="false">06_CONSTRUCTION!S14*07_OPEX!$C$7*27_SCENARIOS!$C$39*06_CONSTRUCTION!S17</f>
        <v>18.8421567365378</v>
      </c>
      <c r="T14" s="34" t="n">
        <f aca="false">06_CONSTRUCTION!T14*07_OPEX!$C$7*27_SCENARIOS!$C$39*06_CONSTRUCTION!T17</f>
        <v>19.2189998712686</v>
      </c>
      <c r="U14" s="34" t="n">
        <f aca="false">06_CONSTRUCTION!U14*07_OPEX!$C$7*27_SCENARIOS!$C$39*06_CONSTRUCTION!U17</f>
        <v>19.603379868694</v>
      </c>
      <c r="V14" s="34" t="n">
        <f aca="false">06_CONSTRUCTION!V14*07_OPEX!$C$7*27_SCENARIOS!$C$39*06_CONSTRUCTION!V17</f>
        <v>19.9954474660678</v>
      </c>
      <c r="W14" s="34" t="n">
        <f aca="false">06_CONSTRUCTION!W14*07_OPEX!$C$7*27_SCENARIOS!$C$39*06_CONSTRUCTION!W17</f>
        <v>20.3953564153892</v>
      </c>
      <c r="X14" s="34" t="n">
        <f aca="false">06_CONSTRUCTION!X14*07_OPEX!$C$7*27_SCENARIOS!$C$39*06_CONSTRUCTION!X17</f>
        <v>20.803263543697</v>
      </c>
      <c r="Y14" s="34" t="n">
        <f aca="false">06_CONSTRUCTION!Y14*07_OPEX!$C$7*27_SCENARIOS!$C$39*06_CONSTRUCTION!Y17</f>
        <v>21.2193288145709</v>
      </c>
      <c r="Z14" s="34" t="n">
        <f aca="false">06_CONSTRUCTION!Z14*07_OPEX!$C$7*27_SCENARIOS!$C$39*06_CONSTRUCTION!Z17</f>
        <v>21.6437153908623</v>
      </c>
      <c r="AA14" s="34" t="n">
        <f aca="false">06_CONSTRUCTION!AA14*07_OPEX!$C$7*27_SCENARIOS!$C$39*06_CONSTRUCTION!AA17</f>
        <v>22.0765896986796</v>
      </c>
      <c r="AB14" s="34" t="n">
        <f aca="false">06_CONSTRUCTION!AB14*07_OPEX!$C$7*27_SCENARIOS!$C$39*06_CONSTRUCTION!AB17</f>
        <v>22.5181214926532</v>
      </c>
      <c r="AC14" s="34" t="n">
        <f aca="false">06_CONSTRUCTION!AC14*07_OPEX!$C$7*27_SCENARIOS!$C$39*06_CONSTRUCTION!AC17</f>
        <v>22.9684839225062</v>
      </c>
      <c r="AD14" s="34" t="n">
        <f aca="false">06_CONSTRUCTION!AD14*07_OPEX!$C$7*27_SCENARIOS!$C$39*06_CONSTRUCTION!AD17</f>
        <v>23.4278536009564</v>
      </c>
      <c r="AE14" s="34" t="n">
        <f aca="false">06_CONSTRUCTION!AE14*07_OPEX!$C$7*27_SCENARIOS!$C$39*06_CONSTRUCTION!AE17</f>
        <v>23.8964106729755</v>
      </c>
      <c r="AF14" s="34" t="n">
        <f aca="false">06_CONSTRUCTION!AF14*07_OPEX!$C$7*27_SCENARIOS!$C$39*06_CONSTRUCTION!AF17</f>
        <v>24.374338886435</v>
      </c>
      <c r="AG14" s="34" t="n">
        <f aca="false">06_CONSTRUCTION!AG14*07_OPEX!$C$7*27_SCENARIOS!$C$39*06_CONSTRUCTION!AG17</f>
        <v>24.8618256641637</v>
      </c>
      <c r="AH14" s="34" t="n">
        <f aca="false">06_CONSTRUCTION!AH14*07_OPEX!$C$7*27_SCENARIOS!$C$39*06_CONSTRUCTION!AH17</f>
        <v>25.359062177447</v>
      </c>
      <c r="AI14" s="34" t="n">
        <f aca="false">06_CONSTRUCTION!AI14*07_OPEX!$C$7*27_SCENARIOS!$C$39*06_CONSTRUCTION!AI17</f>
        <v>25.8662434209959</v>
      </c>
      <c r="AJ14" s="34" t="n">
        <f aca="false">06_CONSTRUCTION!AJ14*07_OPEX!$C$7*27_SCENARIOS!$C$39*06_CONSTRUCTION!AJ17</f>
        <v>26.3835682894158</v>
      </c>
      <c r="AK14" s="34" t="n">
        <f aca="false">06_CONSTRUCTION!AK14*07_OPEX!$C$7*27_SCENARIOS!$C$39*06_CONSTRUCTION!AK17</f>
        <v>26.9112396552041</v>
      </c>
      <c r="AL14" s="34" t="n">
        <f aca="false">06_CONSTRUCTION!AL14*07_OPEX!$C$7*27_SCENARIOS!$C$39*06_CONSTRUCTION!AL17</f>
        <v>27.4494644483082</v>
      </c>
      <c r="AM14" s="34" t="n">
        <f aca="false">06_CONSTRUCTION!AM14*07_OPEX!$C$7*27_SCENARIOS!$C$39*06_CONSTRUCTION!AM17</f>
        <v>27.9984537372744</v>
      </c>
      <c r="AN14" s="34" t="n">
        <f aca="false">06_CONSTRUCTION!AN14*07_OPEX!$C$7*27_SCENARIOS!$C$39*06_CONSTRUCTION!AN17</f>
        <v>0</v>
      </c>
      <c r="AO14" s="34" t="n">
        <f aca="false">06_CONSTRUCTION!AO14*07_OPEX!$C$7*27_SCENARIOS!$C$39*06_CONSTRUCTION!AO17</f>
        <v>0</v>
      </c>
      <c r="AP14" s="34" t="n">
        <f aca="false">06_CONSTRUCTION!AP14*07_OPEX!$C$7*27_SCENARIOS!$C$39*06_CONSTRUCTION!AP17</f>
        <v>0</v>
      </c>
      <c r="AQ14" s="34" t="n">
        <f aca="false">06_CONSTRUCTION!AQ14*07_OPEX!$C$7*27_SCENARIOS!$C$39*06_CONSTRUCTION!AQ17</f>
        <v>0</v>
      </c>
      <c r="AR14" s="34" t="n">
        <f aca="false">06_CONSTRUCTION!AR14*07_OPEX!$C$7*27_SCENARIOS!$C$39*06_CONSTRUCTION!AR17</f>
        <v>0</v>
      </c>
    </row>
    <row r="15" customFormat="false" ht="15" hidden="false" customHeight="false" outlineLevel="0" collapsed="false">
      <c r="A15" s="8" t="s">
        <v>269</v>
      </c>
      <c r="B15" s="8" t="s">
        <v>84</v>
      </c>
      <c r="C15" s="34" t="n">
        <f aca="false">SUM(07_OPEX!$E$15:$AR$15)</f>
        <v>75.8260240253841</v>
      </c>
      <c r="E15" s="34" t="n">
        <f aca="false">04_GENERATION!E17*07_OPEX!$C$8*27_SCENARIOS!$C$39*06_CONSTRUCTION!E17/1000</f>
        <v>0</v>
      </c>
      <c r="F15" s="34" t="n">
        <f aca="false">04_GENERATION!F17*07_OPEX!$C$8*27_SCENARIOS!$C$39*06_CONSTRUCTION!F17/1000</f>
        <v>0</v>
      </c>
      <c r="G15" s="34" t="n">
        <f aca="false">04_GENERATION!G17*07_OPEX!$C$8*27_SCENARIOS!$C$39*06_CONSTRUCTION!G17/1000</f>
        <v>0</v>
      </c>
      <c r="H15" s="34" t="n">
        <f aca="false">04_GENERATION!H17*07_OPEX!$C$8*27_SCENARIOS!$C$39*06_CONSTRUCTION!H17/1000</f>
        <v>0</v>
      </c>
      <c r="I15" s="34" t="n">
        <f aca="false">04_GENERATION!I17*07_OPEX!$C$8*27_SCENARIOS!$C$39*06_CONSTRUCTION!I17/1000</f>
        <v>0</v>
      </c>
      <c r="J15" s="34" t="n">
        <f aca="false">04_GENERATION!J17*07_OPEX!$C$8*27_SCENARIOS!$C$39*06_CONSTRUCTION!J17/1000</f>
        <v>1.59463590771864</v>
      </c>
      <c r="K15" s="34" t="n">
        <f aca="false">04_GENERATION!K17*07_OPEX!$C$8*27_SCENARIOS!$C$39*06_CONSTRUCTION!K17/1000</f>
        <v>1.91356308926237</v>
      </c>
      <c r="L15" s="34" t="n">
        <f aca="false">04_GENERATION!L17*07_OPEX!$C$8*27_SCENARIOS!$C$39*06_CONSTRUCTION!L17/1000</f>
        <v>1.95183435104762</v>
      </c>
      <c r="M15" s="34" t="n">
        <f aca="false">04_GENERATION!M17*07_OPEX!$C$8*27_SCENARIOS!$C$39*06_CONSTRUCTION!M17/1000</f>
        <v>1.99087103806857</v>
      </c>
      <c r="N15" s="34" t="n">
        <f aca="false">04_GENERATION!N17*07_OPEX!$C$8*27_SCENARIOS!$C$39*06_CONSTRUCTION!N17/1000</f>
        <v>2.03068845882994</v>
      </c>
      <c r="O15" s="34" t="n">
        <f aca="false">04_GENERATION!O17*07_OPEX!$C$8*27_SCENARIOS!$C$39*06_CONSTRUCTION!O17/1000</f>
        <v>2.07130222800654</v>
      </c>
      <c r="P15" s="34" t="n">
        <f aca="false">04_GENERATION!P17*07_OPEX!$C$8*27_SCENARIOS!$C$39*06_CONSTRUCTION!P17/1000</f>
        <v>2.11272827256667</v>
      </c>
      <c r="Q15" s="34" t="n">
        <f aca="false">04_GENERATION!Q17*07_OPEX!$C$8*27_SCENARIOS!$C$39*06_CONSTRUCTION!Q17/1000</f>
        <v>2.154982838018</v>
      </c>
      <c r="R15" s="34" t="n">
        <f aca="false">04_GENERATION!R17*07_OPEX!$C$8*27_SCENARIOS!$C$39*06_CONSTRUCTION!R17/1000</f>
        <v>2.19808249477836</v>
      </c>
      <c r="S15" s="34" t="n">
        <f aca="false">04_GENERATION!S17*07_OPEX!$C$8*27_SCENARIOS!$C$39*06_CONSTRUCTION!S17/1000</f>
        <v>2.24204414467393</v>
      </c>
      <c r="T15" s="34" t="n">
        <f aca="false">04_GENERATION!T17*07_OPEX!$C$8*27_SCENARIOS!$C$39*06_CONSTRUCTION!T17/1000</f>
        <v>2.28688502756741</v>
      </c>
      <c r="U15" s="34" t="n">
        <f aca="false">04_GENERATION!U17*07_OPEX!$C$8*27_SCENARIOS!$C$39*06_CONSTRUCTION!U17/1000</f>
        <v>2.33262272811876</v>
      </c>
      <c r="V15" s="34" t="n">
        <f aca="false">04_GENERATION!V17*07_OPEX!$C$8*27_SCENARIOS!$C$39*06_CONSTRUCTION!V17/1000</f>
        <v>2.37927518268113</v>
      </c>
      <c r="W15" s="34" t="n">
        <f aca="false">04_GENERATION!W17*07_OPEX!$C$8*27_SCENARIOS!$C$39*06_CONSTRUCTION!W17/1000</f>
        <v>2.42686068633475</v>
      </c>
      <c r="X15" s="34" t="n">
        <f aca="false">04_GENERATION!X17*07_OPEX!$C$8*27_SCENARIOS!$C$39*06_CONSTRUCTION!X17/1000</f>
        <v>2.47539790006145</v>
      </c>
      <c r="Y15" s="34" t="n">
        <f aca="false">04_GENERATION!Y17*07_OPEX!$C$8*27_SCENARIOS!$C$39*06_CONSTRUCTION!Y17/1000</f>
        <v>2.52490585806268</v>
      </c>
      <c r="Z15" s="34" t="n">
        <f aca="false">04_GENERATION!Z17*07_OPEX!$C$8*27_SCENARIOS!$C$39*06_CONSTRUCTION!Z17/1000</f>
        <v>2.57540397522393</v>
      </c>
      <c r="AA15" s="34" t="n">
        <f aca="false">04_GENERATION!AA17*07_OPEX!$C$8*27_SCENARIOS!$C$39*06_CONSTRUCTION!AA17/1000</f>
        <v>2.62691205472841</v>
      </c>
      <c r="AB15" s="34" t="n">
        <f aca="false">04_GENERATION!AB17*07_OPEX!$C$8*27_SCENARIOS!$C$39*06_CONSTRUCTION!AB17/1000</f>
        <v>2.67945029582298</v>
      </c>
      <c r="AC15" s="34" t="n">
        <f aca="false">04_GENERATION!AC17*07_OPEX!$C$8*27_SCENARIOS!$C$39*06_CONSTRUCTION!AC17/1000</f>
        <v>2.73303930173944</v>
      </c>
      <c r="AD15" s="34" t="n">
        <f aca="false">04_GENERATION!AD17*07_OPEX!$C$8*27_SCENARIOS!$C$39*06_CONSTRUCTION!AD17/1000</f>
        <v>2.78770008777423</v>
      </c>
      <c r="AE15" s="34" t="n">
        <f aca="false">04_GENERATION!AE17*07_OPEX!$C$8*27_SCENARIOS!$C$39*06_CONSTRUCTION!AE17/1000</f>
        <v>2.84345408952971</v>
      </c>
      <c r="AF15" s="34" t="n">
        <f aca="false">04_GENERATION!AF17*07_OPEX!$C$8*27_SCENARIOS!$C$39*06_CONSTRUCTION!AF17/1000</f>
        <v>2.90032317132031</v>
      </c>
      <c r="AG15" s="34" t="n">
        <f aca="false">04_GENERATION!AG17*07_OPEX!$C$8*27_SCENARIOS!$C$39*06_CONSTRUCTION!AG17/1000</f>
        <v>2.95832963474671</v>
      </c>
      <c r="AH15" s="34" t="n">
        <f aca="false">04_GENERATION!AH17*07_OPEX!$C$8*27_SCENARIOS!$C$39*06_CONSTRUCTION!AH17/1000</f>
        <v>3.01749622744165</v>
      </c>
      <c r="AI15" s="34" t="n">
        <f aca="false">04_GENERATION!AI17*07_OPEX!$C$8*27_SCENARIOS!$C$39*06_CONSTRUCTION!AI17/1000</f>
        <v>3.07784615199048</v>
      </c>
      <c r="AJ15" s="34" t="n">
        <f aca="false">04_GENERATION!AJ17*07_OPEX!$C$8*27_SCENARIOS!$C$39*06_CONSTRUCTION!AJ17/1000</f>
        <v>3.13940307503029</v>
      </c>
      <c r="AK15" s="34" t="n">
        <f aca="false">04_GENERATION!AK17*07_OPEX!$C$8*27_SCENARIOS!$C$39*06_CONSTRUCTION!AK17/1000</f>
        <v>3.2021911365309</v>
      </c>
      <c r="AL15" s="34" t="n">
        <f aca="false">04_GENERATION!AL17*07_OPEX!$C$8*27_SCENARIOS!$C$39*06_CONSTRUCTION!AL17/1000</f>
        <v>3.26623495926151</v>
      </c>
      <c r="AM15" s="34" t="n">
        <f aca="false">04_GENERATION!AM17*07_OPEX!$C$8*27_SCENARIOS!$C$39*06_CONSTRUCTION!AM17/1000</f>
        <v>3.33155965844674</v>
      </c>
      <c r="AN15" s="34" t="n">
        <f aca="false">04_GENERATION!AN17*07_OPEX!$C$8*27_SCENARIOS!$C$39*06_CONSTRUCTION!AN17/1000</f>
        <v>0</v>
      </c>
      <c r="AO15" s="34" t="n">
        <f aca="false">04_GENERATION!AO17*07_OPEX!$C$8*27_SCENARIOS!$C$39*06_CONSTRUCTION!AO17/1000</f>
        <v>0</v>
      </c>
      <c r="AP15" s="34" t="n">
        <f aca="false">04_GENERATION!AP17*07_OPEX!$C$8*27_SCENARIOS!$C$39*06_CONSTRUCTION!AP17/1000</f>
        <v>0</v>
      </c>
      <c r="AQ15" s="34" t="n">
        <f aca="false">04_GENERATION!AQ17*07_OPEX!$C$8*27_SCENARIOS!$C$39*06_CONSTRUCTION!AQ17/1000</f>
        <v>0</v>
      </c>
      <c r="AR15" s="34" t="n">
        <f aca="false">04_GENERATION!AR17*07_OPEX!$C$8*27_SCENARIOS!$C$39*06_CONSTRUCTION!AR17/1000</f>
        <v>0</v>
      </c>
    </row>
    <row r="16" customFormat="false" ht="15" hidden="false" customHeight="false" outlineLevel="0" collapsed="false">
      <c r="A16" s="8" t="s">
        <v>271</v>
      </c>
      <c r="B16" s="8" t="s">
        <v>84</v>
      </c>
      <c r="C16" s="34" t="n">
        <f aca="false">SUM(07_OPEX!$E$16:$AR$16)</f>
        <v>164.762878377131</v>
      </c>
      <c r="E16" s="34" t="n">
        <f aca="false">06_CONSTRUCTION!E14*06_CONSTRUCTION!$C$9*07_OPEX!$C$9*06_CONSTRUCTION!E17</f>
        <v>0</v>
      </c>
      <c r="F16" s="34" t="n">
        <f aca="false">06_CONSTRUCTION!F14*06_CONSTRUCTION!$C$9*07_OPEX!$C$9*06_CONSTRUCTION!F17</f>
        <v>0</v>
      </c>
      <c r="G16" s="34" t="n">
        <f aca="false">06_CONSTRUCTION!G14*06_CONSTRUCTION!$C$9*07_OPEX!$C$9*06_CONSTRUCTION!G17</f>
        <v>0</v>
      </c>
      <c r="H16" s="34" t="n">
        <f aca="false">06_CONSTRUCTION!H14*06_CONSTRUCTION!$C$9*07_OPEX!$C$9*06_CONSTRUCTION!H17</f>
        <v>0</v>
      </c>
      <c r="I16" s="34" t="n">
        <f aca="false">06_CONSTRUCTION!I14*06_CONSTRUCTION!$C$9*07_OPEX!$C$9*06_CONSTRUCTION!I17</f>
        <v>0</v>
      </c>
      <c r="J16" s="34" t="n">
        <f aca="false">06_CONSTRUCTION!J14*06_CONSTRUCTION!$C$9*07_OPEX!$C$9*06_CONSTRUCTION!J17</f>
        <v>4.06139214883369</v>
      </c>
      <c r="K16" s="34" t="n">
        <f aca="false">06_CONSTRUCTION!K14*06_CONSTRUCTION!$C$9*07_OPEX!$C$9*06_CONSTRUCTION!K17</f>
        <v>4.14261999181036</v>
      </c>
      <c r="L16" s="34" t="n">
        <f aca="false">06_CONSTRUCTION!L14*06_CONSTRUCTION!$C$9*07_OPEX!$C$9*06_CONSTRUCTION!L17</f>
        <v>4.22547239164657</v>
      </c>
      <c r="M16" s="34" t="n">
        <f aca="false">06_CONSTRUCTION!M14*06_CONSTRUCTION!$C$9*07_OPEX!$C$9*06_CONSTRUCTION!M17</f>
        <v>4.3099818394795</v>
      </c>
      <c r="N16" s="34" t="n">
        <f aca="false">06_CONSTRUCTION!N14*06_CONSTRUCTION!$C$9*07_OPEX!$C$9*06_CONSTRUCTION!N17</f>
        <v>4.39618147626909</v>
      </c>
      <c r="O16" s="34" t="n">
        <f aca="false">06_CONSTRUCTION!O14*06_CONSTRUCTION!$C$9*07_OPEX!$C$9*06_CONSTRUCTION!O17</f>
        <v>4.48410510579448</v>
      </c>
      <c r="P16" s="34" t="n">
        <f aca="false">06_CONSTRUCTION!P14*06_CONSTRUCTION!$C$9*07_OPEX!$C$9*06_CONSTRUCTION!P17</f>
        <v>4.57378720791037</v>
      </c>
      <c r="Q16" s="34" t="n">
        <f aca="false">06_CONSTRUCTION!Q14*06_CONSTRUCTION!$C$9*07_OPEX!$C$9*06_CONSTRUCTION!Q17</f>
        <v>4.66526295206857</v>
      </c>
      <c r="R16" s="34" t="n">
        <f aca="false">06_CONSTRUCTION!R14*06_CONSTRUCTION!$C$9*07_OPEX!$C$9*06_CONSTRUCTION!R17</f>
        <v>4.75856821110994</v>
      </c>
      <c r="S16" s="34" t="n">
        <f aca="false">06_CONSTRUCTION!S14*06_CONSTRUCTION!$C$9*07_OPEX!$C$9*06_CONSTRUCTION!S17</f>
        <v>4.85373957533214</v>
      </c>
      <c r="T16" s="34" t="n">
        <f aca="false">06_CONSTRUCTION!T14*06_CONSTRUCTION!$C$9*07_OPEX!$C$9*06_CONSTRUCTION!T17</f>
        <v>4.95081436683879</v>
      </c>
      <c r="U16" s="34" t="n">
        <f aca="false">06_CONSTRUCTION!U14*06_CONSTRUCTION!$C$9*07_OPEX!$C$9*06_CONSTRUCTION!U17</f>
        <v>5.04983065417556</v>
      </c>
      <c r="V16" s="34" t="n">
        <f aca="false">06_CONSTRUCTION!V14*06_CONSTRUCTION!$C$9*07_OPEX!$C$9*06_CONSTRUCTION!V17</f>
        <v>5.15082726725907</v>
      </c>
      <c r="W16" s="34" t="n">
        <f aca="false">06_CONSTRUCTION!W14*06_CONSTRUCTION!$C$9*07_OPEX!$C$9*06_CONSTRUCTION!W17</f>
        <v>5.25384381260425</v>
      </c>
      <c r="X16" s="34" t="n">
        <f aca="false">06_CONSTRUCTION!X14*06_CONSTRUCTION!$C$9*07_OPEX!$C$9*06_CONSTRUCTION!X17</f>
        <v>5.35892068885634</v>
      </c>
      <c r="Y16" s="34" t="n">
        <f aca="false">06_CONSTRUCTION!Y14*06_CONSTRUCTION!$C$9*07_OPEX!$C$9*06_CONSTRUCTION!Y17</f>
        <v>5.46609910263347</v>
      </c>
      <c r="Z16" s="34" t="n">
        <f aca="false">06_CONSTRUCTION!Z14*06_CONSTRUCTION!$C$9*07_OPEX!$C$9*06_CONSTRUCTION!Z17</f>
        <v>5.57542108468614</v>
      </c>
      <c r="AA16" s="34" t="n">
        <f aca="false">06_CONSTRUCTION!AA14*06_CONSTRUCTION!$C$9*07_OPEX!$C$9*06_CONSTRUCTION!AA17</f>
        <v>5.68692950637986</v>
      </c>
      <c r="AB16" s="34" t="n">
        <f aca="false">06_CONSTRUCTION!AB14*06_CONSTRUCTION!$C$9*07_OPEX!$C$9*06_CONSTRUCTION!AB17</f>
        <v>5.80066809650746</v>
      </c>
      <c r="AC16" s="34" t="n">
        <f aca="false">06_CONSTRUCTION!AC14*06_CONSTRUCTION!$C$9*07_OPEX!$C$9*06_CONSTRUCTION!AC17</f>
        <v>5.91668145843761</v>
      </c>
      <c r="AD16" s="34" t="n">
        <f aca="false">06_CONSTRUCTION!AD14*06_CONSTRUCTION!$C$9*07_OPEX!$C$9*06_CONSTRUCTION!AD17</f>
        <v>6.03501508760636</v>
      </c>
      <c r="AE16" s="34" t="n">
        <f aca="false">06_CONSTRUCTION!AE14*06_CONSTRUCTION!$C$9*07_OPEX!$C$9*06_CONSTRUCTION!AE17</f>
        <v>6.15571538935849</v>
      </c>
      <c r="AF16" s="34" t="n">
        <f aca="false">06_CONSTRUCTION!AF14*06_CONSTRUCTION!$C$9*07_OPEX!$C$9*06_CONSTRUCTION!AF17</f>
        <v>6.27882969714566</v>
      </c>
      <c r="AG16" s="34" t="n">
        <f aca="false">06_CONSTRUCTION!AG14*06_CONSTRUCTION!$C$9*07_OPEX!$C$9*06_CONSTRUCTION!AG17</f>
        <v>6.40440629108857</v>
      </c>
      <c r="AH16" s="34" t="n">
        <f aca="false">06_CONSTRUCTION!AH14*06_CONSTRUCTION!$C$9*07_OPEX!$C$9*06_CONSTRUCTION!AH17</f>
        <v>6.53249441691034</v>
      </c>
      <c r="AI16" s="34" t="n">
        <f aca="false">06_CONSTRUCTION!AI14*06_CONSTRUCTION!$C$9*07_OPEX!$C$9*06_CONSTRUCTION!AI17</f>
        <v>6.66314430524855</v>
      </c>
      <c r="AJ16" s="34" t="n">
        <f aca="false">06_CONSTRUCTION!AJ14*06_CONSTRUCTION!$C$9*07_OPEX!$C$9*06_CONSTRUCTION!AJ17</f>
        <v>6.79640719135352</v>
      </c>
      <c r="AK16" s="34" t="n">
        <f aca="false">06_CONSTRUCTION!AK14*06_CONSTRUCTION!$C$9*07_OPEX!$C$9*06_CONSTRUCTION!AK17</f>
        <v>6.93233533518059</v>
      </c>
      <c r="AL16" s="34" t="n">
        <f aca="false">06_CONSTRUCTION!AL14*06_CONSTRUCTION!$C$9*07_OPEX!$C$9*06_CONSTRUCTION!AL17</f>
        <v>7.0709820418842</v>
      </c>
      <c r="AM16" s="34" t="n">
        <f aca="false">06_CONSTRUCTION!AM14*06_CONSTRUCTION!$C$9*07_OPEX!$C$9*06_CONSTRUCTION!AM17</f>
        <v>7.21240168272188</v>
      </c>
      <c r="AN16" s="34" t="n">
        <f aca="false">06_CONSTRUCTION!AN14*06_CONSTRUCTION!$C$9*07_OPEX!$C$9*06_CONSTRUCTION!AN17</f>
        <v>0</v>
      </c>
      <c r="AO16" s="34" t="n">
        <f aca="false">06_CONSTRUCTION!AO14*06_CONSTRUCTION!$C$9*07_OPEX!$C$9*06_CONSTRUCTION!AO17</f>
        <v>0</v>
      </c>
      <c r="AP16" s="34" t="n">
        <f aca="false">06_CONSTRUCTION!AP14*06_CONSTRUCTION!$C$9*07_OPEX!$C$9*06_CONSTRUCTION!AP17</f>
        <v>0</v>
      </c>
      <c r="AQ16" s="34" t="n">
        <f aca="false">06_CONSTRUCTION!AQ14*06_CONSTRUCTION!$C$9*07_OPEX!$C$9*06_CONSTRUCTION!AQ17</f>
        <v>0</v>
      </c>
      <c r="AR16" s="34" t="n">
        <f aca="false">06_CONSTRUCTION!AR14*06_CONSTRUCTION!$C$9*07_OPEX!$C$9*06_CONSTRUCTION!AR17</f>
        <v>0</v>
      </c>
    </row>
    <row r="17" customFormat="false" ht="15" hidden="false" customHeight="false" outlineLevel="0" collapsed="false">
      <c r="A17" s="8" t="s">
        <v>279</v>
      </c>
      <c r="B17" s="8" t="s">
        <v>84</v>
      </c>
      <c r="C17" s="34" t="n">
        <f aca="false">SUM(07_OPEX!$E$17:$AR$17)</f>
        <v>117.68777026938</v>
      </c>
      <c r="E17" s="34" t="n">
        <f aca="false">06_CONSTRUCTION!E14*06_CONSTRUCTION!$C$9*07_OPEX!$C$10*06_CONSTRUCTION!E17</f>
        <v>0</v>
      </c>
      <c r="F17" s="34" t="n">
        <f aca="false">06_CONSTRUCTION!F14*06_CONSTRUCTION!$C$9*07_OPEX!$C$10*06_CONSTRUCTION!F17</f>
        <v>0</v>
      </c>
      <c r="G17" s="34" t="n">
        <f aca="false">06_CONSTRUCTION!G14*06_CONSTRUCTION!$C$9*07_OPEX!$C$10*06_CONSTRUCTION!G17</f>
        <v>0</v>
      </c>
      <c r="H17" s="34" t="n">
        <f aca="false">06_CONSTRUCTION!H14*06_CONSTRUCTION!$C$9*07_OPEX!$C$10*06_CONSTRUCTION!H17</f>
        <v>0</v>
      </c>
      <c r="I17" s="34" t="n">
        <f aca="false">06_CONSTRUCTION!I14*06_CONSTRUCTION!$C$9*07_OPEX!$C$10*06_CONSTRUCTION!I17</f>
        <v>0</v>
      </c>
      <c r="J17" s="34" t="n">
        <f aca="false">06_CONSTRUCTION!J14*06_CONSTRUCTION!$C$9*07_OPEX!$C$10*06_CONSTRUCTION!J17</f>
        <v>2.90099439202406</v>
      </c>
      <c r="K17" s="34" t="n">
        <f aca="false">06_CONSTRUCTION!K14*06_CONSTRUCTION!$C$9*07_OPEX!$C$10*06_CONSTRUCTION!K17</f>
        <v>2.95901427986455</v>
      </c>
      <c r="L17" s="34" t="n">
        <f aca="false">06_CONSTRUCTION!L14*06_CONSTRUCTION!$C$9*07_OPEX!$C$10*06_CONSTRUCTION!L17</f>
        <v>3.01819456546184</v>
      </c>
      <c r="M17" s="34" t="n">
        <f aca="false">06_CONSTRUCTION!M14*06_CONSTRUCTION!$C$9*07_OPEX!$C$10*06_CONSTRUCTION!M17</f>
        <v>3.07855845677107</v>
      </c>
      <c r="N17" s="34" t="n">
        <f aca="false">06_CONSTRUCTION!N14*06_CONSTRUCTION!$C$9*07_OPEX!$C$10*06_CONSTRUCTION!N17</f>
        <v>3.1401296259065</v>
      </c>
      <c r="O17" s="34" t="n">
        <f aca="false">06_CONSTRUCTION!O14*06_CONSTRUCTION!$C$9*07_OPEX!$C$10*06_CONSTRUCTION!O17</f>
        <v>3.20293221842462</v>
      </c>
      <c r="P17" s="34" t="n">
        <f aca="false">06_CONSTRUCTION!P14*06_CONSTRUCTION!$C$9*07_OPEX!$C$10*06_CONSTRUCTION!P17</f>
        <v>3.26699086279312</v>
      </c>
      <c r="Q17" s="34" t="n">
        <f aca="false">06_CONSTRUCTION!Q14*06_CONSTRUCTION!$C$9*07_OPEX!$C$10*06_CONSTRUCTION!Q17</f>
        <v>3.33233068004898</v>
      </c>
      <c r="R17" s="34" t="n">
        <f aca="false">06_CONSTRUCTION!R14*06_CONSTRUCTION!$C$9*07_OPEX!$C$10*06_CONSTRUCTION!R17</f>
        <v>3.39897729364996</v>
      </c>
      <c r="S17" s="34" t="n">
        <f aca="false">06_CONSTRUCTION!S14*06_CONSTRUCTION!$C$9*07_OPEX!$C$10*06_CONSTRUCTION!S17</f>
        <v>3.46695683952296</v>
      </c>
      <c r="T17" s="34" t="n">
        <f aca="false">06_CONSTRUCTION!T14*06_CONSTRUCTION!$C$9*07_OPEX!$C$10*06_CONSTRUCTION!T17</f>
        <v>3.53629597631342</v>
      </c>
      <c r="U17" s="34" t="n">
        <f aca="false">06_CONSTRUCTION!U14*06_CONSTRUCTION!$C$9*07_OPEX!$C$10*06_CONSTRUCTION!U17</f>
        <v>3.60702189583969</v>
      </c>
      <c r="V17" s="34" t="n">
        <f aca="false">06_CONSTRUCTION!V14*06_CONSTRUCTION!$C$9*07_OPEX!$C$10*06_CONSTRUCTION!V17</f>
        <v>3.67916233375648</v>
      </c>
      <c r="W17" s="34" t="n">
        <f aca="false">06_CONSTRUCTION!W14*06_CONSTRUCTION!$C$9*07_OPEX!$C$10*06_CONSTRUCTION!W17</f>
        <v>3.75274558043161</v>
      </c>
      <c r="X17" s="34" t="n">
        <f aca="false">06_CONSTRUCTION!X14*06_CONSTRUCTION!$C$9*07_OPEX!$C$10*06_CONSTRUCTION!X17</f>
        <v>3.82780049204024</v>
      </c>
      <c r="Y17" s="34" t="n">
        <f aca="false">06_CONSTRUCTION!Y14*06_CONSTRUCTION!$C$9*07_OPEX!$C$10*06_CONSTRUCTION!Y17</f>
        <v>3.90435650188105</v>
      </c>
      <c r="Z17" s="34" t="n">
        <f aca="false">06_CONSTRUCTION!Z14*06_CONSTRUCTION!$C$9*07_OPEX!$C$10*06_CONSTRUCTION!Z17</f>
        <v>3.98244363191867</v>
      </c>
      <c r="AA17" s="34" t="n">
        <f aca="false">06_CONSTRUCTION!AA14*06_CONSTRUCTION!$C$9*07_OPEX!$C$10*06_CONSTRUCTION!AA17</f>
        <v>4.06209250455704</v>
      </c>
      <c r="AB17" s="34" t="n">
        <f aca="false">06_CONSTRUCTION!AB14*06_CONSTRUCTION!$C$9*07_OPEX!$C$10*06_CONSTRUCTION!AB17</f>
        <v>4.14333435464818</v>
      </c>
      <c r="AC17" s="34" t="n">
        <f aca="false">06_CONSTRUCTION!AC14*06_CONSTRUCTION!$C$9*07_OPEX!$C$10*06_CONSTRUCTION!AC17</f>
        <v>4.22620104174115</v>
      </c>
      <c r="AD17" s="34" t="n">
        <f aca="false">06_CONSTRUCTION!AD14*06_CONSTRUCTION!$C$9*07_OPEX!$C$10*06_CONSTRUCTION!AD17</f>
        <v>4.31072506257597</v>
      </c>
      <c r="AE17" s="34" t="n">
        <f aca="false">06_CONSTRUCTION!AE14*06_CONSTRUCTION!$C$9*07_OPEX!$C$10*06_CONSTRUCTION!AE17</f>
        <v>4.39693956382749</v>
      </c>
      <c r="AF17" s="34" t="n">
        <f aca="false">06_CONSTRUCTION!AF14*06_CONSTRUCTION!$C$9*07_OPEX!$C$10*06_CONSTRUCTION!AF17</f>
        <v>4.48487835510404</v>
      </c>
      <c r="AG17" s="34" t="n">
        <f aca="false">06_CONSTRUCTION!AG14*06_CONSTRUCTION!$C$9*07_OPEX!$C$10*06_CONSTRUCTION!AG17</f>
        <v>4.57457592220612</v>
      </c>
      <c r="AH17" s="34" t="n">
        <f aca="false">06_CONSTRUCTION!AH14*06_CONSTRUCTION!$C$9*07_OPEX!$C$10*06_CONSTRUCTION!AH17</f>
        <v>4.66606744065024</v>
      </c>
      <c r="AI17" s="34" t="n">
        <f aca="false">06_CONSTRUCTION!AI14*06_CONSTRUCTION!$C$9*07_OPEX!$C$10*06_CONSTRUCTION!AI17</f>
        <v>4.75938878946325</v>
      </c>
      <c r="AJ17" s="34" t="n">
        <f aca="false">06_CONSTRUCTION!AJ14*06_CONSTRUCTION!$C$9*07_OPEX!$C$10*06_CONSTRUCTION!AJ17</f>
        <v>4.85457656525251</v>
      </c>
      <c r="AK17" s="34" t="n">
        <f aca="false">06_CONSTRUCTION!AK14*06_CONSTRUCTION!$C$9*07_OPEX!$C$10*06_CONSTRUCTION!AK17</f>
        <v>4.95166809655756</v>
      </c>
      <c r="AL17" s="34" t="n">
        <f aca="false">06_CONSTRUCTION!AL14*06_CONSTRUCTION!$C$9*07_OPEX!$C$10*06_CONSTRUCTION!AL17</f>
        <v>5.05070145848871</v>
      </c>
      <c r="AM17" s="34" t="n">
        <f aca="false">06_CONSTRUCTION!AM14*06_CONSTRUCTION!$C$9*07_OPEX!$C$10*06_CONSTRUCTION!AM17</f>
        <v>5.15171548765849</v>
      </c>
      <c r="AN17" s="34" t="n">
        <f aca="false">06_CONSTRUCTION!AN14*06_CONSTRUCTION!$C$9*07_OPEX!$C$10*06_CONSTRUCTION!AN17</f>
        <v>0</v>
      </c>
      <c r="AO17" s="34" t="n">
        <f aca="false">06_CONSTRUCTION!AO14*06_CONSTRUCTION!$C$9*07_OPEX!$C$10*06_CONSTRUCTION!AO17</f>
        <v>0</v>
      </c>
      <c r="AP17" s="34" t="n">
        <f aca="false">06_CONSTRUCTION!AP14*06_CONSTRUCTION!$C$9*07_OPEX!$C$10*06_CONSTRUCTION!AP17</f>
        <v>0</v>
      </c>
      <c r="AQ17" s="34" t="n">
        <f aca="false">06_CONSTRUCTION!AQ14*06_CONSTRUCTION!$C$9*07_OPEX!$C$10*06_CONSTRUCTION!AQ17</f>
        <v>0</v>
      </c>
      <c r="AR17" s="34" t="n">
        <f aca="false">06_CONSTRUCTION!AR14*06_CONSTRUCTION!$C$9*07_OPEX!$C$10*06_CONSTRUCTION!AR17</f>
        <v>0</v>
      </c>
    </row>
    <row r="18" customFormat="false" ht="15" hidden="false" customHeight="false" outlineLevel="0" collapsed="false">
      <c r="A18" s="8" t="s">
        <v>280</v>
      </c>
      <c r="B18" s="8" t="s">
        <v>84</v>
      </c>
      <c r="C18" s="34" t="n">
        <f aca="false">SUM(07_OPEX!$E$18:$AR$18)</f>
        <v>137.058738667756</v>
      </c>
      <c r="E18" s="34" t="n">
        <f aca="false">06_CONSTRUCTION!E14*07_OPEX!$C$11*27_SCENARIOS!$C$39*06_CONSTRUCTION!E17</f>
        <v>0</v>
      </c>
      <c r="F18" s="34" t="n">
        <f aca="false">06_CONSTRUCTION!F14*07_OPEX!$C$11*27_SCENARIOS!$C$39*06_CONSTRUCTION!F17</f>
        <v>0</v>
      </c>
      <c r="G18" s="34" t="n">
        <f aca="false">06_CONSTRUCTION!G14*07_OPEX!$C$11*27_SCENARIOS!$C$39*06_CONSTRUCTION!G17</f>
        <v>0</v>
      </c>
      <c r="H18" s="34" t="n">
        <f aca="false">06_CONSTRUCTION!H14*07_OPEX!$C$11*27_SCENARIOS!$C$39*06_CONSTRUCTION!H17</f>
        <v>0</v>
      </c>
      <c r="I18" s="34" t="n">
        <f aca="false">06_CONSTRUCTION!I14*07_OPEX!$C$11*27_SCENARIOS!$C$39*06_CONSTRUCTION!I17</f>
        <v>0</v>
      </c>
      <c r="J18" s="34" t="n">
        <f aca="false">06_CONSTRUCTION!J14*07_OPEX!$C$11*27_SCENARIOS!$C$39*06_CONSTRUCTION!J17</f>
        <v>3.378487257792</v>
      </c>
      <c r="K18" s="34" t="n">
        <f aca="false">06_CONSTRUCTION!K14*07_OPEX!$C$11*27_SCENARIOS!$C$39*06_CONSTRUCTION!K17</f>
        <v>3.44605700294784</v>
      </c>
      <c r="L18" s="34" t="n">
        <f aca="false">06_CONSTRUCTION!L14*07_OPEX!$C$11*27_SCENARIOS!$C$39*06_CONSTRUCTION!L17</f>
        <v>3.5149781430068</v>
      </c>
      <c r="M18" s="34" t="n">
        <f aca="false">06_CONSTRUCTION!M14*07_OPEX!$C$11*27_SCENARIOS!$C$39*06_CONSTRUCTION!M17</f>
        <v>3.58527770586693</v>
      </c>
      <c r="N18" s="34" t="n">
        <f aca="false">06_CONSTRUCTION!N14*07_OPEX!$C$11*27_SCENARIOS!$C$39*06_CONSTRUCTION!N17</f>
        <v>3.65698325998427</v>
      </c>
      <c r="O18" s="34" t="n">
        <f aca="false">06_CONSTRUCTION!O14*07_OPEX!$C$11*27_SCENARIOS!$C$39*06_CONSTRUCTION!O17</f>
        <v>3.73012292518396</v>
      </c>
      <c r="P18" s="34" t="n">
        <f aca="false">06_CONSTRUCTION!P14*07_OPEX!$C$11*27_SCENARIOS!$C$39*06_CONSTRUCTION!P17</f>
        <v>3.80472538368764</v>
      </c>
      <c r="Q18" s="34" t="n">
        <f aca="false">06_CONSTRUCTION!Q14*07_OPEX!$C$11*27_SCENARIOS!$C$39*06_CONSTRUCTION!Q17</f>
        <v>3.88081989136139</v>
      </c>
      <c r="R18" s="34" t="n">
        <f aca="false">06_CONSTRUCTION!R14*07_OPEX!$C$11*27_SCENARIOS!$C$39*06_CONSTRUCTION!R17</f>
        <v>3.95843628918862</v>
      </c>
      <c r="S18" s="34" t="n">
        <f aca="false">06_CONSTRUCTION!S14*07_OPEX!$C$11*27_SCENARIOS!$C$39*06_CONSTRUCTION!S17</f>
        <v>4.03760501497239</v>
      </c>
      <c r="T18" s="34" t="n">
        <f aca="false">06_CONSTRUCTION!T14*07_OPEX!$C$11*27_SCENARIOS!$C$39*06_CONSTRUCTION!T17</f>
        <v>4.11835711527184</v>
      </c>
      <c r="U18" s="34" t="n">
        <f aca="false">06_CONSTRUCTION!U14*07_OPEX!$C$11*27_SCENARIOS!$C$39*06_CONSTRUCTION!U17</f>
        <v>4.20072425757727</v>
      </c>
      <c r="V18" s="34" t="n">
        <f aca="false">06_CONSTRUCTION!V14*07_OPEX!$C$11*27_SCENARIOS!$C$39*06_CONSTRUCTION!V17</f>
        <v>4.28473874272882</v>
      </c>
      <c r="W18" s="34" t="n">
        <f aca="false">06_CONSTRUCTION!W14*07_OPEX!$C$11*27_SCENARIOS!$C$39*06_CONSTRUCTION!W17</f>
        <v>4.3704335175834</v>
      </c>
      <c r="X18" s="34" t="n">
        <f aca="false">06_CONSTRUCTION!X14*07_OPEX!$C$11*27_SCENARIOS!$C$39*06_CONSTRUCTION!X17</f>
        <v>4.45784218793506</v>
      </c>
      <c r="Y18" s="34" t="n">
        <f aca="false">06_CONSTRUCTION!Y14*07_OPEX!$C$11*27_SCENARIOS!$C$39*06_CONSTRUCTION!Y17</f>
        <v>4.54699903169377</v>
      </c>
      <c r="Z18" s="34" t="n">
        <f aca="false">06_CONSTRUCTION!Z14*07_OPEX!$C$11*27_SCENARIOS!$C$39*06_CONSTRUCTION!Z17</f>
        <v>4.63793901232764</v>
      </c>
      <c r="AA18" s="34" t="n">
        <f aca="false">06_CONSTRUCTION!AA14*07_OPEX!$C$11*27_SCENARIOS!$C$39*06_CONSTRUCTION!AA17</f>
        <v>4.73069779257419</v>
      </c>
      <c r="AB18" s="34" t="n">
        <f aca="false">06_CONSTRUCTION!AB14*07_OPEX!$C$11*27_SCENARIOS!$C$39*06_CONSTRUCTION!AB17</f>
        <v>4.82531174842568</v>
      </c>
      <c r="AC18" s="34" t="n">
        <f aca="false">06_CONSTRUCTION!AC14*07_OPEX!$C$11*27_SCENARIOS!$C$39*06_CONSTRUCTION!AC17</f>
        <v>4.92181798339419</v>
      </c>
      <c r="AD18" s="34" t="n">
        <f aca="false">06_CONSTRUCTION!AD14*07_OPEX!$C$11*27_SCENARIOS!$C$39*06_CONSTRUCTION!AD17</f>
        <v>5.02025434306208</v>
      </c>
      <c r="AE18" s="34" t="n">
        <f aca="false">06_CONSTRUCTION!AE14*07_OPEX!$C$11*27_SCENARIOS!$C$39*06_CONSTRUCTION!AE17</f>
        <v>5.12065942992332</v>
      </c>
      <c r="AF18" s="34" t="n">
        <f aca="false">06_CONSTRUCTION!AF14*07_OPEX!$C$11*27_SCENARIOS!$C$39*06_CONSTRUCTION!AF17</f>
        <v>5.22307261852178</v>
      </c>
      <c r="AG18" s="34" t="n">
        <f aca="false">06_CONSTRUCTION!AG14*07_OPEX!$C$11*27_SCENARIOS!$C$39*06_CONSTRUCTION!AG17</f>
        <v>5.32753407089222</v>
      </c>
      <c r="AH18" s="34" t="n">
        <f aca="false">06_CONSTRUCTION!AH14*07_OPEX!$C$11*27_SCENARIOS!$C$39*06_CONSTRUCTION!AH17</f>
        <v>5.43408475231006</v>
      </c>
      <c r="AI18" s="34" t="n">
        <f aca="false">06_CONSTRUCTION!AI14*07_OPEX!$C$11*27_SCENARIOS!$C$39*06_CONSTRUCTION!AI17</f>
        <v>5.54276644735627</v>
      </c>
      <c r="AJ18" s="34" t="n">
        <f aca="false">06_CONSTRUCTION!AJ14*07_OPEX!$C$11*27_SCENARIOS!$C$39*06_CONSTRUCTION!AJ17</f>
        <v>5.65362177630339</v>
      </c>
      <c r="AK18" s="34" t="n">
        <f aca="false">06_CONSTRUCTION!AK14*07_OPEX!$C$11*27_SCENARIOS!$C$39*06_CONSTRUCTION!AK17</f>
        <v>5.76669421182946</v>
      </c>
      <c r="AL18" s="34" t="n">
        <f aca="false">06_CONSTRUCTION!AL14*07_OPEX!$C$11*27_SCENARIOS!$C$39*06_CONSTRUCTION!AL17</f>
        <v>5.88202809606605</v>
      </c>
      <c r="AM18" s="34" t="n">
        <f aca="false">06_CONSTRUCTION!AM14*07_OPEX!$C$11*27_SCENARIOS!$C$39*06_CONSTRUCTION!AM17</f>
        <v>5.99966865798737</v>
      </c>
      <c r="AN18" s="34" t="n">
        <f aca="false">06_CONSTRUCTION!AN14*07_OPEX!$C$11*27_SCENARIOS!$C$39*06_CONSTRUCTION!AN17</f>
        <v>0</v>
      </c>
      <c r="AO18" s="34" t="n">
        <f aca="false">06_CONSTRUCTION!AO14*07_OPEX!$C$11*27_SCENARIOS!$C$39*06_CONSTRUCTION!AO17</f>
        <v>0</v>
      </c>
      <c r="AP18" s="34" t="n">
        <f aca="false">06_CONSTRUCTION!AP14*07_OPEX!$C$11*27_SCENARIOS!$C$39*06_CONSTRUCTION!AP17</f>
        <v>0</v>
      </c>
      <c r="AQ18" s="34" t="n">
        <f aca="false">06_CONSTRUCTION!AQ14*07_OPEX!$C$11*27_SCENARIOS!$C$39*06_CONSTRUCTION!AQ17</f>
        <v>0</v>
      </c>
      <c r="AR18" s="34" t="n">
        <f aca="false">06_CONSTRUCTION!AR14*07_OPEX!$C$11*27_SCENARIOS!$C$39*06_CONSTRUCTION!AR17</f>
        <v>0</v>
      </c>
    </row>
    <row r="19" customFormat="false" ht="15" hidden="false" customHeight="false" outlineLevel="0" collapsed="false">
      <c r="A19" s="8" t="s">
        <v>281</v>
      </c>
      <c r="B19" s="8" t="s">
        <v>84</v>
      </c>
      <c r="C19" s="34" t="n">
        <f aca="false">SUM(07_OPEX!$E$19:$AR$19)</f>
        <v>0</v>
      </c>
      <c r="E19" s="34" t="n">
        <f aca="false">IF(08_TRANSMISSION!$C$17=2,08_TRANSMISSION!E34,0)+08_TRANSMISSION!E36</f>
        <v>0</v>
      </c>
      <c r="F19" s="34" t="n">
        <f aca="false">IF(08_TRANSMISSION!$C$17=2,08_TRANSMISSION!F34,0)+08_TRANSMISSION!F36</f>
        <v>0</v>
      </c>
      <c r="G19" s="34" t="n">
        <f aca="false">IF(08_TRANSMISSION!$C$17=2,08_TRANSMISSION!G34,0)+08_TRANSMISSION!G36</f>
        <v>0</v>
      </c>
      <c r="H19" s="34" t="n">
        <f aca="false">IF(08_TRANSMISSION!$C$17=2,08_TRANSMISSION!H34,0)+08_TRANSMISSION!H36</f>
        <v>0</v>
      </c>
      <c r="I19" s="34" t="n">
        <f aca="false">IF(08_TRANSMISSION!$C$17=2,08_TRANSMISSION!I34,0)+08_TRANSMISSION!I36</f>
        <v>0</v>
      </c>
      <c r="J19" s="34" t="n">
        <f aca="false">IF(08_TRANSMISSION!$C$17=2,08_TRANSMISSION!J34,0)+08_TRANSMISSION!J36</f>
        <v>0</v>
      </c>
      <c r="K19" s="34" t="n">
        <f aca="false">IF(08_TRANSMISSION!$C$17=2,08_TRANSMISSION!K34,0)+08_TRANSMISSION!K36</f>
        <v>0</v>
      </c>
      <c r="L19" s="34" t="n">
        <f aca="false">IF(08_TRANSMISSION!$C$17=2,08_TRANSMISSION!L34,0)+08_TRANSMISSION!L36</f>
        <v>0</v>
      </c>
      <c r="M19" s="34" t="n">
        <f aca="false">IF(08_TRANSMISSION!$C$17=2,08_TRANSMISSION!M34,0)+08_TRANSMISSION!M36</f>
        <v>0</v>
      </c>
      <c r="N19" s="34" t="n">
        <f aca="false">IF(08_TRANSMISSION!$C$17=2,08_TRANSMISSION!N34,0)+08_TRANSMISSION!N36</f>
        <v>0</v>
      </c>
      <c r="O19" s="34" t="n">
        <f aca="false">IF(08_TRANSMISSION!$C$17=2,08_TRANSMISSION!O34,0)+08_TRANSMISSION!O36</f>
        <v>0</v>
      </c>
      <c r="P19" s="34" t="n">
        <f aca="false">IF(08_TRANSMISSION!$C$17=2,08_TRANSMISSION!P34,0)+08_TRANSMISSION!P36</f>
        <v>0</v>
      </c>
      <c r="Q19" s="34" t="n">
        <f aca="false">IF(08_TRANSMISSION!$C$17=2,08_TRANSMISSION!Q34,0)+08_TRANSMISSION!Q36</f>
        <v>0</v>
      </c>
      <c r="R19" s="34" t="n">
        <f aca="false">IF(08_TRANSMISSION!$C$17=2,08_TRANSMISSION!R34,0)+08_TRANSMISSION!R36</f>
        <v>0</v>
      </c>
      <c r="S19" s="34" t="n">
        <f aca="false">IF(08_TRANSMISSION!$C$17=2,08_TRANSMISSION!S34,0)+08_TRANSMISSION!S36</f>
        <v>0</v>
      </c>
      <c r="T19" s="34" t="n">
        <f aca="false">IF(08_TRANSMISSION!$C$17=2,08_TRANSMISSION!T34,0)+08_TRANSMISSION!T36</f>
        <v>0</v>
      </c>
      <c r="U19" s="34" t="n">
        <f aca="false">IF(08_TRANSMISSION!$C$17=2,08_TRANSMISSION!U34,0)+08_TRANSMISSION!U36</f>
        <v>0</v>
      </c>
      <c r="V19" s="34" t="n">
        <f aca="false">IF(08_TRANSMISSION!$C$17=2,08_TRANSMISSION!V34,0)+08_TRANSMISSION!V36</f>
        <v>0</v>
      </c>
      <c r="W19" s="34" t="n">
        <f aca="false">IF(08_TRANSMISSION!$C$17=2,08_TRANSMISSION!W34,0)+08_TRANSMISSION!W36</f>
        <v>0</v>
      </c>
      <c r="X19" s="34" t="n">
        <f aca="false">IF(08_TRANSMISSION!$C$17=2,08_TRANSMISSION!X34,0)+08_TRANSMISSION!X36</f>
        <v>0</v>
      </c>
      <c r="Y19" s="34" t="n">
        <f aca="false">IF(08_TRANSMISSION!$C$17=2,08_TRANSMISSION!Y34,0)+08_TRANSMISSION!Y36</f>
        <v>0</v>
      </c>
      <c r="Z19" s="34" t="n">
        <f aca="false">IF(08_TRANSMISSION!$C$17=2,08_TRANSMISSION!Z34,0)+08_TRANSMISSION!Z36</f>
        <v>0</v>
      </c>
      <c r="AA19" s="34" t="n">
        <f aca="false">IF(08_TRANSMISSION!$C$17=2,08_TRANSMISSION!AA34,0)+08_TRANSMISSION!AA36</f>
        <v>0</v>
      </c>
      <c r="AB19" s="34" t="n">
        <f aca="false">IF(08_TRANSMISSION!$C$17=2,08_TRANSMISSION!AB34,0)+08_TRANSMISSION!AB36</f>
        <v>0</v>
      </c>
      <c r="AC19" s="34" t="n">
        <f aca="false">IF(08_TRANSMISSION!$C$17=2,08_TRANSMISSION!AC34,0)+08_TRANSMISSION!AC36</f>
        <v>0</v>
      </c>
      <c r="AD19" s="34" t="n">
        <f aca="false">IF(08_TRANSMISSION!$C$17=2,08_TRANSMISSION!AD34,0)+08_TRANSMISSION!AD36</f>
        <v>0</v>
      </c>
      <c r="AE19" s="34" t="n">
        <f aca="false">IF(08_TRANSMISSION!$C$17=2,08_TRANSMISSION!AE34,0)+08_TRANSMISSION!AE36</f>
        <v>0</v>
      </c>
      <c r="AF19" s="34" t="n">
        <f aca="false">IF(08_TRANSMISSION!$C$17=2,08_TRANSMISSION!AF34,0)+08_TRANSMISSION!AF36</f>
        <v>0</v>
      </c>
      <c r="AG19" s="34" t="n">
        <f aca="false">IF(08_TRANSMISSION!$C$17=2,08_TRANSMISSION!AG34,0)+08_TRANSMISSION!AG36</f>
        <v>0</v>
      </c>
      <c r="AH19" s="34" t="n">
        <f aca="false">IF(08_TRANSMISSION!$C$17=2,08_TRANSMISSION!AH34,0)+08_TRANSMISSION!AH36</f>
        <v>0</v>
      </c>
      <c r="AI19" s="34" t="n">
        <f aca="false">IF(08_TRANSMISSION!$C$17=2,08_TRANSMISSION!AI34,0)+08_TRANSMISSION!AI36</f>
        <v>0</v>
      </c>
      <c r="AJ19" s="34" t="n">
        <f aca="false">IF(08_TRANSMISSION!$C$17=2,08_TRANSMISSION!AJ34,0)+08_TRANSMISSION!AJ36</f>
        <v>0</v>
      </c>
      <c r="AK19" s="34" t="n">
        <f aca="false">IF(08_TRANSMISSION!$C$17=2,08_TRANSMISSION!AK34,0)+08_TRANSMISSION!AK36</f>
        <v>0</v>
      </c>
      <c r="AL19" s="34" t="n">
        <f aca="false">IF(08_TRANSMISSION!$C$17=2,08_TRANSMISSION!AL34,0)+08_TRANSMISSION!AL36</f>
        <v>0</v>
      </c>
      <c r="AM19" s="34" t="n">
        <f aca="false">IF(08_TRANSMISSION!$C$17=2,08_TRANSMISSION!AM34,0)+08_TRANSMISSION!AM36</f>
        <v>0</v>
      </c>
      <c r="AN19" s="34" t="n">
        <f aca="false">IF(08_TRANSMISSION!$C$17=2,08_TRANSMISSION!AN34,0)+08_TRANSMISSION!AN36</f>
        <v>0</v>
      </c>
      <c r="AO19" s="34" t="n">
        <f aca="false">IF(08_TRANSMISSION!$C$17=2,08_TRANSMISSION!AO34,0)+08_TRANSMISSION!AO36</f>
        <v>0</v>
      </c>
      <c r="AP19" s="34" t="n">
        <f aca="false">IF(08_TRANSMISSION!$C$17=2,08_TRANSMISSION!AP34,0)+08_TRANSMISSION!AP36</f>
        <v>0</v>
      </c>
      <c r="AQ19" s="34" t="n">
        <f aca="false">IF(08_TRANSMISSION!$C$17=2,08_TRANSMISSION!AQ34,0)+08_TRANSMISSION!AQ36</f>
        <v>0</v>
      </c>
      <c r="AR19" s="34" t="n">
        <f aca="false">IF(08_TRANSMISSION!$C$17=2,08_TRANSMISSION!AR34,0)+08_TRANSMISSION!AR36</f>
        <v>0</v>
      </c>
    </row>
    <row r="20" customFormat="false" ht="15" hidden="false" customHeight="false" outlineLevel="0" collapsed="false">
      <c r="A20" s="4" t="s">
        <v>282</v>
      </c>
      <c r="B20" s="8" t="s">
        <v>84</v>
      </c>
      <c r="C20" s="34" t="n">
        <f aca="false">SUM(07_OPEX!$E$20:$AR$20)</f>
        <v>1134.94285845584</v>
      </c>
      <c r="E20" s="50" t="n">
        <f aca="false">07_OPEX!E14+07_OPEX!E15+07_OPEX!E16+07_OPEX!E17+07_OPEX!E18+07_OPEX!E19</f>
        <v>0</v>
      </c>
      <c r="F20" s="50" t="n">
        <f aca="false">07_OPEX!F14+07_OPEX!F15+07_OPEX!F16+07_OPEX!F17+07_OPEX!F18+07_OPEX!F19</f>
        <v>0</v>
      </c>
      <c r="G20" s="50" t="n">
        <f aca="false">07_OPEX!G14+07_OPEX!G15+07_OPEX!G16+07_OPEX!G17+07_OPEX!G18+07_OPEX!G19</f>
        <v>0</v>
      </c>
      <c r="H20" s="50" t="n">
        <f aca="false">07_OPEX!H14+07_OPEX!H15+07_OPEX!H16+07_OPEX!H17+07_OPEX!H18+07_OPEX!H19</f>
        <v>0</v>
      </c>
      <c r="I20" s="50" t="n">
        <f aca="false">07_OPEX!I14+07_OPEX!I15+07_OPEX!I16+07_OPEX!I17+07_OPEX!I18+07_OPEX!I19</f>
        <v>0</v>
      </c>
      <c r="J20" s="50" t="n">
        <f aca="false">07_OPEX!J14+07_OPEX!J15+07_OPEX!J16+07_OPEX!J17+07_OPEX!J18+07_OPEX!J19</f>
        <v>27.7017835760644</v>
      </c>
      <c r="K20" s="50" t="n">
        <f aca="false">07_OPEX!K14+07_OPEX!K15+07_OPEX!K16+07_OPEX!K17+07_OPEX!K18+07_OPEX!K19</f>
        <v>28.542853710975</v>
      </c>
      <c r="L20" s="50" t="n">
        <f aca="false">07_OPEX!L14+07_OPEX!L15+07_OPEX!L16+07_OPEX!L17+07_OPEX!L18+07_OPEX!L19</f>
        <v>29.1137107851945</v>
      </c>
      <c r="M20" s="50" t="n">
        <f aca="false">07_OPEX!M14+07_OPEX!M15+07_OPEX!M16+07_OPEX!M17+07_OPEX!M18+07_OPEX!M19</f>
        <v>29.6959850008984</v>
      </c>
      <c r="N20" s="50" t="n">
        <f aca="false">07_OPEX!N14+07_OPEX!N15+07_OPEX!N16+07_OPEX!N17+07_OPEX!N18+07_OPEX!N19</f>
        <v>30.2899047009164</v>
      </c>
      <c r="O20" s="50" t="n">
        <f aca="false">07_OPEX!O14+07_OPEX!O15+07_OPEX!O16+07_OPEX!O17+07_OPEX!O18+07_OPEX!O19</f>
        <v>30.8957027949347</v>
      </c>
      <c r="P20" s="50" t="n">
        <f aca="false">07_OPEX!P14+07_OPEX!P15+07_OPEX!P16+07_OPEX!P17+07_OPEX!P18+07_OPEX!P19</f>
        <v>31.5136168508334</v>
      </c>
      <c r="Q20" s="50" t="n">
        <f aca="false">07_OPEX!Q14+07_OPEX!Q15+07_OPEX!Q16+07_OPEX!Q17+07_OPEX!Q18+07_OPEX!Q19</f>
        <v>32.1438891878501</v>
      </c>
      <c r="R20" s="50" t="n">
        <f aca="false">07_OPEX!R14+07_OPEX!R15+07_OPEX!R16+07_OPEX!R17+07_OPEX!R18+07_OPEX!R19</f>
        <v>32.7867669716071</v>
      </c>
      <c r="S20" s="50" t="n">
        <f aca="false">07_OPEX!S14+07_OPEX!S15+07_OPEX!S16+07_OPEX!S17+07_OPEX!S18+07_OPEX!S19</f>
        <v>33.4425023110392</v>
      </c>
      <c r="T20" s="50" t="n">
        <f aca="false">07_OPEX!T14+07_OPEX!T15+07_OPEX!T16+07_OPEX!T17+07_OPEX!T18+07_OPEX!T19</f>
        <v>34.11135235726</v>
      </c>
      <c r="U20" s="50" t="n">
        <f aca="false">07_OPEX!U14+07_OPEX!U15+07_OPEX!U16+07_OPEX!U17+07_OPEX!U18+07_OPEX!U19</f>
        <v>34.7935794044052</v>
      </c>
      <c r="V20" s="50" t="n">
        <f aca="false">07_OPEX!V14+07_OPEX!V15+07_OPEX!V16+07_OPEX!V17+07_OPEX!V18+07_OPEX!V19</f>
        <v>35.4894509924933</v>
      </c>
      <c r="W20" s="50" t="n">
        <f aca="false">07_OPEX!W14+07_OPEX!W15+07_OPEX!W16+07_OPEX!W17+07_OPEX!W18+07_OPEX!W19</f>
        <v>36.1992400123432</v>
      </c>
      <c r="X20" s="50" t="n">
        <f aca="false">07_OPEX!X14+07_OPEX!X15+07_OPEX!X16+07_OPEX!X17+07_OPEX!X18+07_OPEX!X19</f>
        <v>36.9232248125901</v>
      </c>
      <c r="Y20" s="50" t="n">
        <f aca="false">07_OPEX!Y14+07_OPEX!Y15+07_OPEX!Y16+07_OPEX!Y17+07_OPEX!Y18+07_OPEX!Y19</f>
        <v>37.6616893088419</v>
      </c>
      <c r="Z20" s="50" t="n">
        <f aca="false">07_OPEX!Z14+07_OPEX!Z15+07_OPEX!Z16+07_OPEX!Z17+07_OPEX!Z18+07_OPEX!Z19</f>
        <v>38.4149230950187</v>
      </c>
      <c r="AA20" s="50" t="n">
        <f aca="false">07_OPEX!AA14+07_OPEX!AA15+07_OPEX!AA16+07_OPEX!AA17+07_OPEX!AA18+07_OPEX!AA19</f>
        <v>39.1832215569191</v>
      </c>
      <c r="AB20" s="50" t="n">
        <f aca="false">07_OPEX!AB14+07_OPEX!AB15+07_OPEX!AB16+07_OPEX!AB17+07_OPEX!AB18+07_OPEX!AB19</f>
        <v>39.9668859880575</v>
      </c>
      <c r="AC20" s="50" t="n">
        <f aca="false">07_OPEX!AC14+07_OPEX!AC15+07_OPEX!AC16+07_OPEX!AC17+07_OPEX!AC18+07_OPEX!AC19</f>
        <v>40.7662237078186</v>
      </c>
      <c r="AD20" s="50" t="n">
        <f aca="false">07_OPEX!AD14+07_OPEX!AD15+07_OPEX!AD16+07_OPEX!AD17+07_OPEX!AD18+07_OPEX!AD19</f>
        <v>41.581548181975</v>
      </c>
      <c r="AE20" s="50" t="n">
        <f aca="false">07_OPEX!AE14+07_OPEX!AE15+07_OPEX!AE16+07_OPEX!AE17+07_OPEX!AE18+07_OPEX!AE19</f>
        <v>42.4131791456145</v>
      </c>
      <c r="AF20" s="50" t="n">
        <f aca="false">07_OPEX!AF14+07_OPEX!AF15+07_OPEX!AF16+07_OPEX!AF17+07_OPEX!AF18+07_OPEX!AF19</f>
        <v>43.2614427285268</v>
      </c>
      <c r="AG20" s="50" t="n">
        <f aca="false">07_OPEX!AG14+07_OPEX!AG15+07_OPEX!AG16+07_OPEX!AG17+07_OPEX!AG18+07_OPEX!AG19</f>
        <v>44.1266715830973</v>
      </c>
      <c r="AH20" s="50" t="n">
        <f aca="false">07_OPEX!AH14+07_OPEX!AH15+07_OPEX!AH16+07_OPEX!AH17+07_OPEX!AH18+07_OPEX!AH19</f>
        <v>45.0092050147593</v>
      </c>
      <c r="AI20" s="50" t="n">
        <f aca="false">07_OPEX!AI14+07_OPEX!AI15+07_OPEX!AI16+07_OPEX!AI17+07_OPEX!AI18+07_OPEX!AI19</f>
        <v>45.9093891150544</v>
      </c>
      <c r="AJ20" s="50" t="n">
        <f aca="false">07_OPEX!AJ14+07_OPEX!AJ15+07_OPEX!AJ16+07_OPEX!AJ17+07_OPEX!AJ18+07_OPEX!AJ19</f>
        <v>46.8275768973555</v>
      </c>
      <c r="AK20" s="50" t="n">
        <f aca="false">07_OPEX!AK14+07_OPEX!AK15+07_OPEX!AK16+07_OPEX!AK17+07_OPEX!AK18+07_OPEX!AK19</f>
        <v>47.7641284353026</v>
      </c>
      <c r="AL20" s="50" t="n">
        <f aca="false">07_OPEX!AL14+07_OPEX!AL15+07_OPEX!AL16+07_OPEX!AL17+07_OPEX!AL18+07_OPEX!AL19</f>
        <v>48.7194110040087</v>
      </c>
      <c r="AM20" s="50" t="n">
        <f aca="false">07_OPEX!AM14+07_OPEX!AM15+07_OPEX!AM16+07_OPEX!AM17+07_OPEX!AM18+07_OPEX!AM19</f>
        <v>49.6937992240889</v>
      </c>
      <c r="AN20" s="50" t="n">
        <f aca="false">07_OPEX!AN14+07_OPEX!AN15+07_OPEX!AN16+07_OPEX!AN17+07_OPEX!AN18+07_OPEX!AN19</f>
        <v>0</v>
      </c>
      <c r="AO20" s="50" t="n">
        <f aca="false">07_OPEX!AO14+07_OPEX!AO15+07_OPEX!AO16+07_OPEX!AO17+07_OPEX!AO18+07_OPEX!AO19</f>
        <v>0</v>
      </c>
      <c r="AP20" s="50" t="n">
        <f aca="false">07_OPEX!AP14+07_OPEX!AP15+07_OPEX!AP16+07_OPEX!AP17+07_OPEX!AP18+07_OPEX!AP19</f>
        <v>0</v>
      </c>
      <c r="AQ20" s="50" t="n">
        <f aca="false">07_OPEX!AQ14+07_OPEX!AQ15+07_OPEX!AQ16+07_OPEX!AQ17+07_OPEX!AQ18+07_OPEX!AQ19</f>
        <v>0</v>
      </c>
      <c r="AR20" s="50" t="n">
        <f aca="false">07_OPEX!AR14+07_OPEX!AR15+07_OPEX!AR16+07_OPEX!AR17+07_OPEX!AR18+07_OPEX!AR19</f>
        <v>0</v>
      </c>
    </row>
    <row r="21" customFormat="false" ht="15" hidden="false" customHeight="false" outlineLevel="0" collapsed="false">
      <c r="A21" s="8" t="s">
        <v>283</v>
      </c>
      <c r="B21" s="8" t="s">
        <v>84</v>
      </c>
      <c r="C21" s="34" t="n">
        <f aca="false">SUM(07_OPEX!$E$21:$AR$21)</f>
        <v>189.56506006346</v>
      </c>
      <c r="E21" s="34" t="n">
        <f aca="false">04_GENERATION!E20*07_OPEX!$C$12*06_CONSTRUCTION!E17/1000</f>
        <v>0</v>
      </c>
      <c r="F21" s="34" t="n">
        <f aca="false">04_GENERATION!F20*07_OPEX!$C$12*06_CONSTRUCTION!F17/1000</f>
        <v>0</v>
      </c>
      <c r="G21" s="34" t="n">
        <f aca="false">04_GENERATION!G20*07_OPEX!$C$12*06_CONSTRUCTION!G17/1000</f>
        <v>0</v>
      </c>
      <c r="H21" s="34" t="n">
        <f aca="false">04_GENERATION!H20*07_OPEX!$C$12*06_CONSTRUCTION!H17/1000</f>
        <v>0</v>
      </c>
      <c r="I21" s="34" t="n">
        <f aca="false">04_GENERATION!I20*07_OPEX!$C$12*06_CONSTRUCTION!I17/1000</f>
        <v>0</v>
      </c>
      <c r="J21" s="34" t="n">
        <f aca="false">04_GENERATION!J20*07_OPEX!$C$12*06_CONSTRUCTION!J17/1000</f>
        <v>3.9865897692966</v>
      </c>
      <c r="K21" s="34" t="n">
        <f aca="false">04_GENERATION!K20*07_OPEX!$C$12*06_CONSTRUCTION!K17/1000</f>
        <v>4.78390772315592</v>
      </c>
      <c r="L21" s="34" t="n">
        <f aca="false">04_GENERATION!L20*07_OPEX!$C$12*06_CONSTRUCTION!L17/1000</f>
        <v>4.87958587761904</v>
      </c>
      <c r="M21" s="34" t="n">
        <f aca="false">04_GENERATION!M20*07_OPEX!$C$12*06_CONSTRUCTION!M17/1000</f>
        <v>4.97717759517142</v>
      </c>
      <c r="N21" s="34" t="n">
        <f aca="false">04_GENERATION!N20*07_OPEX!$C$12*06_CONSTRUCTION!N17/1000</f>
        <v>5.07672114707485</v>
      </c>
      <c r="O21" s="34" t="n">
        <f aca="false">04_GENERATION!O20*07_OPEX!$C$12*06_CONSTRUCTION!O17/1000</f>
        <v>5.17825557001635</v>
      </c>
      <c r="P21" s="34" t="n">
        <f aca="false">04_GENERATION!P20*07_OPEX!$C$12*06_CONSTRUCTION!P17/1000</f>
        <v>5.28182068141667</v>
      </c>
      <c r="Q21" s="34" t="n">
        <f aca="false">04_GENERATION!Q20*07_OPEX!$C$12*06_CONSTRUCTION!Q17/1000</f>
        <v>5.38745709504501</v>
      </c>
      <c r="R21" s="34" t="n">
        <f aca="false">04_GENERATION!R20*07_OPEX!$C$12*06_CONSTRUCTION!R17/1000</f>
        <v>5.49520623694591</v>
      </c>
      <c r="S21" s="34" t="n">
        <f aca="false">04_GENERATION!S20*07_OPEX!$C$12*06_CONSTRUCTION!S17/1000</f>
        <v>5.60511036168483</v>
      </c>
      <c r="T21" s="34" t="n">
        <f aca="false">04_GENERATION!T20*07_OPEX!$C$12*06_CONSTRUCTION!T17/1000</f>
        <v>5.71721256891852</v>
      </c>
      <c r="U21" s="34" t="n">
        <f aca="false">04_GENERATION!U20*07_OPEX!$C$12*06_CONSTRUCTION!U17/1000</f>
        <v>5.83155682029689</v>
      </c>
      <c r="V21" s="34" t="n">
        <f aca="false">04_GENERATION!V20*07_OPEX!$C$12*06_CONSTRUCTION!V17/1000</f>
        <v>5.94818795670283</v>
      </c>
      <c r="W21" s="34" t="n">
        <f aca="false">04_GENERATION!W20*07_OPEX!$C$12*06_CONSTRUCTION!W17/1000</f>
        <v>6.06715171583689</v>
      </c>
      <c r="X21" s="34" t="n">
        <f aca="false">04_GENERATION!X20*07_OPEX!$C$12*06_CONSTRUCTION!X17/1000</f>
        <v>6.18849475015362</v>
      </c>
      <c r="Y21" s="34" t="n">
        <f aca="false">04_GENERATION!Y20*07_OPEX!$C$12*06_CONSTRUCTION!Y17/1000</f>
        <v>6.3122646451567</v>
      </c>
      <c r="Z21" s="34" t="n">
        <f aca="false">04_GENERATION!Z20*07_OPEX!$C$12*06_CONSTRUCTION!Z17/1000</f>
        <v>6.43850993805983</v>
      </c>
      <c r="AA21" s="34" t="n">
        <f aca="false">04_GENERATION!AA20*07_OPEX!$C$12*06_CONSTRUCTION!AA17/1000</f>
        <v>6.56728013682103</v>
      </c>
      <c r="AB21" s="34" t="n">
        <f aca="false">04_GENERATION!AB20*07_OPEX!$C$12*06_CONSTRUCTION!AB17/1000</f>
        <v>6.69862573955745</v>
      </c>
      <c r="AC21" s="34" t="n">
        <f aca="false">04_GENERATION!AC20*07_OPEX!$C$12*06_CONSTRUCTION!AC17/1000</f>
        <v>6.8325982543486</v>
      </c>
      <c r="AD21" s="34" t="n">
        <f aca="false">04_GENERATION!AD20*07_OPEX!$C$12*06_CONSTRUCTION!AD17/1000</f>
        <v>6.96925021943557</v>
      </c>
      <c r="AE21" s="34" t="n">
        <f aca="false">04_GENERATION!AE20*07_OPEX!$C$12*06_CONSTRUCTION!AE17/1000</f>
        <v>7.10863522382428</v>
      </c>
      <c r="AF21" s="34" t="n">
        <f aca="false">04_GENERATION!AF20*07_OPEX!$C$12*06_CONSTRUCTION!AF17/1000</f>
        <v>7.25080792830077</v>
      </c>
      <c r="AG21" s="34" t="n">
        <f aca="false">04_GENERATION!AG20*07_OPEX!$C$12*06_CONSTRUCTION!AG17/1000</f>
        <v>7.39582408686678</v>
      </c>
      <c r="AH21" s="34" t="n">
        <f aca="false">04_GENERATION!AH20*07_OPEX!$C$12*06_CONSTRUCTION!AH17/1000</f>
        <v>7.54374056860412</v>
      </c>
      <c r="AI21" s="34" t="n">
        <f aca="false">04_GENERATION!AI20*07_OPEX!$C$12*06_CONSTRUCTION!AI17/1000</f>
        <v>7.6946153799762</v>
      </c>
      <c r="AJ21" s="34" t="n">
        <f aca="false">04_GENERATION!AJ20*07_OPEX!$C$12*06_CONSTRUCTION!AJ17/1000</f>
        <v>7.84850768757572</v>
      </c>
      <c r="AK21" s="34" t="n">
        <f aca="false">04_GENERATION!AK20*07_OPEX!$C$12*06_CONSTRUCTION!AK17/1000</f>
        <v>8.00547784132724</v>
      </c>
      <c r="AL21" s="34" t="n">
        <f aca="false">04_GENERATION!AL20*07_OPEX!$C$12*06_CONSTRUCTION!AL17/1000</f>
        <v>8.16558739815378</v>
      </c>
      <c r="AM21" s="34" t="n">
        <f aca="false">04_GENERATION!AM20*07_OPEX!$C$12*06_CONSTRUCTION!AM17/1000</f>
        <v>8.32889914611686</v>
      </c>
      <c r="AN21" s="34" t="n">
        <f aca="false">04_GENERATION!AN20*07_OPEX!$C$12*06_CONSTRUCTION!AN17/1000</f>
        <v>0</v>
      </c>
      <c r="AO21" s="34" t="n">
        <f aca="false">04_GENERATION!AO20*07_OPEX!$C$12*06_CONSTRUCTION!AO17/1000</f>
        <v>0</v>
      </c>
      <c r="AP21" s="34" t="n">
        <f aca="false">04_GENERATION!AP20*07_OPEX!$C$12*06_CONSTRUCTION!AP17/1000</f>
        <v>0</v>
      </c>
      <c r="AQ21" s="34" t="n">
        <f aca="false">04_GENERATION!AQ20*07_OPEX!$C$12*06_CONSTRUCTION!AQ17/1000</f>
        <v>0</v>
      </c>
      <c r="AR21" s="34" t="n">
        <f aca="false">04_GENERATION!AR20*07_OPEX!$C$12*06_CONSTRUCTION!AR17/1000</f>
        <v>0</v>
      </c>
    </row>
    <row r="22" customFormat="false" ht="15" hidden="false" customHeight="false" outlineLevel="0" collapsed="false">
      <c r="A22" s="8" t="s">
        <v>284</v>
      </c>
      <c r="B22" s="8" t="s">
        <v>84</v>
      </c>
      <c r="C22" s="34" t="n">
        <f aca="false">SUM(07_OPEX!$E$22:$AR$22)</f>
        <v>160.411470346181</v>
      </c>
      <c r="E22" s="34" t="n">
        <f aca="false">04_GENERATION!E23*07_OPEX!$C$12*06_CONSTRUCTION!E17/1000</f>
        <v>0</v>
      </c>
      <c r="F22" s="34" t="n">
        <f aca="false">04_GENERATION!F23*07_OPEX!$C$12*06_CONSTRUCTION!F17/1000</f>
        <v>0</v>
      </c>
      <c r="G22" s="34" t="n">
        <f aca="false">04_GENERATION!G23*07_OPEX!$C$12*06_CONSTRUCTION!G17/1000</f>
        <v>0</v>
      </c>
      <c r="H22" s="34" t="n">
        <f aca="false">04_GENERATION!H23*07_OPEX!$C$12*06_CONSTRUCTION!H17/1000</f>
        <v>0</v>
      </c>
      <c r="I22" s="34" t="n">
        <f aca="false">04_GENERATION!I23*07_OPEX!$C$12*06_CONSTRUCTION!I17/1000</f>
        <v>0</v>
      </c>
      <c r="J22" s="34" t="n">
        <f aca="false">04_GENERATION!J23*07_OPEX!$C$12*06_CONSTRUCTION!J17/1000</f>
        <v>3.37348415549694</v>
      </c>
      <c r="K22" s="34" t="n">
        <f aca="false">04_GENERATION!K23*07_OPEX!$C$12*06_CONSTRUCTION!K17/1000</f>
        <v>4.04818098659633</v>
      </c>
      <c r="L22" s="34" t="n">
        <f aca="false">04_GENERATION!L23*07_OPEX!$C$12*06_CONSTRUCTION!L17/1000</f>
        <v>4.12914460632825</v>
      </c>
      <c r="M22" s="34" t="n">
        <f aca="false">04_GENERATION!M23*07_OPEX!$C$12*06_CONSTRUCTION!M17/1000</f>
        <v>4.21172749845482</v>
      </c>
      <c r="N22" s="34" t="n">
        <f aca="false">04_GENERATION!N23*07_OPEX!$C$12*06_CONSTRUCTION!N17/1000</f>
        <v>4.29596204842391</v>
      </c>
      <c r="O22" s="34" t="n">
        <f aca="false">04_GENERATION!O23*07_OPEX!$C$12*06_CONSTRUCTION!O17/1000</f>
        <v>4.38188128939239</v>
      </c>
      <c r="P22" s="34" t="n">
        <f aca="false">04_GENERATION!P23*07_OPEX!$C$12*06_CONSTRUCTION!P17/1000</f>
        <v>4.46951891518024</v>
      </c>
      <c r="Q22" s="34" t="n">
        <f aca="false">04_GENERATION!Q23*07_OPEX!$C$12*06_CONSTRUCTION!Q17/1000</f>
        <v>4.55890929348384</v>
      </c>
      <c r="R22" s="34" t="n">
        <f aca="false">04_GENERATION!R23*07_OPEX!$C$12*06_CONSTRUCTION!R17/1000</f>
        <v>4.65008747935352</v>
      </c>
      <c r="S22" s="34" t="n">
        <f aca="false">04_GENERATION!S23*07_OPEX!$C$12*06_CONSTRUCTION!S17/1000</f>
        <v>4.74308922894059</v>
      </c>
      <c r="T22" s="34" t="n">
        <f aca="false">04_GENERATION!T23*07_OPEX!$C$12*06_CONSTRUCTION!T17/1000</f>
        <v>4.8379510135194</v>
      </c>
      <c r="U22" s="34" t="n">
        <f aca="false">04_GENERATION!U23*07_OPEX!$C$12*06_CONSTRUCTION!U17/1000</f>
        <v>4.93471003378979</v>
      </c>
      <c r="V22" s="34" t="n">
        <f aca="false">04_GENERATION!V23*07_OPEX!$C$12*06_CONSTRUCTION!V17/1000</f>
        <v>5.03340423446559</v>
      </c>
      <c r="W22" s="34" t="n">
        <f aca="false">04_GENERATION!W23*07_OPEX!$C$12*06_CONSTRUCTION!W17/1000</f>
        <v>5.1340723191549</v>
      </c>
      <c r="X22" s="34" t="n">
        <f aca="false">04_GENERATION!X23*07_OPEX!$C$12*06_CONSTRUCTION!X17/1000</f>
        <v>5.236753765538</v>
      </c>
      <c r="Y22" s="34" t="n">
        <f aca="false">04_GENERATION!Y23*07_OPEX!$C$12*06_CONSTRUCTION!Y17/1000</f>
        <v>5.34148884084876</v>
      </c>
      <c r="Z22" s="34" t="n">
        <f aca="false">04_GENERATION!Z23*07_OPEX!$C$12*06_CONSTRUCTION!Z17/1000</f>
        <v>5.44831861766573</v>
      </c>
      <c r="AA22" s="34" t="n">
        <f aca="false">04_GENERATION!AA23*07_OPEX!$C$12*06_CONSTRUCTION!AA17/1000</f>
        <v>5.55728499001905</v>
      </c>
      <c r="AB22" s="34" t="n">
        <f aca="false">04_GENERATION!AB23*07_OPEX!$C$12*06_CONSTRUCTION!AB17/1000</f>
        <v>5.66843068981943</v>
      </c>
      <c r="AC22" s="34" t="n">
        <f aca="false">04_GENERATION!AC23*07_OPEX!$C$12*06_CONSTRUCTION!AC17/1000</f>
        <v>5.78179930361582</v>
      </c>
      <c r="AD22" s="34" t="n">
        <f aca="false">04_GENERATION!AD23*07_OPEX!$C$12*06_CONSTRUCTION!AD17/1000</f>
        <v>5.89743528968813</v>
      </c>
      <c r="AE22" s="34" t="n">
        <f aca="false">04_GENERATION!AE23*07_OPEX!$C$12*06_CONSTRUCTION!AE17/1000</f>
        <v>6.0153839954819</v>
      </c>
      <c r="AF22" s="34" t="n">
        <f aca="false">04_GENERATION!AF23*07_OPEX!$C$12*06_CONSTRUCTION!AF17/1000</f>
        <v>6.13569167539154</v>
      </c>
      <c r="AG22" s="34" t="n">
        <f aca="false">04_GENERATION!AG23*07_OPEX!$C$12*06_CONSTRUCTION!AG17/1000</f>
        <v>6.25840550889937</v>
      </c>
      <c r="AH22" s="34" t="n">
        <f aca="false">04_GENERATION!AH23*07_OPEX!$C$12*06_CONSTRUCTION!AH17/1000</f>
        <v>6.38357361907735</v>
      </c>
      <c r="AI22" s="34" t="n">
        <f aca="false">04_GENERATION!AI23*07_OPEX!$C$12*06_CONSTRUCTION!AI17/1000</f>
        <v>6.5112450914589</v>
      </c>
      <c r="AJ22" s="34" t="n">
        <f aca="false">04_GENERATION!AJ23*07_OPEX!$C$12*06_CONSTRUCTION!AJ17/1000</f>
        <v>6.64146999328808</v>
      </c>
      <c r="AK22" s="34" t="n">
        <f aca="false">04_GENERATION!AK23*07_OPEX!$C$12*06_CONSTRUCTION!AK17/1000</f>
        <v>6.77429939315384</v>
      </c>
      <c r="AL22" s="34" t="n">
        <f aca="false">04_GENERATION!AL23*07_OPEX!$C$12*06_CONSTRUCTION!AL17/1000</f>
        <v>6.90978538101692</v>
      </c>
      <c r="AM22" s="34" t="n">
        <f aca="false">04_GENERATION!AM23*07_OPEX!$C$12*06_CONSTRUCTION!AM17/1000</f>
        <v>7.04798108863726</v>
      </c>
      <c r="AN22" s="34" t="n">
        <f aca="false">04_GENERATION!AN23*07_OPEX!$C$12*06_CONSTRUCTION!AN17/1000</f>
        <v>0</v>
      </c>
      <c r="AO22" s="34" t="n">
        <f aca="false">04_GENERATION!AO23*07_OPEX!$C$12*06_CONSTRUCTION!AO17/1000</f>
        <v>0</v>
      </c>
      <c r="AP22" s="34" t="n">
        <f aca="false">04_GENERATION!AP23*07_OPEX!$C$12*06_CONSTRUCTION!AP17/1000</f>
        <v>0</v>
      </c>
      <c r="AQ22" s="34" t="n">
        <f aca="false">04_GENERATION!AQ23*07_OPEX!$C$12*06_CONSTRUCTION!AQ17/1000</f>
        <v>0</v>
      </c>
      <c r="AR22" s="34" t="n">
        <f aca="false">04_GENERATION!AR23*07_OPEX!$C$12*06_CONSTRUCTION!AR17/1000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285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286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265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287</v>
      </c>
      <c r="B7" s="8"/>
      <c r="C7" s="19" t="s">
        <v>288</v>
      </c>
    </row>
    <row r="8" customFormat="false" ht="15" hidden="false" customHeight="false" outlineLevel="0" collapsed="false">
      <c r="A8" s="8" t="s">
        <v>289</v>
      </c>
      <c r="B8" s="8" t="s">
        <v>290</v>
      </c>
      <c r="C8" s="26" t="n">
        <v>180</v>
      </c>
    </row>
    <row r="9" customFormat="false" ht="15" hidden="false" customHeight="false" outlineLevel="0" collapsed="false">
      <c r="A9" s="8" t="s">
        <v>291</v>
      </c>
      <c r="B9" s="8" t="s">
        <v>292</v>
      </c>
      <c r="C9" s="27" t="n">
        <v>400</v>
      </c>
    </row>
    <row r="10" customFormat="false" ht="15" hidden="false" customHeight="false" outlineLevel="0" collapsed="false">
      <c r="A10" s="8" t="s">
        <v>293</v>
      </c>
      <c r="B10" s="8" t="s">
        <v>115</v>
      </c>
      <c r="C10" s="26" t="n">
        <v>650</v>
      </c>
      <c r="D10" s="10" t="s">
        <v>294</v>
      </c>
    </row>
    <row r="11" customFormat="false" ht="15" hidden="false" customHeight="false" outlineLevel="0" collapsed="false">
      <c r="A11" s="8" t="s">
        <v>295</v>
      </c>
      <c r="B11" s="8" t="s">
        <v>296</v>
      </c>
      <c r="C11" s="51" t="n">
        <v>0.55</v>
      </c>
      <c r="D11" s="10" t="s">
        <v>297</v>
      </c>
    </row>
    <row r="12" customFormat="false" ht="15" hidden="false" customHeight="false" outlineLevel="0" collapsed="false">
      <c r="A12" s="8" t="s">
        <v>298</v>
      </c>
      <c r="B12" s="8" t="s">
        <v>84</v>
      </c>
      <c r="C12" s="43" t="n">
        <v>50</v>
      </c>
      <c r="D12" s="10" t="s">
        <v>94</v>
      </c>
    </row>
    <row r="13" customFormat="false" ht="15" hidden="false" customHeight="false" outlineLevel="0" collapsed="false">
      <c r="A13" s="8" t="s">
        <v>299</v>
      </c>
      <c r="B13" s="8" t="s">
        <v>84</v>
      </c>
      <c r="C13" s="43" t="n">
        <v>70</v>
      </c>
      <c r="D13" s="10" t="s">
        <v>300</v>
      </c>
    </row>
    <row r="14" customFormat="false" ht="15" hidden="false" customHeight="false" outlineLevel="0" collapsed="false">
      <c r="A14" s="8" t="s">
        <v>301</v>
      </c>
      <c r="B14" s="8" t="s">
        <v>109</v>
      </c>
      <c r="C14" s="23" t="n">
        <v>3</v>
      </c>
    </row>
    <row r="15" customFormat="false" ht="15" hidden="false" customHeight="false" outlineLevel="0" collapsed="false">
      <c r="A15" s="8" t="s">
        <v>302</v>
      </c>
      <c r="B15" s="8" t="s">
        <v>56</v>
      </c>
      <c r="C15" s="12" t="n">
        <v>0.025</v>
      </c>
      <c r="D15" s="10" t="s">
        <v>121</v>
      </c>
    </row>
    <row r="16" customFormat="false" ht="15" hidden="false" customHeight="false" outlineLevel="0" collapsed="false">
      <c r="A16" s="8" t="s">
        <v>303</v>
      </c>
      <c r="B16" s="8" t="s">
        <v>304</v>
      </c>
      <c r="C16" s="12" t="n">
        <v>0.015</v>
      </c>
      <c r="D16" s="10" t="s">
        <v>121</v>
      </c>
    </row>
    <row r="17" customFormat="false" ht="15" hidden="false" customHeight="false" outlineLevel="0" collapsed="false">
      <c r="A17" s="8" t="s">
        <v>305</v>
      </c>
      <c r="B17" s="8" t="s">
        <v>50</v>
      </c>
      <c r="C17" s="9" t="n">
        <v>1</v>
      </c>
      <c r="D17" s="10" t="s">
        <v>306</v>
      </c>
    </row>
    <row r="18" customFormat="false" ht="15" hidden="false" customHeight="false" outlineLevel="0" collapsed="false">
      <c r="A18" s="8" t="s">
        <v>307</v>
      </c>
      <c r="B18" s="8" t="s">
        <v>109</v>
      </c>
      <c r="C18" s="23" t="n">
        <v>0</v>
      </c>
    </row>
    <row r="19" customFormat="false" ht="15" hidden="false" customHeight="false" outlineLevel="0" collapsed="false">
      <c r="A19" s="8" t="s">
        <v>308</v>
      </c>
      <c r="B19" s="8" t="s">
        <v>115</v>
      </c>
      <c r="C19" s="27" t="n">
        <v>80</v>
      </c>
      <c r="D19" s="10" t="s">
        <v>309</v>
      </c>
    </row>
    <row r="20" customFormat="false" ht="15" hidden="false" customHeight="false" outlineLevel="0" collapsed="false">
      <c r="A20" s="8" t="s">
        <v>310</v>
      </c>
      <c r="B20" s="8" t="s">
        <v>311</v>
      </c>
      <c r="C20" s="24" t="n">
        <v>0</v>
      </c>
      <c r="D20" s="10" t="s">
        <v>312</v>
      </c>
    </row>
    <row r="21" customFormat="false" ht="15" hidden="false" customHeight="false" outlineLevel="0" collapsed="false">
      <c r="A21" s="8" t="s">
        <v>313</v>
      </c>
      <c r="B21" s="8" t="s">
        <v>53</v>
      </c>
      <c r="C21" s="9" t="n">
        <v>0</v>
      </c>
      <c r="D21" s="10" t="s">
        <v>314</v>
      </c>
    </row>
    <row r="22" customFormat="false" ht="15" hidden="false" customHeight="false" outlineLevel="0" collapsed="false">
      <c r="A22" s="6" t="s">
        <v>315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</row>
    <row r="23" customFormat="false" ht="15" hidden="false" customHeight="false" outlineLevel="0" collapsed="false">
      <c r="A23" s="4" t="s">
        <v>316</v>
      </c>
      <c r="B23" s="8" t="s">
        <v>84</v>
      </c>
      <c r="C23" s="44" t="n">
        <f aca="false">(08_TRANSMISSION!$C$8*08_TRANSMISSION!$C$11+08_TRANSMISSION!$C$12+08_TRANSMISSION!$C$13)*27_SCENARIOS!$C$27</f>
        <v>219</v>
      </c>
    </row>
    <row r="24" customFormat="false" ht="15" hidden="false" customHeight="false" outlineLevel="0" collapsed="false">
      <c r="A24" s="8" t="s">
        <v>317</v>
      </c>
      <c r="B24" s="8" t="s">
        <v>105</v>
      </c>
      <c r="C24" s="52" t="n">
        <f aca="false">02_PROJECT_INPUTS!$C$10+02_PROJECT_INPUTS!$C$12+08_TRANSMISSION!$C$18</f>
        <v>2032</v>
      </c>
    </row>
    <row r="25" customFormat="false" ht="15" hidden="false" customHeight="false" outlineLevel="0" collapsed="false">
      <c r="A25" s="4" t="s">
        <v>318</v>
      </c>
      <c r="B25" s="8" t="s">
        <v>105</v>
      </c>
      <c r="C25" s="48" t="n">
        <f aca="false">08_TRANSMISSION!$C$24+27_SCENARIOS!$C$37</f>
        <v>2032</v>
      </c>
    </row>
    <row r="26" customFormat="false" ht="15" hidden="false" customHeight="false" outlineLevel="0" collapsed="false">
      <c r="A26" s="4" t="s">
        <v>319</v>
      </c>
      <c r="B26" s="8" t="s">
        <v>109</v>
      </c>
      <c r="C26" s="53" t="n">
        <f aca="false">08_TRANSMISSION!$C$25-06_CONSTRUCTION!$C$8</f>
        <v>0</v>
      </c>
    </row>
    <row r="27" customFormat="false" ht="15" hidden="false" customHeight="false" outlineLevel="0" collapsed="false">
      <c r="A27" s="4" t="s">
        <v>320</v>
      </c>
      <c r="B27" s="8" t="s">
        <v>115</v>
      </c>
      <c r="C27" s="35" t="n">
        <f aca="false">MAX(0,02_PROJECT_INPUTS!$C$15-09_GRID!$C$20)</f>
        <v>0</v>
      </c>
    </row>
    <row r="28" customFormat="false" ht="15" hidden="false" customHeight="false" outlineLevel="0" collapsed="false">
      <c r="A28" s="8" t="s">
        <v>321</v>
      </c>
      <c r="B28" s="8" t="s">
        <v>230</v>
      </c>
      <c r="C28" s="39" t="n">
        <f aca="false">08_TRANSMISSION!$C$23/02_PROJECT_INPUTS!$C$15*1000</f>
        <v>547.5</v>
      </c>
    </row>
    <row r="30" customFormat="false" ht="15" hidden="false" customHeight="false" outlineLevel="0" collapsed="false">
      <c r="A30" s="8" t="s">
        <v>322</v>
      </c>
      <c r="B30" s="8" t="s">
        <v>249</v>
      </c>
      <c r="E30" s="47" t="n">
        <f aca="false">IF(06_CONSTRUCTION!E4&gt;=08_TRANSMISSION!$C$25,1,0)</f>
        <v>0</v>
      </c>
      <c r="F30" s="47" t="n">
        <f aca="false">IF(06_CONSTRUCTION!F4&gt;=08_TRANSMISSION!$C$25,1,0)</f>
        <v>0</v>
      </c>
      <c r="G30" s="47" t="n">
        <f aca="false">IF(06_CONSTRUCTION!G4&gt;=08_TRANSMISSION!$C$25,1,0)</f>
        <v>0</v>
      </c>
      <c r="H30" s="47" t="n">
        <f aca="false">IF(06_CONSTRUCTION!H4&gt;=08_TRANSMISSION!$C$25,1,0)</f>
        <v>0</v>
      </c>
      <c r="I30" s="47" t="n">
        <f aca="false">IF(06_CONSTRUCTION!I4&gt;=08_TRANSMISSION!$C$25,1,0)</f>
        <v>0</v>
      </c>
      <c r="J30" s="47" t="n">
        <f aca="false">IF(06_CONSTRUCTION!J4&gt;=08_TRANSMISSION!$C$25,1,0)</f>
        <v>1</v>
      </c>
      <c r="K30" s="47" t="n">
        <f aca="false">IF(06_CONSTRUCTION!K4&gt;=08_TRANSMISSION!$C$25,1,0)</f>
        <v>1</v>
      </c>
      <c r="L30" s="47" t="n">
        <f aca="false">IF(06_CONSTRUCTION!L4&gt;=08_TRANSMISSION!$C$25,1,0)</f>
        <v>1</v>
      </c>
      <c r="M30" s="47" t="n">
        <f aca="false">IF(06_CONSTRUCTION!M4&gt;=08_TRANSMISSION!$C$25,1,0)</f>
        <v>1</v>
      </c>
      <c r="N30" s="47" t="n">
        <f aca="false">IF(06_CONSTRUCTION!N4&gt;=08_TRANSMISSION!$C$25,1,0)</f>
        <v>1</v>
      </c>
      <c r="O30" s="47" t="n">
        <f aca="false">IF(06_CONSTRUCTION!O4&gt;=08_TRANSMISSION!$C$25,1,0)</f>
        <v>1</v>
      </c>
      <c r="P30" s="47" t="n">
        <f aca="false">IF(06_CONSTRUCTION!P4&gt;=08_TRANSMISSION!$C$25,1,0)</f>
        <v>1</v>
      </c>
      <c r="Q30" s="47" t="n">
        <f aca="false">IF(06_CONSTRUCTION!Q4&gt;=08_TRANSMISSION!$C$25,1,0)</f>
        <v>1</v>
      </c>
      <c r="R30" s="47" t="n">
        <f aca="false">IF(06_CONSTRUCTION!R4&gt;=08_TRANSMISSION!$C$25,1,0)</f>
        <v>1</v>
      </c>
      <c r="S30" s="47" t="n">
        <f aca="false">IF(06_CONSTRUCTION!S4&gt;=08_TRANSMISSION!$C$25,1,0)</f>
        <v>1</v>
      </c>
      <c r="T30" s="47" t="n">
        <f aca="false">IF(06_CONSTRUCTION!T4&gt;=08_TRANSMISSION!$C$25,1,0)</f>
        <v>1</v>
      </c>
      <c r="U30" s="47" t="n">
        <f aca="false">IF(06_CONSTRUCTION!U4&gt;=08_TRANSMISSION!$C$25,1,0)</f>
        <v>1</v>
      </c>
      <c r="V30" s="47" t="n">
        <f aca="false">IF(06_CONSTRUCTION!V4&gt;=08_TRANSMISSION!$C$25,1,0)</f>
        <v>1</v>
      </c>
      <c r="W30" s="47" t="n">
        <f aca="false">IF(06_CONSTRUCTION!W4&gt;=08_TRANSMISSION!$C$25,1,0)</f>
        <v>1</v>
      </c>
      <c r="X30" s="47" t="n">
        <f aca="false">IF(06_CONSTRUCTION!X4&gt;=08_TRANSMISSION!$C$25,1,0)</f>
        <v>1</v>
      </c>
      <c r="Y30" s="47" t="n">
        <f aca="false">IF(06_CONSTRUCTION!Y4&gt;=08_TRANSMISSION!$C$25,1,0)</f>
        <v>1</v>
      </c>
      <c r="Z30" s="47" t="n">
        <f aca="false">IF(06_CONSTRUCTION!Z4&gt;=08_TRANSMISSION!$C$25,1,0)</f>
        <v>1</v>
      </c>
      <c r="AA30" s="47" t="n">
        <f aca="false">IF(06_CONSTRUCTION!AA4&gt;=08_TRANSMISSION!$C$25,1,0)</f>
        <v>1</v>
      </c>
      <c r="AB30" s="47" t="n">
        <f aca="false">IF(06_CONSTRUCTION!AB4&gt;=08_TRANSMISSION!$C$25,1,0)</f>
        <v>1</v>
      </c>
      <c r="AC30" s="47" t="n">
        <f aca="false">IF(06_CONSTRUCTION!AC4&gt;=08_TRANSMISSION!$C$25,1,0)</f>
        <v>1</v>
      </c>
      <c r="AD30" s="47" t="n">
        <f aca="false">IF(06_CONSTRUCTION!AD4&gt;=08_TRANSMISSION!$C$25,1,0)</f>
        <v>1</v>
      </c>
      <c r="AE30" s="47" t="n">
        <f aca="false">IF(06_CONSTRUCTION!AE4&gt;=08_TRANSMISSION!$C$25,1,0)</f>
        <v>1</v>
      </c>
      <c r="AF30" s="47" t="n">
        <f aca="false">IF(06_CONSTRUCTION!AF4&gt;=08_TRANSMISSION!$C$25,1,0)</f>
        <v>1</v>
      </c>
      <c r="AG30" s="47" t="n">
        <f aca="false">IF(06_CONSTRUCTION!AG4&gt;=08_TRANSMISSION!$C$25,1,0)</f>
        <v>1</v>
      </c>
      <c r="AH30" s="47" t="n">
        <f aca="false">IF(06_CONSTRUCTION!AH4&gt;=08_TRANSMISSION!$C$25,1,0)</f>
        <v>1</v>
      </c>
      <c r="AI30" s="47" t="n">
        <f aca="false">IF(06_CONSTRUCTION!AI4&gt;=08_TRANSMISSION!$C$25,1,0)</f>
        <v>1</v>
      </c>
      <c r="AJ30" s="47" t="n">
        <f aca="false">IF(06_CONSTRUCTION!AJ4&gt;=08_TRANSMISSION!$C$25,1,0)</f>
        <v>1</v>
      </c>
      <c r="AK30" s="47" t="n">
        <f aca="false">IF(06_CONSTRUCTION!AK4&gt;=08_TRANSMISSION!$C$25,1,0)</f>
        <v>1</v>
      </c>
      <c r="AL30" s="47" t="n">
        <f aca="false">IF(06_CONSTRUCTION!AL4&gt;=08_TRANSMISSION!$C$25,1,0)</f>
        <v>1</v>
      </c>
      <c r="AM30" s="47" t="n">
        <f aca="false">IF(06_CONSTRUCTION!AM4&gt;=08_TRANSMISSION!$C$25,1,0)</f>
        <v>1</v>
      </c>
      <c r="AN30" s="47" t="n">
        <f aca="false">IF(06_CONSTRUCTION!AN4&gt;=08_TRANSMISSION!$C$25,1,0)</f>
        <v>1</v>
      </c>
      <c r="AO30" s="47" t="n">
        <f aca="false">IF(06_CONSTRUCTION!AO4&gt;=08_TRANSMISSION!$C$25,1,0)</f>
        <v>1</v>
      </c>
      <c r="AP30" s="47" t="n">
        <f aca="false">IF(06_CONSTRUCTION!AP4&gt;=08_TRANSMISSION!$C$25,1,0)</f>
        <v>1</v>
      </c>
      <c r="AQ30" s="47" t="n">
        <f aca="false">IF(06_CONSTRUCTION!AQ4&gt;=08_TRANSMISSION!$C$25,1,0)</f>
        <v>1</v>
      </c>
      <c r="AR30" s="47" t="n">
        <f aca="false">IF(06_CONSTRUCTION!AR4&gt;=08_TRANSMISSION!$C$25,1,0)</f>
        <v>1</v>
      </c>
    </row>
    <row r="31" customFormat="false" ht="15" hidden="false" customHeight="false" outlineLevel="0" collapsed="false">
      <c r="A31" s="8" t="s">
        <v>323</v>
      </c>
      <c r="B31" s="8" t="s">
        <v>84</v>
      </c>
      <c r="C31" s="34" t="n">
        <f aca="false">SUM(08_TRANSMISSION!$E$31:$AR$31)</f>
        <v>241.784156181641</v>
      </c>
      <c r="E31" s="34" t="n">
        <f aca="false">IF(AND(06_CONSTRUCTION!E4&gt;=08_TRANSMISSION!$C$24-08_TRANSMISSION!$C$14,06_CONSTRUCTION!E4&lt;08_TRANSMISSION!$C$25),08_TRANSMISSION!$C$23*(1+05_PLANT_CAPEX!$C$15*27_SCENARIOS!$C$37)/(08_TRANSMISSION!$C$14+27_SCENARIOS!$C$37)*06_CONSTRUCTION!E21,0)</f>
        <v>0</v>
      </c>
      <c r="F31" s="34" t="n">
        <f aca="false">IF(AND(06_CONSTRUCTION!F4&gt;=08_TRANSMISSION!$C$24-08_TRANSMISSION!$C$14,06_CONSTRUCTION!F4&lt;08_TRANSMISSION!$C$25),08_TRANSMISSION!$C$23*(1+05_PLANT_CAPEX!$C$15*27_SCENARIOS!$C$37)/(08_TRANSMISSION!$C$14+27_SCENARIOS!$C$37)*06_CONSTRUCTION!F21,0)</f>
        <v>0</v>
      </c>
      <c r="G31" s="34" t="n">
        <f aca="false">IF(AND(06_CONSTRUCTION!G4&gt;=08_TRANSMISSION!$C$24-08_TRANSMISSION!$C$14,06_CONSTRUCTION!G4&lt;08_TRANSMISSION!$C$25),08_TRANSMISSION!$C$23*(1+05_PLANT_CAPEX!$C$15*27_SCENARIOS!$C$37)/(08_TRANSMISSION!$C$14+27_SCENARIOS!$C$37)*06_CONSTRUCTION!G21,0)</f>
        <v>78.613015625</v>
      </c>
      <c r="H31" s="34" t="n">
        <f aca="false">IF(AND(06_CONSTRUCTION!H4&gt;=08_TRANSMISSION!$C$24-08_TRANSMISSION!$C$14,06_CONSTRUCTION!H4&lt;08_TRANSMISSION!$C$25),08_TRANSMISSION!$C$23*(1+05_PLANT_CAPEX!$C$15*27_SCENARIOS!$C$37)/(08_TRANSMISSION!$C$14+27_SCENARIOS!$C$37)*06_CONSTRUCTION!H21,0)</f>
        <v>80.578341015625</v>
      </c>
      <c r="I31" s="34" t="n">
        <f aca="false">IF(AND(06_CONSTRUCTION!I4&gt;=08_TRANSMISSION!$C$24-08_TRANSMISSION!$C$14,06_CONSTRUCTION!I4&lt;08_TRANSMISSION!$C$25),08_TRANSMISSION!$C$23*(1+05_PLANT_CAPEX!$C$15*27_SCENARIOS!$C$37)/(08_TRANSMISSION!$C$14+27_SCENARIOS!$C$37)*06_CONSTRUCTION!I21,0)</f>
        <v>82.5927995410156</v>
      </c>
      <c r="J31" s="34" t="n">
        <f aca="false">IF(AND(06_CONSTRUCTION!J4&gt;=08_TRANSMISSION!$C$24-08_TRANSMISSION!$C$14,06_CONSTRUCTION!J4&lt;08_TRANSMISSION!$C$25),08_TRANSMISSION!$C$23*(1+05_PLANT_CAPEX!$C$15*27_SCENARIOS!$C$37)/(08_TRANSMISSION!$C$14+27_SCENARIOS!$C$37)*06_CONSTRUCTION!J21,0)</f>
        <v>0</v>
      </c>
      <c r="K31" s="34" t="n">
        <f aca="false">IF(AND(06_CONSTRUCTION!K4&gt;=08_TRANSMISSION!$C$24-08_TRANSMISSION!$C$14,06_CONSTRUCTION!K4&lt;08_TRANSMISSION!$C$25),08_TRANSMISSION!$C$23*(1+05_PLANT_CAPEX!$C$15*27_SCENARIOS!$C$37)/(08_TRANSMISSION!$C$14+27_SCENARIOS!$C$37)*06_CONSTRUCTION!K21,0)</f>
        <v>0</v>
      </c>
      <c r="L31" s="34" t="n">
        <f aca="false">IF(AND(06_CONSTRUCTION!L4&gt;=08_TRANSMISSION!$C$24-08_TRANSMISSION!$C$14,06_CONSTRUCTION!L4&lt;08_TRANSMISSION!$C$25),08_TRANSMISSION!$C$23*(1+05_PLANT_CAPEX!$C$15*27_SCENARIOS!$C$37)/(08_TRANSMISSION!$C$14+27_SCENARIOS!$C$37)*06_CONSTRUCTION!L21,0)</f>
        <v>0</v>
      </c>
      <c r="M31" s="34" t="n">
        <f aca="false">IF(AND(06_CONSTRUCTION!M4&gt;=08_TRANSMISSION!$C$24-08_TRANSMISSION!$C$14,06_CONSTRUCTION!M4&lt;08_TRANSMISSION!$C$25),08_TRANSMISSION!$C$23*(1+05_PLANT_CAPEX!$C$15*27_SCENARIOS!$C$37)/(08_TRANSMISSION!$C$14+27_SCENARIOS!$C$37)*06_CONSTRUCTION!M21,0)</f>
        <v>0</v>
      </c>
      <c r="N31" s="34" t="n">
        <f aca="false">IF(AND(06_CONSTRUCTION!N4&gt;=08_TRANSMISSION!$C$24-08_TRANSMISSION!$C$14,06_CONSTRUCTION!N4&lt;08_TRANSMISSION!$C$25),08_TRANSMISSION!$C$23*(1+05_PLANT_CAPEX!$C$15*27_SCENARIOS!$C$37)/(08_TRANSMISSION!$C$14+27_SCENARIOS!$C$37)*06_CONSTRUCTION!N21,0)</f>
        <v>0</v>
      </c>
      <c r="O31" s="34" t="n">
        <f aca="false">IF(AND(06_CONSTRUCTION!O4&gt;=08_TRANSMISSION!$C$24-08_TRANSMISSION!$C$14,06_CONSTRUCTION!O4&lt;08_TRANSMISSION!$C$25),08_TRANSMISSION!$C$23*(1+05_PLANT_CAPEX!$C$15*27_SCENARIOS!$C$37)/(08_TRANSMISSION!$C$14+27_SCENARIOS!$C$37)*06_CONSTRUCTION!O21,0)</f>
        <v>0</v>
      </c>
      <c r="P31" s="34" t="n">
        <f aca="false">IF(AND(06_CONSTRUCTION!P4&gt;=08_TRANSMISSION!$C$24-08_TRANSMISSION!$C$14,06_CONSTRUCTION!P4&lt;08_TRANSMISSION!$C$25),08_TRANSMISSION!$C$23*(1+05_PLANT_CAPEX!$C$15*27_SCENARIOS!$C$37)/(08_TRANSMISSION!$C$14+27_SCENARIOS!$C$37)*06_CONSTRUCTION!P21,0)</f>
        <v>0</v>
      </c>
      <c r="Q31" s="34" t="n">
        <f aca="false">IF(AND(06_CONSTRUCTION!Q4&gt;=08_TRANSMISSION!$C$24-08_TRANSMISSION!$C$14,06_CONSTRUCTION!Q4&lt;08_TRANSMISSION!$C$25),08_TRANSMISSION!$C$23*(1+05_PLANT_CAPEX!$C$15*27_SCENARIOS!$C$37)/(08_TRANSMISSION!$C$14+27_SCENARIOS!$C$37)*06_CONSTRUCTION!Q21,0)</f>
        <v>0</v>
      </c>
      <c r="R31" s="34" t="n">
        <f aca="false">IF(AND(06_CONSTRUCTION!R4&gt;=08_TRANSMISSION!$C$24-08_TRANSMISSION!$C$14,06_CONSTRUCTION!R4&lt;08_TRANSMISSION!$C$25),08_TRANSMISSION!$C$23*(1+05_PLANT_CAPEX!$C$15*27_SCENARIOS!$C$37)/(08_TRANSMISSION!$C$14+27_SCENARIOS!$C$37)*06_CONSTRUCTION!R21,0)</f>
        <v>0</v>
      </c>
      <c r="S31" s="34" t="n">
        <f aca="false">IF(AND(06_CONSTRUCTION!S4&gt;=08_TRANSMISSION!$C$24-08_TRANSMISSION!$C$14,06_CONSTRUCTION!S4&lt;08_TRANSMISSION!$C$25),08_TRANSMISSION!$C$23*(1+05_PLANT_CAPEX!$C$15*27_SCENARIOS!$C$37)/(08_TRANSMISSION!$C$14+27_SCENARIOS!$C$37)*06_CONSTRUCTION!S21,0)</f>
        <v>0</v>
      </c>
      <c r="T31" s="34" t="n">
        <f aca="false">IF(AND(06_CONSTRUCTION!T4&gt;=08_TRANSMISSION!$C$24-08_TRANSMISSION!$C$14,06_CONSTRUCTION!T4&lt;08_TRANSMISSION!$C$25),08_TRANSMISSION!$C$23*(1+05_PLANT_CAPEX!$C$15*27_SCENARIOS!$C$37)/(08_TRANSMISSION!$C$14+27_SCENARIOS!$C$37)*06_CONSTRUCTION!T21,0)</f>
        <v>0</v>
      </c>
      <c r="U31" s="34" t="n">
        <f aca="false">IF(AND(06_CONSTRUCTION!U4&gt;=08_TRANSMISSION!$C$24-08_TRANSMISSION!$C$14,06_CONSTRUCTION!U4&lt;08_TRANSMISSION!$C$25),08_TRANSMISSION!$C$23*(1+05_PLANT_CAPEX!$C$15*27_SCENARIOS!$C$37)/(08_TRANSMISSION!$C$14+27_SCENARIOS!$C$37)*06_CONSTRUCTION!U21,0)</f>
        <v>0</v>
      </c>
      <c r="V31" s="34" t="n">
        <f aca="false">IF(AND(06_CONSTRUCTION!V4&gt;=08_TRANSMISSION!$C$24-08_TRANSMISSION!$C$14,06_CONSTRUCTION!V4&lt;08_TRANSMISSION!$C$25),08_TRANSMISSION!$C$23*(1+05_PLANT_CAPEX!$C$15*27_SCENARIOS!$C$37)/(08_TRANSMISSION!$C$14+27_SCENARIOS!$C$37)*06_CONSTRUCTION!V21,0)</f>
        <v>0</v>
      </c>
      <c r="W31" s="34" t="n">
        <f aca="false">IF(AND(06_CONSTRUCTION!W4&gt;=08_TRANSMISSION!$C$24-08_TRANSMISSION!$C$14,06_CONSTRUCTION!W4&lt;08_TRANSMISSION!$C$25),08_TRANSMISSION!$C$23*(1+05_PLANT_CAPEX!$C$15*27_SCENARIOS!$C$37)/(08_TRANSMISSION!$C$14+27_SCENARIOS!$C$37)*06_CONSTRUCTION!W21,0)</f>
        <v>0</v>
      </c>
      <c r="X31" s="34" t="n">
        <f aca="false">IF(AND(06_CONSTRUCTION!X4&gt;=08_TRANSMISSION!$C$24-08_TRANSMISSION!$C$14,06_CONSTRUCTION!X4&lt;08_TRANSMISSION!$C$25),08_TRANSMISSION!$C$23*(1+05_PLANT_CAPEX!$C$15*27_SCENARIOS!$C$37)/(08_TRANSMISSION!$C$14+27_SCENARIOS!$C$37)*06_CONSTRUCTION!X21,0)</f>
        <v>0</v>
      </c>
      <c r="Y31" s="34" t="n">
        <f aca="false">IF(AND(06_CONSTRUCTION!Y4&gt;=08_TRANSMISSION!$C$24-08_TRANSMISSION!$C$14,06_CONSTRUCTION!Y4&lt;08_TRANSMISSION!$C$25),08_TRANSMISSION!$C$23*(1+05_PLANT_CAPEX!$C$15*27_SCENARIOS!$C$37)/(08_TRANSMISSION!$C$14+27_SCENARIOS!$C$37)*06_CONSTRUCTION!Y21,0)</f>
        <v>0</v>
      </c>
      <c r="Z31" s="34" t="n">
        <f aca="false">IF(AND(06_CONSTRUCTION!Z4&gt;=08_TRANSMISSION!$C$24-08_TRANSMISSION!$C$14,06_CONSTRUCTION!Z4&lt;08_TRANSMISSION!$C$25),08_TRANSMISSION!$C$23*(1+05_PLANT_CAPEX!$C$15*27_SCENARIOS!$C$37)/(08_TRANSMISSION!$C$14+27_SCENARIOS!$C$37)*06_CONSTRUCTION!Z21,0)</f>
        <v>0</v>
      </c>
      <c r="AA31" s="34" t="n">
        <f aca="false">IF(AND(06_CONSTRUCTION!AA4&gt;=08_TRANSMISSION!$C$24-08_TRANSMISSION!$C$14,06_CONSTRUCTION!AA4&lt;08_TRANSMISSION!$C$25),08_TRANSMISSION!$C$23*(1+05_PLANT_CAPEX!$C$15*27_SCENARIOS!$C$37)/(08_TRANSMISSION!$C$14+27_SCENARIOS!$C$37)*06_CONSTRUCTION!AA21,0)</f>
        <v>0</v>
      </c>
      <c r="AB31" s="34" t="n">
        <f aca="false">IF(AND(06_CONSTRUCTION!AB4&gt;=08_TRANSMISSION!$C$24-08_TRANSMISSION!$C$14,06_CONSTRUCTION!AB4&lt;08_TRANSMISSION!$C$25),08_TRANSMISSION!$C$23*(1+05_PLANT_CAPEX!$C$15*27_SCENARIOS!$C$37)/(08_TRANSMISSION!$C$14+27_SCENARIOS!$C$37)*06_CONSTRUCTION!AB21,0)</f>
        <v>0</v>
      </c>
      <c r="AC31" s="34" t="n">
        <f aca="false">IF(AND(06_CONSTRUCTION!AC4&gt;=08_TRANSMISSION!$C$24-08_TRANSMISSION!$C$14,06_CONSTRUCTION!AC4&lt;08_TRANSMISSION!$C$25),08_TRANSMISSION!$C$23*(1+05_PLANT_CAPEX!$C$15*27_SCENARIOS!$C$37)/(08_TRANSMISSION!$C$14+27_SCENARIOS!$C$37)*06_CONSTRUCTION!AC21,0)</f>
        <v>0</v>
      </c>
      <c r="AD31" s="34" t="n">
        <f aca="false">IF(AND(06_CONSTRUCTION!AD4&gt;=08_TRANSMISSION!$C$24-08_TRANSMISSION!$C$14,06_CONSTRUCTION!AD4&lt;08_TRANSMISSION!$C$25),08_TRANSMISSION!$C$23*(1+05_PLANT_CAPEX!$C$15*27_SCENARIOS!$C$37)/(08_TRANSMISSION!$C$14+27_SCENARIOS!$C$37)*06_CONSTRUCTION!AD21,0)</f>
        <v>0</v>
      </c>
      <c r="AE31" s="34" t="n">
        <f aca="false">IF(AND(06_CONSTRUCTION!AE4&gt;=08_TRANSMISSION!$C$24-08_TRANSMISSION!$C$14,06_CONSTRUCTION!AE4&lt;08_TRANSMISSION!$C$25),08_TRANSMISSION!$C$23*(1+05_PLANT_CAPEX!$C$15*27_SCENARIOS!$C$37)/(08_TRANSMISSION!$C$14+27_SCENARIOS!$C$37)*06_CONSTRUCTION!AE21,0)</f>
        <v>0</v>
      </c>
      <c r="AF31" s="34" t="n">
        <f aca="false">IF(AND(06_CONSTRUCTION!AF4&gt;=08_TRANSMISSION!$C$24-08_TRANSMISSION!$C$14,06_CONSTRUCTION!AF4&lt;08_TRANSMISSION!$C$25),08_TRANSMISSION!$C$23*(1+05_PLANT_CAPEX!$C$15*27_SCENARIOS!$C$37)/(08_TRANSMISSION!$C$14+27_SCENARIOS!$C$37)*06_CONSTRUCTION!AF21,0)</f>
        <v>0</v>
      </c>
      <c r="AG31" s="34" t="n">
        <f aca="false">IF(AND(06_CONSTRUCTION!AG4&gt;=08_TRANSMISSION!$C$24-08_TRANSMISSION!$C$14,06_CONSTRUCTION!AG4&lt;08_TRANSMISSION!$C$25),08_TRANSMISSION!$C$23*(1+05_PLANT_CAPEX!$C$15*27_SCENARIOS!$C$37)/(08_TRANSMISSION!$C$14+27_SCENARIOS!$C$37)*06_CONSTRUCTION!AG21,0)</f>
        <v>0</v>
      </c>
      <c r="AH31" s="34" t="n">
        <f aca="false">IF(AND(06_CONSTRUCTION!AH4&gt;=08_TRANSMISSION!$C$24-08_TRANSMISSION!$C$14,06_CONSTRUCTION!AH4&lt;08_TRANSMISSION!$C$25),08_TRANSMISSION!$C$23*(1+05_PLANT_CAPEX!$C$15*27_SCENARIOS!$C$37)/(08_TRANSMISSION!$C$14+27_SCENARIOS!$C$37)*06_CONSTRUCTION!AH21,0)</f>
        <v>0</v>
      </c>
      <c r="AI31" s="34" t="n">
        <f aca="false">IF(AND(06_CONSTRUCTION!AI4&gt;=08_TRANSMISSION!$C$24-08_TRANSMISSION!$C$14,06_CONSTRUCTION!AI4&lt;08_TRANSMISSION!$C$25),08_TRANSMISSION!$C$23*(1+05_PLANT_CAPEX!$C$15*27_SCENARIOS!$C$37)/(08_TRANSMISSION!$C$14+27_SCENARIOS!$C$37)*06_CONSTRUCTION!AI21,0)</f>
        <v>0</v>
      </c>
      <c r="AJ31" s="34" t="n">
        <f aca="false">IF(AND(06_CONSTRUCTION!AJ4&gt;=08_TRANSMISSION!$C$24-08_TRANSMISSION!$C$14,06_CONSTRUCTION!AJ4&lt;08_TRANSMISSION!$C$25),08_TRANSMISSION!$C$23*(1+05_PLANT_CAPEX!$C$15*27_SCENARIOS!$C$37)/(08_TRANSMISSION!$C$14+27_SCENARIOS!$C$37)*06_CONSTRUCTION!AJ21,0)</f>
        <v>0</v>
      </c>
      <c r="AK31" s="34" t="n">
        <f aca="false">IF(AND(06_CONSTRUCTION!AK4&gt;=08_TRANSMISSION!$C$24-08_TRANSMISSION!$C$14,06_CONSTRUCTION!AK4&lt;08_TRANSMISSION!$C$25),08_TRANSMISSION!$C$23*(1+05_PLANT_CAPEX!$C$15*27_SCENARIOS!$C$37)/(08_TRANSMISSION!$C$14+27_SCENARIOS!$C$37)*06_CONSTRUCTION!AK21,0)</f>
        <v>0</v>
      </c>
      <c r="AL31" s="34" t="n">
        <f aca="false">IF(AND(06_CONSTRUCTION!AL4&gt;=08_TRANSMISSION!$C$24-08_TRANSMISSION!$C$14,06_CONSTRUCTION!AL4&lt;08_TRANSMISSION!$C$25),08_TRANSMISSION!$C$23*(1+05_PLANT_CAPEX!$C$15*27_SCENARIOS!$C$37)/(08_TRANSMISSION!$C$14+27_SCENARIOS!$C$37)*06_CONSTRUCTION!AL21,0)</f>
        <v>0</v>
      </c>
      <c r="AM31" s="34" t="n">
        <f aca="false">IF(AND(06_CONSTRUCTION!AM4&gt;=08_TRANSMISSION!$C$24-08_TRANSMISSION!$C$14,06_CONSTRUCTION!AM4&lt;08_TRANSMISSION!$C$25),08_TRANSMISSION!$C$23*(1+05_PLANT_CAPEX!$C$15*27_SCENARIOS!$C$37)/(08_TRANSMISSION!$C$14+27_SCENARIOS!$C$37)*06_CONSTRUCTION!AM21,0)</f>
        <v>0</v>
      </c>
      <c r="AN31" s="34" t="n">
        <f aca="false">IF(AND(06_CONSTRUCTION!AN4&gt;=08_TRANSMISSION!$C$24-08_TRANSMISSION!$C$14,06_CONSTRUCTION!AN4&lt;08_TRANSMISSION!$C$25),08_TRANSMISSION!$C$23*(1+05_PLANT_CAPEX!$C$15*27_SCENARIOS!$C$37)/(08_TRANSMISSION!$C$14+27_SCENARIOS!$C$37)*06_CONSTRUCTION!AN21,0)</f>
        <v>0</v>
      </c>
      <c r="AO31" s="34" t="n">
        <f aca="false">IF(AND(06_CONSTRUCTION!AO4&gt;=08_TRANSMISSION!$C$24-08_TRANSMISSION!$C$14,06_CONSTRUCTION!AO4&lt;08_TRANSMISSION!$C$25),08_TRANSMISSION!$C$23*(1+05_PLANT_CAPEX!$C$15*27_SCENARIOS!$C$37)/(08_TRANSMISSION!$C$14+27_SCENARIOS!$C$37)*06_CONSTRUCTION!AO21,0)</f>
        <v>0</v>
      </c>
      <c r="AP31" s="34" t="n">
        <f aca="false">IF(AND(06_CONSTRUCTION!AP4&gt;=08_TRANSMISSION!$C$24-08_TRANSMISSION!$C$14,06_CONSTRUCTION!AP4&lt;08_TRANSMISSION!$C$25),08_TRANSMISSION!$C$23*(1+05_PLANT_CAPEX!$C$15*27_SCENARIOS!$C$37)/(08_TRANSMISSION!$C$14+27_SCENARIOS!$C$37)*06_CONSTRUCTION!AP21,0)</f>
        <v>0</v>
      </c>
      <c r="AQ31" s="34" t="n">
        <f aca="false">IF(AND(06_CONSTRUCTION!AQ4&gt;=08_TRANSMISSION!$C$24-08_TRANSMISSION!$C$14,06_CONSTRUCTION!AQ4&lt;08_TRANSMISSION!$C$25),08_TRANSMISSION!$C$23*(1+05_PLANT_CAPEX!$C$15*27_SCENARIOS!$C$37)/(08_TRANSMISSION!$C$14+27_SCENARIOS!$C$37)*06_CONSTRUCTION!AQ21,0)</f>
        <v>0</v>
      </c>
      <c r="AR31" s="34" t="n">
        <f aca="false">IF(AND(06_CONSTRUCTION!AR4&gt;=08_TRANSMISSION!$C$24-08_TRANSMISSION!$C$14,06_CONSTRUCTION!AR4&lt;08_TRANSMISSION!$C$25),08_TRANSMISSION!$C$23*(1+05_PLANT_CAPEX!$C$15*27_SCENARIOS!$C$37)/(08_TRANSMISSION!$C$14+27_SCENARIOS!$C$37)*06_CONSTRUCTION!AR21,0)</f>
        <v>0</v>
      </c>
    </row>
    <row r="32" customFormat="false" ht="15" hidden="false" customHeight="false" outlineLevel="0" collapsed="false">
      <c r="A32" s="8" t="s">
        <v>324</v>
      </c>
      <c r="B32" s="8" t="s">
        <v>84</v>
      </c>
      <c r="C32" s="34" t="n">
        <f aca="false">SUM(08_TRANSMISSION!$E$32:$AR$32)</f>
        <v>241.784156181641</v>
      </c>
      <c r="E32" s="34" t="n">
        <f aca="false">IF(08_TRANSMISSION!$C$17=1,08_TRANSMISSION!E31,0)</f>
        <v>0</v>
      </c>
      <c r="F32" s="34" t="n">
        <f aca="false">IF(08_TRANSMISSION!$C$17=1,08_TRANSMISSION!F31,0)</f>
        <v>0</v>
      </c>
      <c r="G32" s="34" t="n">
        <f aca="false">IF(08_TRANSMISSION!$C$17=1,08_TRANSMISSION!G31,0)</f>
        <v>78.613015625</v>
      </c>
      <c r="H32" s="34" t="n">
        <f aca="false">IF(08_TRANSMISSION!$C$17=1,08_TRANSMISSION!H31,0)</f>
        <v>80.578341015625</v>
      </c>
      <c r="I32" s="34" t="n">
        <f aca="false">IF(08_TRANSMISSION!$C$17=1,08_TRANSMISSION!I31,0)</f>
        <v>82.5927995410156</v>
      </c>
      <c r="J32" s="34" t="n">
        <f aca="false">IF(08_TRANSMISSION!$C$17=1,08_TRANSMISSION!J31,0)</f>
        <v>0</v>
      </c>
      <c r="K32" s="34" t="n">
        <f aca="false">IF(08_TRANSMISSION!$C$17=1,08_TRANSMISSION!K31,0)</f>
        <v>0</v>
      </c>
      <c r="L32" s="34" t="n">
        <f aca="false">IF(08_TRANSMISSION!$C$17=1,08_TRANSMISSION!L31,0)</f>
        <v>0</v>
      </c>
      <c r="M32" s="34" t="n">
        <f aca="false">IF(08_TRANSMISSION!$C$17=1,08_TRANSMISSION!M31,0)</f>
        <v>0</v>
      </c>
      <c r="N32" s="34" t="n">
        <f aca="false">IF(08_TRANSMISSION!$C$17=1,08_TRANSMISSION!N31,0)</f>
        <v>0</v>
      </c>
      <c r="O32" s="34" t="n">
        <f aca="false">IF(08_TRANSMISSION!$C$17=1,08_TRANSMISSION!O31,0)</f>
        <v>0</v>
      </c>
      <c r="P32" s="34" t="n">
        <f aca="false">IF(08_TRANSMISSION!$C$17=1,08_TRANSMISSION!P31,0)</f>
        <v>0</v>
      </c>
      <c r="Q32" s="34" t="n">
        <f aca="false">IF(08_TRANSMISSION!$C$17=1,08_TRANSMISSION!Q31,0)</f>
        <v>0</v>
      </c>
      <c r="R32" s="34" t="n">
        <f aca="false">IF(08_TRANSMISSION!$C$17=1,08_TRANSMISSION!R31,0)</f>
        <v>0</v>
      </c>
      <c r="S32" s="34" t="n">
        <f aca="false">IF(08_TRANSMISSION!$C$17=1,08_TRANSMISSION!S31,0)</f>
        <v>0</v>
      </c>
      <c r="T32" s="34" t="n">
        <f aca="false">IF(08_TRANSMISSION!$C$17=1,08_TRANSMISSION!T31,0)</f>
        <v>0</v>
      </c>
      <c r="U32" s="34" t="n">
        <f aca="false">IF(08_TRANSMISSION!$C$17=1,08_TRANSMISSION!U31,0)</f>
        <v>0</v>
      </c>
      <c r="V32" s="34" t="n">
        <f aca="false">IF(08_TRANSMISSION!$C$17=1,08_TRANSMISSION!V31,0)</f>
        <v>0</v>
      </c>
      <c r="W32" s="34" t="n">
        <f aca="false">IF(08_TRANSMISSION!$C$17=1,08_TRANSMISSION!W31,0)</f>
        <v>0</v>
      </c>
      <c r="X32" s="34" t="n">
        <f aca="false">IF(08_TRANSMISSION!$C$17=1,08_TRANSMISSION!X31,0)</f>
        <v>0</v>
      </c>
      <c r="Y32" s="34" t="n">
        <f aca="false">IF(08_TRANSMISSION!$C$17=1,08_TRANSMISSION!Y31,0)</f>
        <v>0</v>
      </c>
      <c r="Z32" s="34" t="n">
        <f aca="false">IF(08_TRANSMISSION!$C$17=1,08_TRANSMISSION!Z31,0)</f>
        <v>0</v>
      </c>
      <c r="AA32" s="34" t="n">
        <f aca="false">IF(08_TRANSMISSION!$C$17=1,08_TRANSMISSION!AA31,0)</f>
        <v>0</v>
      </c>
      <c r="AB32" s="34" t="n">
        <f aca="false">IF(08_TRANSMISSION!$C$17=1,08_TRANSMISSION!AB31,0)</f>
        <v>0</v>
      </c>
      <c r="AC32" s="34" t="n">
        <f aca="false">IF(08_TRANSMISSION!$C$17=1,08_TRANSMISSION!AC31,0)</f>
        <v>0</v>
      </c>
      <c r="AD32" s="34" t="n">
        <f aca="false">IF(08_TRANSMISSION!$C$17=1,08_TRANSMISSION!AD31,0)</f>
        <v>0</v>
      </c>
      <c r="AE32" s="34" t="n">
        <f aca="false">IF(08_TRANSMISSION!$C$17=1,08_TRANSMISSION!AE31,0)</f>
        <v>0</v>
      </c>
      <c r="AF32" s="34" t="n">
        <f aca="false">IF(08_TRANSMISSION!$C$17=1,08_TRANSMISSION!AF31,0)</f>
        <v>0</v>
      </c>
      <c r="AG32" s="34" t="n">
        <f aca="false">IF(08_TRANSMISSION!$C$17=1,08_TRANSMISSION!AG31,0)</f>
        <v>0</v>
      </c>
      <c r="AH32" s="34" t="n">
        <f aca="false">IF(08_TRANSMISSION!$C$17=1,08_TRANSMISSION!AH31,0)</f>
        <v>0</v>
      </c>
      <c r="AI32" s="34" t="n">
        <f aca="false">IF(08_TRANSMISSION!$C$17=1,08_TRANSMISSION!AI31,0)</f>
        <v>0</v>
      </c>
      <c r="AJ32" s="34" t="n">
        <f aca="false">IF(08_TRANSMISSION!$C$17=1,08_TRANSMISSION!AJ31,0)</f>
        <v>0</v>
      </c>
      <c r="AK32" s="34" t="n">
        <f aca="false">IF(08_TRANSMISSION!$C$17=1,08_TRANSMISSION!AK31,0)</f>
        <v>0</v>
      </c>
      <c r="AL32" s="34" t="n">
        <f aca="false">IF(08_TRANSMISSION!$C$17=1,08_TRANSMISSION!AL31,0)</f>
        <v>0</v>
      </c>
      <c r="AM32" s="34" t="n">
        <f aca="false">IF(08_TRANSMISSION!$C$17=1,08_TRANSMISSION!AM31,0)</f>
        <v>0</v>
      </c>
      <c r="AN32" s="34" t="n">
        <f aca="false">IF(08_TRANSMISSION!$C$17=1,08_TRANSMISSION!AN31,0)</f>
        <v>0</v>
      </c>
      <c r="AO32" s="34" t="n">
        <f aca="false">IF(08_TRANSMISSION!$C$17=1,08_TRANSMISSION!AO31,0)</f>
        <v>0</v>
      </c>
      <c r="AP32" s="34" t="n">
        <f aca="false">IF(08_TRANSMISSION!$C$17=1,08_TRANSMISSION!AP31,0)</f>
        <v>0</v>
      </c>
      <c r="AQ32" s="34" t="n">
        <f aca="false">IF(08_TRANSMISSION!$C$17=1,08_TRANSMISSION!AQ31,0)</f>
        <v>0</v>
      </c>
      <c r="AR32" s="34" t="n">
        <f aca="false">IF(08_TRANSMISSION!$C$17=1,08_TRANSMISSION!AR31,0)</f>
        <v>0</v>
      </c>
    </row>
    <row r="33" customFormat="false" ht="15" hidden="false" customHeight="false" outlineLevel="0" collapsed="false">
      <c r="A33" s="8" t="s">
        <v>325</v>
      </c>
      <c r="B33" s="8" t="s">
        <v>84</v>
      </c>
      <c r="C33" s="34" t="n">
        <f aca="false">SUM(08_TRANSMISSION!$E$33:$AR$33)</f>
        <v>0</v>
      </c>
      <c r="E33" s="34" t="n">
        <f aca="false">IF(08_TRANSMISSION!$C$17=2,08_TRANSMISSION!E31,0)</f>
        <v>0</v>
      </c>
      <c r="F33" s="34" t="n">
        <f aca="false">IF(08_TRANSMISSION!$C$17=2,08_TRANSMISSION!F31,0)</f>
        <v>0</v>
      </c>
      <c r="G33" s="34" t="n">
        <f aca="false">IF(08_TRANSMISSION!$C$17=2,08_TRANSMISSION!G31,0)</f>
        <v>0</v>
      </c>
      <c r="H33" s="34" t="n">
        <f aca="false">IF(08_TRANSMISSION!$C$17=2,08_TRANSMISSION!H31,0)</f>
        <v>0</v>
      </c>
      <c r="I33" s="34" t="n">
        <f aca="false">IF(08_TRANSMISSION!$C$17=2,08_TRANSMISSION!I31,0)</f>
        <v>0</v>
      </c>
      <c r="J33" s="34" t="n">
        <f aca="false">IF(08_TRANSMISSION!$C$17=2,08_TRANSMISSION!J31,0)</f>
        <v>0</v>
      </c>
      <c r="K33" s="34" t="n">
        <f aca="false">IF(08_TRANSMISSION!$C$17=2,08_TRANSMISSION!K31,0)</f>
        <v>0</v>
      </c>
      <c r="L33" s="34" t="n">
        <f aca="false">IF(08_TRANSMISSION!$C$17=2,08_TRANSMISSION!L31,0)</f>
        <v>0</v>
      </c>
      <c r="M33" s="34" t="n">
        <f aca="false">IF(08_TRANSMISSION!$C$17=2,08_TRANSMISSION!M31,0)</f>
        <v>0</v>
      </c>
      <c r="N33" s="34" t="n">
        <f aca="false">IF(08_TRANSMISSION!$C$17=2,08_TRANSMISSION!N31,0)</f>
        <v>0</v>
      </c>
      <c r="O33" s="34" t="n">
        <f aca="false">IF(08_TRANSMISSION!$C$17=2,08_TRANSMISSION!O31,0)</f>
        <v>0</v>
      </c>
      <c r="P33" s="34" t="n">
        <f aca="false">IF(08_TRANSMISSION!$C$17=2,08_TRANSMISSION!P31,0)</f>
        <v>0</v>
      </c>
      <c r="Q33" s="34" t="n">
        <f aca="false">IF(08_TRANSMISSION!$C$17=2,08_TRANSMISSION!Q31,0)</f>
        <v>0</v>
      </c>
      <c r="R33" s="34" t="n">
        <f aca="false">IF(08_TRANSMISSION!$C$17=2,08_TRANSMISSION!R31,0)</f>
        <v>0</v>
      </c>
      <c r="S33" s="34" t="n">
        <f aca="false">IF(08_TRANSMISSION!$C$17=2,08_TRANSMISSION!S31,0)</f>
        <v>0</v>
      </c>
      <c r="T33" s="34" t="n">
        <f aca="false">IF(08_TRANSMISSION!$C$17=2,08_TRANSMISSION!T31,0)</f>
        <v>0</v>
      </c>
      <c r="U33" s="34" t="n">
        <f aca="false">IF(08_TRANSMISSION!$C$17=2,08_TRANSMISSION!U31,0)</f>
        <v>0</v>
      </c>
      <c r="V33" s="34" t="n">
        <f aca="false">IF(08_TRANSMISSION!$C$17=2,08_TRANSMISSION!V31,0)</f>
        <v>0</v>
      </c>
      <c r="W33" s="34" t="n">
        <f aca="false">IF(08_TRANSMISSION!$C$17=2,08_TRANSMISSION!W31,0)</f>
        <v>0</v>
      </c>
      <c r="X33" s="34" t="n">
        <f aca="false">IF(08_TRANSMISSION!$C$17=2,08_TRANSMISSION!X31,0)</f>
        <v>0</v>
      </c>
      <c r="Y33" s="34" t="n">
        <f aca="false">IF(08_TRANSMISSION!$C$17=2,08_TRANSMISSION!Y31,0)</f>
        <v>0</v>
      </c>
      <c r="Z33" s="34" t="n">
        <f aca="false">IF(08_TRANSMISSION!$C$17=2,08_TRANSMISSION!Z31,0)</f>
        <v>0</v>
      </c>
      <c r="AA33" s="34" t="n">
        <f aca="false">IF(08_TRANSMISSION!$C$17=2,08_TRANSMISSION!AA31,0)</f>
        <v>0</v>
      </c>
      <c r="AB33" s="34" t="n">
        <f aca="false">IF(08_TRANSMISSION!$C$17=2,08_TRANSMISSION!AB31,0)</f>
        <v>0</v>
      </c>
      <c r="AC33" s="34" t="n">
        <f aca="false">IF(08_TRANSMISSION!$C$17=2,08_TRANSMISSION!AC31,0)</f>
        <v>0</v>
      </c>
      <c r="AD33" s="34" t="n">
        <f aca="false">IF(08_TRANSMISSION!$C$17=2,08_TRANSMISSION!AD31,0)</f>
        <v>0</v>
      </c>
      <c r="AE33" s="34" t="n">
        <f aca="false">IF(08_TRANSMISSION!$C$17=2,08_TRANSMISSION!AE31,0)</f>
        <v>0</v>
      </c>
      <c r="AF33" s="34" t="n">
        <f aca="false">IF(08_TRANSMISSION!$C$17=2,08_TRANSMISSION!AF31,0)</f>
        <v>0</v>
      </c>
      <c r="AG33" s="34" t="n">
        <f aca="false">IF(08_TRANSMISSION!$C$17=2,08_TRANSMISSION!AG31,0)</f>
        <v>0</v>
      </c>
      <c r="AH33" s="34" t="n">
        <f aca="false">IF(08_TRANSMISSION!$C$17=2,08_TRANSMISSION!AH31,0)</f>
        <v>0</v>
      </c>
      <c r="AI33" s="34" t="n">
        <f aca="false">IF(08_TRANSMISSION!$C$17=2,08_TRANSMISSION!AI31,0)</f>
        <v>0</v>
      </c>
      <c r="AJ33" s="34" t="n">
        <f aca="false">IF(08_TRANSMISSION!$C$17=2,08_TRANSMISSION!AJ31,0)</f>
        <v>0</v>
      </c>
      <c r="AK33" s="34" t="n">
        <f aca="false">IF(08_TRANSMISSION!$C$17=2,08_TRANSMISSION!AK31,0)</f>
        <v>0</v>
      </c>
      <c r="AL33" s="34" t="n">
        <f aca="false">IF(08_TRANSMISSION!$C$17=2,08_TRANSMISSION!AL31,0)</f>
        <v>0</v>
      </c>
      <c r="AM33" s="34" t="n">
        <f aca="false">IF(08_TRANSMISSION!$C$17=2,08_TRANSMISSION!AM31,0)</f>
        <v>0</v>
      </c>
      <c r="AN33" s="34" t="n">
        <f aca="false">IF(08_TRANSMISSION!$C$17=2,08_TRANSMISSION!AN31,0)</f>
        <v>0</v>
      </c>
      <c r="AO33" s="34" t="n">
        <f aca="false">IF(08_TRANSMISSION!$C$17=2,08_TRANSMISSION!AO31,0)</f>
        <v>0</v>
      </c>
      <c r="AP33" s="34" t="n">
        <f aca="false">IF(08_TRANSMISSION!$C$17=2,08_TRANSMISSION!AP31,0)</f>
        <v>0</v>
      </c>
      <c r="AQ33" s="34" t="n">
        <f aca="false">IF(08_TRANSMISSION!$C$17=2,08_TRANSMISSION!AQ31,0)</f>
        <v>0</v>
      </c>
      <c r="AR33" s="34" t="n">
        <f aca="false">IF(08_TRANSMISSION!$C$17=2,08_TRANSMISSION!AR31,0)</f>
        <v>0</v>
      </c>
    </row>
    <row r="34" customFormat="false" ht="15" hidden="false" customHeight="false" outlineLevel="0" collapsed="false">
      <c r="A34" s="8" t="s">
        <v>326</v>
      </c>
      <c r="B34" s="8" t="s">
        <v>84</v>
      </c>
      <c r="C34" s="34" t="n">
        <f aca="false">SUM(08_TRANSMISSION!$E$34:$AR$34)</f>
        <v>150.079318841192</v>
      </c>
      <c r="E34" s="34" t="n">
        <f aca="false">08_TRANSMISSION!E30*06_CONSTRUCTION!E14*08_TRANSMISSION!$C$23*08_TRANSMISSION!$C$16*06_CONSTRUCTION!E17</f>
        <v>0</v>
      </c>
      <c r="F34" s="34" t="n">
        <f aca="false">08_TRANSMISSION!F30*06_CONSTRUCTION!F14*08_TRANSMISSION!$C$23*08_TRANSMISSION!$C$16*06_CONSTRUCTION!F17</f>
        <v>0</v>
      </c>
      <c r="G34" s="34" t="n">
        <f aca="false">08_TRANSMISSION!G30*06_CONSTRUCTION!G14*08_TRANSMISSION!$C$23*08_TRANSMISSION!$C$16*06_CONSTRUCTION!G17</f>
        <v>0</v>
      </c>
      <c r="H34" s="34" t="n">
        <f aca="false">08_TRANSMISSION!H30*06_CONSTRUCTION!H14*08_TRANSMISSION!$C$23*08_TRANSMISSION!$C$16*06_CONSTRUCTION!H17</f>
        <v>0</v>
      </c>
      <c r="I34" s="34" t="n">
        <f aca="false">08_TRANSMISSION!I30*06_CONSTRUCTION!I14*08_TRANSMISSION!$C$23*08_TRANSMISSION!$C$16*06_CONSTRUCTION!I17</f>
        <v>0</v>
      </c>
      <c r="J34" s="34" t="n">
        <f aca="false">08_TRANSMISSION!J30*06_CONSTRUCTION!J14*08_TRANSMISSION!$C$23*08_TRANSMISSION!$C$16*06_CONSTRUCTION!J17</f>
        <v>3.69944354728224</v>
      </c>
      <c r="K34" s="34" t="n">
        <f aca="false">08_TRANSMISSION!K30*06_CONSTRUCTION!K14*08_TRANSMISSION!$C$23*08_TRANSMISSION!$C$16*06_CONSTRUCTION!K17</f>
        <v>3.77343241822788</v>
      </c>
      <c r="L34" s="34" t="n">
        <f aca="false">08_TRANSMISSION!L30*06_CONSTRUCTION!L14*08_TRANSMISSION!$C$23*08_TRANSMISSION!$C$16*06_CONSTRUCTION!L17</f>
        <v>3.84890106659244</v>
      </c>
      <c r="M34" s="34" t="n">
        <f aca="false">08_TRANSMISSION!M30*06_CONSTRUCTION!M14*08_TRANSMISSION!$C$23*08_TRANSMISSION!$C$16*06_CONSTRUCTION!M17</f>
        <v>3.92587908792429</v>
      </c>
      <c r="N34" s="34" t="n">
        <f aca="false">08_TRANSMISSION!N30*06_CONSTRUCTION!N14*08_TRANSMISSION!$C$23*08_TRANSMISSION!$C$16*06_CONSTRUCTION!N17</f>
        <v>4.00439666968278</v>
      </c>
      <c r="O34" s="34" t="n">
        <f aca="false">08_TRANSMISSION!O30*06_CONSTRUCTION!O14*08_TRANSMISSION!$C$23*08_TRANSMISSION!$C$16*06_CONSTRUCTION!O17</f>
        <v>4.08448460307643</v>
      </c>
      <c r="P34" s="34" t="n">
        <f aca="false">08_TRANSMISSION!P30*06_CONSTRUCTION!P14*08_TRANSMISSION!$C$23*08_TRANSMISSION!$C$16*06_CONSTRUCTION!P17</f>
        <v>4.16617429513796</v>
      </c>
      <c r="Q34" s="34" t="n">
        <f aca="false">08_TRANSMISSION!Q30*06_CONSTRUCTION!Q14*08_TRANSMISSION!$C$23*08_TRANSMISSION!$C$16*06_CONSTRUCTION!Q17</f>
        <v>4.24949778104072</v>
      </c>
      <c r="R34" s="34" t="n">
        <f aca="false">08_TRANSMISSION!R30*06_CONSTRUCTION!R14*08_TRANSMISSION!$C$23*08_TRANSMISSION!$C$16*06_CONSTRUCTION!R17</f>
        <v>4.33448773666154</v>
      </c>
      <c r="S34" s="34" t="n">
        <f aca="false">08_TRANSMISSION!S30*06_CONSTRUCTION!S14*08_TRANSMISSION!$C$23*08_TRANSMISSION!$C$16*06_CONSTRUCTION!S17</f>
        <v>4.42117749139477</v>
      </c>
      <c r="T34" s="34" t="n">
        <f aca="false">08_TRANSMISSION!T30*06_CONSTRUCTION!T14*08_TRANSMISSION!$C$23*08_TRANSMISSION!$C$16*06_CONSTRUCTION!T17</f>
        <v>4.50960104122266</v>
      </c>
      <c r="U34" s="34" t="n">
        <f aca="false">08_TRANSMISSION!U30*06_CONSTRUCTION!U14*08_TRANSMISSION!$C$23*08_TRANSMISSION!$C$16*06_CONSTRUCTION!U17</f>
        <v>4.59979306204712</v>
      </c>
      <c r="V34" s="34" t="n">
        <f aca="false">08_TRANSMISSION!V30*06_CONSTRUCTION!V14*08_TRANSMISSION!$C$23*08_TRANSMISSION!$C$16*06_CONSTRUCTION!V17</f>
        <v>4.69178892328806</v>
      </c>
      <c r="W34" s="34" t="n">
        <f aca="false">08_TRANSMISSION!W30*06_CONSTRUCTION!W14*08_TRANSMISSION!$C$23*08_TRANSMISSION!$C$16*06_CONSTRUCTION!W17</f>
        <v>4.78562470175382</v>
      </c>
      <c r="X34" s="34" t="n">
        <f aca="false">08_TRANSMISSION!X30*06_CONSTRUCTION!X14*08_TRANSMISSION!$C$23*08_TRANSMISSION!$C$16*06_CONSTRUCTION!X17</f>
        <v>4.8813371957889</v>
      </c>
      <c r="Y34" s="34" t="n">
        <f aca="false">08_TRANSMISSION!Y30*06_CONSTRUCTION!Y14*08_TRANSMISSION!$C$23*08_TRANSMISSION!$C$16*06_CONSTRUCTION!Y17</f>
        <v>4.97896393970467</v>
      </c>
      <c r="Z34" s="34" t="n">
        <f aca="false">08_TRANSMISSION!Z30*06_CONSTRUCTION!Z14*08_TRANSMISSION!$C$23*08_TRANSMISSION!$C$16*06_CONSTRUCTION!Z17</f>
        <v>5.07854321849877</v>
      </c>
      <c r="AA34" s="34" t="n">
        <f aca="false">08_TRANSMISSION!AA30*06_CONSTRUCTION!AA14*08_TRANSMISSION!$C$23*08_TRANSMISSION!$C$16*06_CONSTRUCTION!AA17</f>
        <v>5.18011408286874</v>
      </c>
      <c r="AB34" s="34" t="n">
        <f aca="false">08_TRANSMISSION!AB30*06_CONSTRUCTION!AB14*08_TRANSMISSION!$C$23*08_TRANSMISSION!$C$16*06_CONSTRUCTION!AB17</f>
        <v>5.28371636452612</v>
      </c>
      <c r="AC34" s="34" t="n">
        <f aca="false">08_TRANSMISSION!AC30*06_CONSTRUCTION!AC14*08_TRANSMISSION!$C$23*08_TRANSMISSION!$C$16*06_CONSTRUCTION!AC17</f>
        <v>5.38939069181664</v>
      </c>
      <c r="AD34" s="34" t="n">
        <f aca="false">08_TRANSMISSION!AD30*06_CONSTRUCTION!AD14*08_TRANSMISSION!$C$23*08_TRANSMISSION!$C$16*06_CONSTRUCTION!AD17</f>
        <v>5.49717850565297</v>
      </c>
      <c r="AE34" s="34" t="n">
        <f aca="false">08_TRANSMISSION!AE30*06_CONSTRUCTION!AE14*08_TRANSMISSION!$C$23*08_TRANSMISSION!$C$16*06_CONSTRUCTION!AE17</f>
        <v>5.60712207576603</v>
      </c>
      <c r="AF34" s="34" t="n">
        <f aca="false">08_TRANSMISSION!AF30*06_CONSTRUCTION!AF14*08_TRANSMISSION!$C$23*08_TRANSMISSION!$C$16*06_CONSTRUCTION!AF17</f>
        <v>5.71926451728135</v>
      </c>
      <c r="AG34" s="34" t="n">
        <f aca="false">08_TRANSMISSION!AG30*06_CONSTRUCTION!AG14*08_TRANSMISSION!$C$23*08_TRANSMISSION!$C$16*06_CONSTRUCTION!AG17</f>
        <v>5.83364980762698</v>
      </c>
      <c r="AH34" s="34" t="n">
        <f aca="false">08_TRANSMISSION!AH30*06_CONSTRUCTION!AH14*08_TRANSMISSION!$C$23*08_TRANSMISSION!$C$16*06_CONSTRUCTION!AH17</f>
        <v>5.95032280377952</v>
      </c>
      <c r="AI34" s="34" t="n">
        <f aca="false">08_TRANSMISSION!AI30*06_CONSTRUCTION!AI14*08_TRANSMISSION!$C$23*08_TRANSMISSION!$C$16*06_CONSTRUCTION!AI17</f>
        <v>6.06932925985511</v>
      </c>
      <c r="AJ34" s="34" t="n">
        <f aca="false">08_TRANSMISSION!AJ30*06_CONSTRUCTION!AJ14*08_TRANSMISSION!$C$23*08_TRANSMISSION!$C$16*06_CONSTRUCTION!AJ17</f>
        <v>6.19071584505221</v>
      </c>
      <c r="AK34" s="34" t="n">
        <f aca="false">08_TRANSMISSION!AK30*06_CONSTRUCTION!AK14*08_TRANSMISSION!$C$23*08_TRANSMISSION!$C$16*06_CONSTRUCTION!AK17</f>
        <v>6.31453016195326</v>
      </c>
      <c r="AL34" s="34" t="n">
        <f aca="false">08_TRANSMISSION!AL30*06_CONSTRUCTION!AL14*08_TRANSMISSION!$C$23*08_TRANSMISSION!$C$16*06_CONSTRUCTION!AL17</f>
        <v>6.44082076519232</v>
      </c>
      <c r="AM34" s="34" t="n">
        <f aca="false">08_TRANSMISSION!AM30*06_CONSTRUCTION!AM14*08_TRANSMISSION!$C$23*08_TRANSMISSION!$C$16*06_CONSTRUCTION!AM17</f>
        <v>6.56963718049617</v>
      </c>
      <c r="AN34" s="34" t="n">
        <f aca="false">08_TRANSMISSION!AN30*06_CONSTRUCTION!AN14*08_TRANSMISSION!$C$23*08_TRANSMISSION!$C$16*06_CONSTRUCTION!AN17</f>
        <v>0</v>
      </c>
      <c r="AO34" s="34" t="n">
        <f aca="false">08_TRANSMISSION!AO30*06_CONSTRUCTION!AO14*08_TRANSMISSION!$C$23*08_TRANSMISSION!$C$16*06_CONSTRUCTION!AO17</f>
        <v>0</v>
      </c>
      <c r="AP34" s="34" t="n">
        <f aca="false">08_TRANSMISSION!AP30*06_CONSTRUCTION!AP14*08_TRANSMISSION!$C$23*08_TRANSMISSION!$C$16*06_CONSTRUCTION!AP17</f>
        <v>0</v>
      </c>
      <c r="AQ34" s="34" t="n">
        <f aca="false">08_TRANSMISSION!AQ30*06_CONSTRUCTION!AQ14*08_TRANSMISSION!$C$23*08_TRANSMISSION!$C$16*06_CONSTRUCTION!AQ17</f>
        <v>0</v>
      </c>
      <c r="AR34" s="34" t="n">
        <f aca="false">08_TRANSMISSION!AR30*06_CONSTRUCTION!AR14*08_TRANSMISSION!$C$23*08_TRANSMISSION!$C$16*06_CONSTRUCTION!AR17</f>
        <v>0</v>
      </c>
    </row>
    <row r="35" customFormat="false" ht="15" hidden="false" customHeight="false" outlineLevel="0" collapsed="false">
      <c r="A35" s="8" t="s">
        <v>327</v>
      </c>
      <c r="B35" s="8" t="s">
        <v>181</v>
      </c>
      <c r="C35" s="32" t="n">
        <f aca="false">SUM(08_TRANSMISSION!$E$35:$AR$35)</f>
        <v>1243.15684924002</v>
      </c>
      <c r="E35" s="32" t="n">
        <f aca="false">04_GENERATION!E20*08_TRANSMISSION!$C$15</f>
        <v>0</v>
      </c>
      <c r="F35" s="32" t="n">
        <f aca="false">04_GENERATION!F20*08_TRANSMISSION!$C$15</f>
        <v>0</v>
      </c>
      <c r="G35" s="32" t="n">
        <f aca="false">04_GENERATION!G20*08_TRANSMISSION!$C$15</f>
        <v>0</v>
      </c>
      <c r="H35" s="32" t="n">
        <f aca="false">04_GENERATION!H20*08_TRANSMISSION!$C$15</f>
        <v>0</v>
      </c>
      <c r="I35" s="32" t="n">
        <f aca="false">04_GENERATION!I20*08_TRANSMISSION!$C$15</f>
        <v>0</v>
      </c>
      <c r="J35" s="32" t="n">
        <f aca="false">04_GENERATION!J20*08_TRANSMISSION!$C$15</f>
        <v>35.3997762765163</v>
      </c>
      <c r="K35" s="32" t="n">
        <f aca="false">04_GENERATION!K20*08_TRANSMISSION!$C$15</f>
        <v>41.646795619431</v>
      </c>
      <c r="L35" s="32" t="n">
        <f aca="false">04_GENERATION!L20*08_TRANSMISSION!$C$15</f>
        <v>41.646795619431</v>
      </c>
      <c r="M35" s="32" t="n">
        <f aca="false">04_GENERATION!M20*08_TRANSMISSION!$C$15</f>
        <v>41.646795619431</v>
      </c>
      <c r="N35" s="32" t="n">
        <f aca="false">04_GENERATION!N20*08_TRANSMISSION!$C$15</f>
        <v>41.646795619431</v>
      </c>
      <c r="O35" s="32" t="n">
        <f aca="false">04_GENERATION!O20*08_TRANSMISSION!$C$15</f>
        <v>41.646795619431</v>
      </c>
      <c r="P35" s="32" t="n">
        <f aca="false">04_GENERATION!P20*08_TRANSMISSION!$C$15</f>
        <v>41.646795619431</v>
      </c>
      <c r="Q35" s="32" t="n">
        <f aca="false">04_GENERATION!Q20*08_TRANSMISSION!$C$15</f>
        <v>41.646795619431</v>
      </c>
      <c r="R35" s="32" t="n">
        <f aca="false">04_GENERATION!R20*08_TRANSMISSION!$C$15</f>
        <v>41.646795619431</v>
      </c>
      <c r="S35" s="32" t="n">
        <f aca="false">04_GENERATION!S20*08_TRANSMISSION!$C$15</f>
        <v>41.646795619431</v>
      </c>
      <c r="T35" s="32" t="n">
        <f aca="false">04_GENERATION!T20*08_TRANSMISSION!$C$15</f>
        <v>41.646795619431</v>
      </c>
      <c r="U35" s="32" t="n">
        <f aca="false">04_GENERATION!U20*08_TRANSMISSION!$C$15</f>
        <v>41.646795619431</v>
      </c>
      <c r="V35" s="32" t="n">
        <f aca="false">04_GENERATION!V20*08_TRANSMISSION!$C$15</f>
        <v>41.646795619431</v>
      </c>
      <c r="W35" s="32" t="n">
        <f aca="false">04_GENERATION!W20*08_TRANSMISSION!$C$15</f>
        <v>41.646795619431</v>
      </c>
      <c r="X35" s="32" t="n">
        <f aca="false">04_GENERATION!X20*08_TRANSMISSION!$C$15</f>
        <v>41.646795619431</v>
      </c>
      <c r="Y35" s="32" t="n">
        <f aca="false">04_GENERATION!Y20*08_TRANSMISSION!$C$15</f>
        <v>41.646795619431</v>
      </c>
      <c r="Z35" s="32" t="n">
        <f aca="false">04_GENERATION!Z20*08_TRANSMISSION!$C$15</f>
        <v>41.646795619431</v>
      </c>
      <c r="AA35" s="32" t="n">
        <f aca="false">04_GENERATION!AA20*08_TRANSMISSION!$C$15</f>
        <v>41.646795619431</v>
      </c>
      <c r="AB35" s="32" t="n">
        <f aca="false">04_GENERATION!AB20*08_TRANSMISSION!$C$15</f>
        <v>41.646795619431</v>
      </c>
      <c r="AC35" s="32" t="n">
        <f aca="false">04_GENERATION!AC20*08_TRANSMISSION!$C$15</f>
        <v>41.646795619431</v>
      </c>
      <c r="AD35" s="32" t="n">
        <f aca="false">04_GENERATION!AD20*08_TRANSMISSION!$C$15</f>
        <v>41.646795619431</v>
      </c>
      <c r="AE35" s="32" t="n">
        <f aca="false">04_GENERATION!AE20*08_TRANSMISSION!$C$15</f>
        <v>41.646795619431</v>
      </c>
      <c r="AF35" s="32" t="n">
        <f aca="false">04_GENERATION!AF20*08_TRANSMISSION!$C$15</f>
        <v>41.646795619431</v>
      </c>
      <c r="AG35" s="32" t="n">
        <f aca="false">04_GENERATION!AG20*08_TRANSMISSION!$C$15</f>
        <v>41.646795619431</v>
      </c>
      <c r="AH35" s="32" t="n">
        <f aca="false">04_GENERATION!AH20*08_TRANSMISSION!$C$15</f>
        <v>41.646795619431</v>
      </c>
      <c r="AI35" s="32" t="n">
        <f aca="false">04_GENERATION!AI20*08_TRANSMISSION!$C$15</f>
        <v>41.646795619431</v>
      </c>
      <c r="AJ35" s="32" t="n">
        <f aca="false">04_GENERATION!AJ20*08_TRANSMISSION!$C$15</f>
        <v>41.646795619431</v>
      </c>
      <c r="AK35" s="32" t="n">
        <f aca="false">04_GENERATION!AK20*08_TRANSMISSION!$C$15</f>
        <v>41.646795619431</v>
      </c>
      <c r="AL35" s="32" t="n">
        <f aca="false">04_GENERATION!AL20*08_TRANSMISSION!$C$15</f>
        <v>41.646795619431</v>
      </c>
      <c r="AM35" s="32" t="n">
        <f aca="false">04_GENERATION!AM20*08_TRANSMISSION!$C$15</f>
        <v>41.646795619431</v>
      </c>
      <c r="AN35" s="32" t="n">
        <f aca="false">04_GENERATION!AN20*08_TRANSMISSION!$C$15</f>
        <v>0</v>
      </c>
      <c r="AO35" s="32" t="n">
        <f aca="false">04_GENERATION!AO20*08_TRANSMISSION!$C$15</f>
        <v>0</v>
      </c>
      <c r="AP35" s="32" t="n">
        <f aca="false">04_GENERATION!AP20*08_TRANSMISSION!$C$15</f>
        <v>0</v>
      </c>
      <c r="AQ35" s="32" t="n">
        <f aca="false">04_GENERATION!AQ20*08_TRANSMISSION!$C$15</f>
        <v>0</v>
      </c>
      <c r="AR35" s="32" t="n">
        <f aca="false">04_GENERATION!AR20*08_TRANSMISSION!$C$15</f>
        <v>0</v>
      </c>
    </row>
    <row r="36" customFormat="false" ht="15" hidden="false" customHeight="false" outlineLevel="0" collapsed="false">
      <c r="A36" s="8" t="s">
        <v>328</v>
      </c>
      <c r="B36" s="8" t="s">
        <v>84</v>
      </c>
      <c r="C36" s="34" t="n">
        <f aca="false">SUM(08_TRANSMISSION!$E$36:$AR$36)</f>
        <v>0</v>
      </c>
      <c r="E36" s="34" t="n">
        <f aca="false">04_GENERATION!E20*08_TRANSMISSION!$C$20*06_CONSTRUCTION!E17/1000</f>
        <v>0</v>
      </c>
      <c r="F36" s="34" t="n">
        <f aca="false">04_GENERATION!F20*08_TRANSMISSION!$C$20*06_CONSTRUCTION!F17/1000</f>
        <v>0</v>
      </c>
      <c r="G36" s="34" t="n">
        <f aca="false">04_GENERATION!G20*08_TRANSMISSION!$C$20*06_CONSTRUCTION!G17/1000</f>
        <v>0</v>
      </c>
      <c r="H36" s="34" t="n">
        <f aca="false">04_GENERATION!H20*08_TRANSMISSION!$C$20*06_CONSTRUCTION!H17/1000</f>
        <v>0</v>
      </c>
      <c r="I36" s="34" t="n">
        <f aca="false">04_GENERATION!I20*08_TRANSMISSION!$C$20*06_CONSTRUCTION!I17/1000</f>
        <v>0</v>
      </c>
      <c r="J36" s="34" t="n">
        <f aca="false">04_GENERATION!J20*08_TRANSMISSION!$C$20*06_CONSTRUCTION!J17/1000</f>
        <v>0</v>
      </c>
      <c r="K36" s="34" t="n">
        <f aca="false">04_GENERATION!K20*08_TRANSMISSION!$C$20*06_CONSTRUCTION!K17/1000</f>
        <v>0</v>
      </c>
      <c r="L36" s="34" t="n">
        <f aca="false">04_GENERATION!L20*08_TRANSMISSION!$C$20*06_CONSTRUCTION!L17/1000</f>
        <v>0</v>
      </c>
      <c r="M36" s="34" t="n">
        <f aca="false">04_GENERATION!M20*08_TRANSMISSION!$C$20*06_CONSTRUCTION!M17/1000</f>
        <v>0</v>
      </c>
      <c r="N36" s="34" t="n">
        <f aca="false">04_GENERATION!N20*08_TRANSMISSION!$C$20*06_CONSTRUCTION!N17/1000</f>
        <v>0</v>
      </c>
      <c r="O36" s="34" t="n">
        <f aca="false">04_GENERATION!O20*08_TRANSMISSION!$C$20*06_CONSTRUCTION!O17/1000</f>
        <v>0</v>
      </c>
      <c r="P36" s="34" t="n">
        <f aca="false">04_GENERATION!P20*08_TRANSMISSION!$C$20*06_CONSTRUCTION!P17/1000</f>
        <v>0</v>
      </c>
      <c r="Q36" s="34" t="n">
        <f aca="false">04_GENERATION!Q20*08_TRANSMISSION!$C$20*06_CONSTRUCTION!Q17/1000</f>
        <v>0</v>
      </c>
      <c r="R36" s="34" t="n">
        <f aca="false">04_GENERATION!R20*08_TRANSMISSION!$C$20*06_CONSTRUCTION!R17/1000</f>
        <v>0</v>
      </c>
      <c r="S36" s="34" t="n">
        <f aca="false">04_GENERATION!S20*08_TRANSMISSION!$C$20*06_CONSTRUCTION!S17/1000</f>
        <v>0</v>
      </c>
      <c r="T36" s="34" t="n">
        <f aca="false">04_GENERATION!T20*08_TRANSMISSION!$C$20*06_CONSTRUCTION!T17/1000</f>
        <v>0</v>
      </c>
      <c r="U36" s="34" t="n">
        <f aca="false">04_GENERATION!U20*08_TRANSMISSION!$C$20*06_CONSTRUCTION!U17/1000</f>
        <v>0</v>
      </c>
      <c r="V36" s="34" t="n">
        <f aca="false">04_GENERATION!V20*08_TRANSMISSION!$C$20*06_CONSTRUCTION!V17/1000</f>
        <v>0</v>
      </c>
      <c r="W36" s="34" t="n">
        <f aca="false">04_GENERATION!W20*08_TRANSMISSION!$C$20*06_CONSTRUCTION!W17/1000</f>
        <v>0</v>
      </c>
      <c r="X36" s="34" t="n">
        <f aca="false">04_GENERATION!X20*08_TRANSMISSION!$C$20*06_CONSTRUCTION!X17/1000</f>
        <v>0</v>
      </c>
      <c r="Y36" s="34" t="n">
        <f aca="false">04_GENERATION!Y20*08_TRANSMISSION!$C$20*06_CONSTRUCTION!Y17/1000</f>
        <v>0</v>
      </c>
      <c r="Z36" s="34" t="n">
        <f aca="false">04_GENERATION!Z20*08_TRANSMISSION!$C$20*06_CONSTRUCTION!Z17/1000</f>
        <v>0</v>
      </c>
      <c r="AA36" s="34" t="n">
        <f aca="false">04_GENERATION!AA20*08_TRANSMISSION!$C$20*06_CONSTRUCTION!AA17/1000</f>
        <v>0</v>
      </c>
      <c r="AB36" s="34" t="n">
        <f aca="false">04_GENERATION!AB20*08_TRANSMISSION!$C$20*06_CONSTRUCTION!AB17/1000</f>
        <v>0</v>
      </c>
      <c r="AC36" s="34" t="n">
        <f aca="false">04_GENERATION!AC20*08_TRANSMISSION!$C$20*06_CONSTRUCTION!AC17/1000</f>
        <v>0</v>
      </c>
      <c r="AD36" s="34" t="n">
        <f aca="false">04_GENERATION!AD20*08_TRANSMISSION!$C$20*06_CONSTRUCTION!AD17/1000</f>
        <v>0</v>
      </c>
      <c r="AE36" s="34" t="n">
        <f aca="false">04_GENERATION!AE20*08_TRANSMISSION!$C$20*06_CONSTRUCTION!AE17/1000</f>
        <v>0</v>
      </c>
      <c r="AF36" s="34" t="n">
        <f aca="false">04_GENERATION!AF20*08_TRANSMISSION!$C$20*06_CONSTRUCTION!AF17/1000</f>
        <v>0</v>
      </c>
      <c r="AG36" s="34" t="n">
        <f aca="false">04_GENERATION!AG20*08_TRANSMISSION!$C$20*06_CONSTRUCTION!AG17/1000</f>
        <v>0</v>
      </c>
      <c r="AH36" s="34" t="n">
        <f aca="false">04_GENERATION!AH20*08_TRANSMISSION!$C$20*06_CONSTRUCTION!AH17/1000</f>
        <v>0</v>
      </c>
      <c r="AI36" s="34" t="n">
        <f aca="false">04_GENERATION!AI20*08_TRANSMISSION!$C$20*06_CONSTRUCTION!AI17/1000</f>
        <v>0</v>
      </c>
      <c r="AJ36" s="34" t="n">
        <f aca="false">04_GENERATION!AJ20*08_TRANSMISSION!$C$20*06_CONSTRUCTION!AJ17/1000</f>
        <v>0</v>
      </c>
      <c r="AK36" s="34" t="n">
        <f aca="false">04_GENERATION!AK20*08_TRANSMISSION!$C$20*06_CONSTRUCTION!AK17/1000</f>
        <v>0</v>
      </c>
      <c r="AL36" s="34" t="n">
        <f aca="false">04_GENERATION!AL20*08_TRANSMISSION!$C$20*06_CONSTRUCTION!AL17/1000</f>
        <v>0</v>
      </c>
      <c r="AM36" s="34" t="n">
        <f aca="false">04_GENERATION!AM20*08_TRANSMISSION!$C$20*06_CONSTRUCTION!AM17/1000</f>
        <v>0</v>
      </c>
      <c r="AN36" s="34" t="n">
        <f aca="false">04_GENERATION!AN20*08_TRANSMISSION!$C$20*06_CONSTRUCTION!AN17/1000</f>
        <v>0</v>
      </c>
      <c r="AO36" s="34" t="n">
        <f aca="false">04_GENERATION!AO20*08_TRANSMISSION!$C$20*06_CONSTRUCTION!AO17/1000</f>
        <v>0</v>
      </c>
      <c r="AP36" s="34" t="n">
        <f aca="false">04_GENERATION!AP20*08_TRANSMISSION!$C$20*06_CONSTRUCTION!AP17/1000</f>
        <v>0</v>
      </c>
      <c r="AQ36" s="34" t="n">
        <f aca="false">04_GENERATION!AQ20*08_TRANSMISSION!$C$20*06_CONSTRUCTION!AQ17/1000</f>
        <v>0</v>
      </c>
      <c r="AR36" s="34" t="n">
        <f aca="false">04_GENERATION!AR20*08_TRANSMISSION!$C$20*06_CONSTRUCTION!AR17/1000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329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330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265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331</v>
      </c>
      <c r="B7" s="8" t="s">
        <v>115</v>
      </c>
      <c r="C7" s="26" t="n">
        <v>1450</v>
      </c>
      <c r="D7" s="10" t="s">
        <v>94</v>
      </c>
    </row>
    <row r="8" customFormat="false" ht="15" hidden="false" customHeight="false" outlineLevel="0" collapsed="false">
      <c r="A8" s="8" t="s">
        <v>332</v>
      </c>
      <c r="B8" s="8" t="s">
        <v>56</v>
      </c>
      <c r="C8" s="12" t="n">
        <v>0.6</v>
      </c>
    </row>
    <row r="9" customFormat="false" ht="15" hidden="false" customHeight="false" outlineLevel="0" collapsed="false">
      <c r="A9" s="8" t="s">
        <v>333</v>
      </c>
      <c r="B9" s="8" t="s">
        <v>115</v>
      </c>
      <c r="C9" s="27" t="n">
        <v>300</v>
      </c>
      <c r="D9" s="10" t="s">
        <v>334</v>
      </c>
    </row>
    <row r="10" customFormat="false" ht="15" hidden="false" customHeight="false" outlineLevel="0" collapsed="false">
      <c r="A10" s="8" t="s">
        <v>335</v>
      </c>
      <c r="B10" s="8" t="s">
        <v>115</v>
      </c>
      <c r="C10" s="27" t="n">
        <v>100</v>
      </c>
    </row>
    <row r="11" customFormat="false" ht="15" hidden="false" customHeight="false" outlineLevel="0" collapsed="false">
      <c r="A11" s="8" t="s">
        <v>336</v>
      </c>
      <c r="B11" s="8" t="s">
        <v>115</v>
      </c>
      <c r="C11" s="27" t="n">
        <v>2100</v>
      </c>
    </row>
    <row r="12" customFormat="false" ht="15" hidden="false" customHeight="false" outlineLevel="0" collapsed="false">
      <c r="A12" s="6" t="s">
        <v>315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</row>
    <row r="13" customFormat="false" ht="15" hidden="false" customHeight="false" outlineLevel="0" collapsed="false">
      <c r="A13" s="8" t="s">
        <v>337</v>
      </c>
      <c r="B13" s="8" t="s">
        <v>115</v>
      </c>
      <c r="E13" s="32" t="n">
        <f aca="false">09_GRID!$C$7*10_DEMAND!E27/10_DEMAND!$C$99</f>
        <v>1539.38356164384</v>
      </c>
      <c r="F13" s="32" t="n">
        <f aca="false">09_GRID!$C$7*10_DEMAND!F27/10_DEMAND!$C$99</f>
        <v>1634.46979452055</v>
      </c>
      <c r="G13" s="32" t="n">
        <f aca="false">09_GRID!$C$7*10_DEMAND!G27/10_DEMAND!$C$99</f>
        <v>1735.63571849315</v>
      </c>
      <c r="H13" s="32" t="n">
        <f aca="false">09_GRID!$C$7*10_DEMAND!H27/10_DEMAND!$C$99</f>
        <v>1843.2842454589</v>
      </c>
      <c r="I13" s="32" t="n">
        <f aca="false">09_GRID!$C$7*10_DEMAND!I27/10_DEMAND!$C$99</f>
        <v>1957.84603230034</v>
      </c>
      <c r="J13" s="32" t="n">
        <f aca="false">09_GRID!$C$7*10_DEMAND!J27/10_DEMAND!$C$99</f>
        <v>2079.78147244202</v>
      </c>
      <c r="K13" s="32" t="n">
        <f aca="false">09_GRID!$C$7*10_DEMAND!K27/10_DEMAND!$C$99</f>
        <v>2209.58283686933</v>
      </c>
      <c r="L13" s="32" t="n">
        <f aca="false">09_GRID!$C$7*10_DEMAND!L27/10_DEMAND!$C$99</f>
        <v>2347.77657635566</v>
      </c>
      <c r="M13" s="32" t="n">
        <f aca="false">09_GRID!$C$7*10_DEMAND!M27/10_DEMAND!$C$99</f>
        <v>2494.92579761021</v>
      </c>
      <c r="N13" s="32" t="n">
        <f aca="false">09_GRID!$C$7*10_DEMAND!N27/10_DEMAND!$C$99</f>
        <v>2651.63292710766</v>
      </c>
      <c r="O13" s="32" t="n">
        <f aca="false">09_GRID!$C$7*10_DEMAND!O27/10_DEMAND!$C$99</f>
        <v>2818.54257749997</v>
      </c>
      <c r="P13" s="32" t="n">
        <f aca="false">09_GRID!$C$7*10_DEMAND!P27/10_DEMAND!$C$99</f>
        <v>2996.34463274809</v>
      </c>
      <c r="Q13" s="32" t="n">
        <f aca="false">09_GRID!$C$7*10_DEMAND!Q27/10_DEMAND!$C$99</f>
        <v>3185.77756945586</v>
      </c>
      <c r="R13" s="32" t="n">
        <f aca="false">09_GRID!$C$7*10_DEMAND!R27/10_DEMAND!$C$99</f>
        <v>3387.63203334922</v>
      </c>
      <c r="S13" s="32" t="n">
        <f aca="false">09_GRID!$C$7*10_DEMAND!S27/10_DEMAND!$C$99</f>
        <v>3602.75469143279</v>
      </c>
      <c r="T13" s="32" t="n">
        <f aca="false">09_GRID!$C$7*10_DEMAND!T27/10_DEMAND!$C$99</f>
        <v>3832.0523820821</v>
      </c>
      <c r="U13" s="32" t="n">
        <f aca="false">09_GRID!$C$7*10_DEMAND!U27/10_DEMAND!$C$99</f>
        <v>4076.49658720827</v>
      </c>
      <c r="V13" s="32" t="n">
        <f aca="false">09_GRID!$C$7*10_DEMAND!V27/10_DEMAND!$C$99</f>
        <v>4337.12825267455</v>
      </c>
      <c r="W13" s="32" t="n">
        <f aca="false">09_GRID!$C$7*10_DEMAND!W27/10_DEMAND!$C$99</f>
        <v>4615.06298536684</v>
      </c>
      <c r="X13" s="32" t="n">
        <f aca="false">09_GRID!$C$7*10_DEMAND!X27/10_DEMAND!$C$99</f>
        <v>4911.49665773883</v>
      </c>
      <c r="Y13" s="32" t="n">
        <f aca="false">09_GRID!$C$7*10_DEMAND!Y27/10_DEMAND!$C$99</f>
        <v>5227.711453285</v>
      </c>
      <c r="Z13" s="32" t="n">
        <f aca="false">09_GRID!$C$7*10_DEMAND!Z27/10_DEMAND!$C$99</f>
        <v>5565.08238926094</v>
      </c>
      <c r="AA13" s="32" t="n">
        <f aca="false">09_GRID!$C$7*10_DEMAND!AA27/10_DEMAND!$C$99</f>
        <v>5925.08435609097</v>
      </c>
      <c r="AB13" s="32" t="n">
        <f aca="false">09_GRID!$C$7*10_DEMAND!AB27/10_DEMAND!$C$99</f>
        <v>6309.29971630256</v>
      </c>
      <c r="AC13" s="32" t="n">
        <f aca="false">09_GRID!$C$7*10_DEMAND!AC27/10_DEMAND!$C$99</f>
        <v>6719.42650952924</v>
      </c>
      <c r="AD13" s="32" t="n">
        <f aca="false">09_GRID!$C$7*10_DEMAND!AD27/10_DEMAND!$C$99</f>
        <v>7157.28731415871</v>
      </c>
      <c r="AE13" s="32" t="n">
        <f aca="false">09_GRID!$C$7*10_DEMAND!AE27/10_DEMAND!$C$99</f>
        <v>7624.83882059908</v>
      </c>
      <c r="AF13" s="32" t="n">
        <f aca="false">09_GRID!$C$7*10_DEMAND!AF27/10_DEMAND!$C$99</f>
        <v>8124.18217592901</v>
      </c>
      <c r="AG13" s="32" t="n">
        <f aca="false">09_GRID!$C$7*10_DEMAND!AG27/10_DEMAND!$C$99</f>
        <v>8657.57416492189</v>
      </c>
      <c r="AH13" s="32" t="n">
        <f aca="false">09_GRID!$C$7*10_DEMAND!AH27/10_DEMAND!$C$99</f>
        <v>9227.43929813198</v>
      </c>
      <c r="AI13" s="32" t="n">
        <f aca="false">09_GRID!$C$7*10_DEMAND!AI27/10_DEMAND!$C$99</f>
        <v>9836.38288394344</v>
      </c>
      <c r="AJ13" s="32" t="n">
        <f aca="false">09_GRID!$C$7*10_DEMAND!AJ27/10_DEMAND!$C$99</f>
        <v>10487.2051682617</v>
      </c>
      <c r="AK13" s="32" t="n">
        <f aca="false">09_GRID!$C$7*10_DEMAND!AK27/10_DEMAND!$C$99</f>
        <v>11182.9166329213</v>
      </c>
      <c r="AL13" s="32" t="n">
        <f aca="false">09_GRID!$C$7*10_DEMAND!AL27/10_DEMAND!$C$99</f>
        <v>11926.7545519543</v>
      </c>
      <c r="AM13" s="32" t="n">
        <f aca="false">09_GRID!$C$7*10_DEMAND!AM27/10_DEMAND!$C$99</f>
        <v>12722.2009136702</v>
      </c>
      <c r="AN13" s="32" t="n">
        <f aca="false">09_GRID!$C$7*10_DEMAND!AN27/10_DEMAND!$C$99</f>
        <v>13573.0018261133</v>
      </c>
      <c r="AO13" s="32" t="n">
        <f aca="false">09_GRID!$C$7*10_DEMAND!AO27/10_DEMAND!$C$99</f>
        <v>14483.1885339606</v>
      </c>
      <c r="AP13" s="32" t="n">
        <f aca="false">09_GRID!$C$7*10_DEMAND!AP27/10_DEMAND!$C$99</f>
        <v>15457.1001863839</v>
      </c>
      <c r="AQ13" s="32" t="n">
        <f aca="false">09_GRID!$C$7*10_DEMAND!AQ27/10_DEMAND!$C$99</f>
        <v>16499.4085079211</v>
      </c>
      <c r="AR13" s="32" t="n">
        <f aca="false">09_GRID!$C$7*10_DEMAND!AR27/10_DEMAND!$C$99</f>
        <v>17615.1445380761</v>
      </c>
    </row>
    <row r="14" customFormat="false" ht="15" hidden="false" customHeight="false" outlineLevel="0" collapsed="false">
      <c r="A14" s="8" t="s">
        <v>338</v>
      </c>
      <c r="B14" s="8" t="s">
        <v>115</v>
      </c>
      <c r="E14" s="32" t="n">
        <f aca="false">MAX(0,09_GRID!E13*09_GRID!$C$8-09_GRID!$C$9)+09_GRID!$C$10</f>
        <v>723.630136986301</v>
      </c>
      <c r="F14" s="32" t="n">
        <f aca="false">MAX(0,09_GRID!F13*09_GRID!$C$8-09_GRID!$C$9)+09_GRID!$C$10</f>
        <v>780.681876712329</v>
      </c>
      <c r="G14" s="32" t="n">
        <f aca="false">MAX(0,09_GRID!G13*09_GRID!$C$8-09_GRID!$C$9)+09_GRID!$C$10</f>
        <v>841.38143109589</v>
      </c>
      <c r="H14" s="32" t="n">
        <f aca="false">MAX(0,09_GRID!H13*09_GRID!$C$8-09_GRID!$C$9)+09_GRID!$C$10</f>
        <v>905.970547275343</v>
      </c>
      <c r="I14" s="32" t="n">
        <f aca="false">MAX(0,09_GRID!I13*09_GRID!$C$8-09_GRID!$C$9)+09_GRID!$C$10</f>
        <v>974.707619380206</v>
      </c>
      <c r="J14" s="32" t="n">
        <f aca="false">MAX(0,09_GRID!J13*09_GRID!$C$8-09_GRID!$C$9)+09_GRID!$C$10</f>
        <v>1047.86888346521</v>
      </c>
      <c r="K14" s="32" t="n">
        <f aca="false">MAX(0,09_GRID!K13*09_GRID!$C$8-09_GRID!$C$9)+09_GRID!$C$10</f>
        <v>1125.7497021216</v>
      </c>
      <c r="L14" s="32" t="n">
        <f aca="false">MAX(0,09_GRID!L13*09_GRID!$C$8-09_GRID!$C$9)+09_GRID!$C$10</f>
        <v>1208.66594581339</v>
      </c>
      <c r="M14" s="32" t="n">
        <f aca="false">MAX(0,09_GRID!M13*09_GRID!$C$8-09_GRID!$C$9)+09_GRID!$C$10</f>
        <v>1296.95547856613</v>
      </c>
      <c r="N14" s="32" t="n">
        <f aca="false">MAX(0,09_GRID!N13*09_GRID!$C$8-09_GRID!$C$9)+09_GRID!$C$10</f>
        <v>1390.9797562646</v>
      </c>
      <c r="O14" s="32" t="n">
        <f aca="false">MAX(0,09_GRID!O13*09_GRID!$C$8-09_GRID!$C$9)+09_GRID!$C$10</f>
        <v>1491.12554649998</v>
      </c>
      <c r="P14" s="32" t="n">
        <f aca="false">MAX(0,09_GRID!P13*09_GRID!$C$8-09_GRID!$C$9)+09_GRID!$C$10</f>
        <v>1597.80677964886</v>
      </c>
      <c r="Q14" s="32" t="n">
        <f aca="false">MAX(0,09_GRID!Q13*09_GRID!$C$8-09_GRID!$C$9)+09_GRID!$C$10</f>
        <v>1711.46654167351</v>
      </c>
      <c r="R14" s="32" t="n">
        <f aca="false">MAX(0,09_GRID!R13*09_GRID!$C$8-09_GRID!$C$9)+09_GRID!$C$10</f>
        <v>1832.57922000953</v>
      </c>
      <c r="S14" s="32" t="n">
        <f aca="false">MAX(0,09_GRID!S13*09_GRID!$C$8-09_GRID!$C$9)+09_GRID!$C$10</f>
        <v>1961.65281485967</v>
      </c>
      <c r="T14" s="32" t="n">
        <f aca="false">MAX(0,09_GRID!T13*09_GRID!$C$8-09_GRID!$C$9)+09_GRID!$C$10</f>
        <v>2099.23142924926</v>
      </c>
      <c r="U14" s="32" t="n">
        <f aca="false">MAX(0,09_GRID!U13*09_GRID!$C$8-09_GRID!$C$9)+09_GRID!$C$10</f>
        <v>2245.89795232496</v>
      </c>
      <c r="V14" s="32" t="n">
        <f aca="false">MAX(0,09_GRID!V13*09_GRID!$C$8-09_GRID!$C$9)+09_GRID!$C$10</f>
        <v>2402.27695160473</v>
      </c>
      <c r="W14" s="32" t="n">
        <f aca="false">MAX(0,09_GRID!W13*09_GRID!$C$8-09_GRID!$C$9)+09_GRID!$C$10</f>
        <v>2569.0377912201</v>
      </c>
      <c r="X14" s="32" t="n">
        <f aca="false">MAX(0,09_GRID!X13*09_GRID!$C$8-09_GRID!$C$9)+09_GRID!$C$10</f>
        <v>2746.8979946433</v>
      </c>
      <c r="Y14" s="32" t="n">
        <f aca="false">MAX(0,09_GRID!Y13*09_GRID!$C$8-09_GRID!$C$9)+09_GRID!$C$10</f>
        <v>2936.626871971</v>
      </c>
      <c r="Z14" s="32" t="n">
        <f aca="false">MAX(0,09_GRID!Z13*09_GRID!$C$8-09_GRID!$C$9)+09_GRID!$C$10</f>
        <v>3139.04943355656</v>
      </c>
      <c r="AA14" s="32" t="n">
        <f aca="false">MAX(0,09_GRID!AA13*09_GRID!$C$8-09_GRID!$C$9)+09_GRID!$C$10</f>
        <v>3355.05061365458</v>
      </c>
      <c r="AB14" s="32" t="n">
        <f aca="false">MAX(0,09_GRID!AB13*09_GRID!$C$8-09_GRID!$C$9)+09_GRID!$C$10</f>
        <v>3585.57982978154</v>
      </c>
      <c r="AC14" s="32" t="n">
        <f aca="false">MAX(0,09_GRID!AC13*09_GRID!$C$8-09_GRID!$C$9)+09_GRID!$C$10</f>
        <v>3831.65590571755</v>
      </c>
      <c r="AD14" s="32" t="n">
        <f aca="false">MAX(0,09_GRID!AD13*09_GRID!$C$8-09_GRID!$C$9)+09_GRID!$C$10</f>
        <v>4094.37238849523</v>
      </c>
      <c r="AE14" s="32" t="n">
        <f aca="false">MAX(0,09_GRID!AE13*09_GRID!$C$8-09_GRID!$C$9)+09_GRID!$C$10</f>
        <v>4374.90329235945</v>
      </c>
      <c r="AF14" s="32" t="n">
        <f aca="false">MAX(0,09_GRID!AF13*09_GRID!$C$8-09_GRID!$C$9)+09_GRID!$C$10</f>
        <v>4674.50930555741</v>
      </c>
      <c r="AG14" s="32" t="n">
        <f aca="false">MAX(0,09_GRID!AG13*09_GRID!$C$8-09_GRID!$C$9)+09_GRID!$C$10</f>
        <v>4994.54449895314</v>
      </c>
      <c r="AH14" s="32" t="n">
        <f aca="false">MAX(0,09_GRID!AH13*09_GRID!$C$8-09_GRID!$C$9)+09_GRID!$C$10</f>
        <v>5336.46357887919</v>
      </c>
      <c r="AI14" s="32" t="n">
        <f aca="false">MAX(0,09_GRID!AI13*09_GRID!$C$8-09_GRID!$C$9)+09_GRID!$C$10</f>
        <v>5701.82973036606</v>
      </c>
      <c r="AJ14" s="32" t="n">
        <f aca="false">MAX(0,09_GRID!AJ13*09_GRID!$C$8-09_GRID!$C$9)+09_GRID!$C$10</f>
        <v>6092.32310095702</v>
      </c>
      <c r="AK14" s="32" t="n">
        <f aca="false">MAX(0,09_GRID!AK13*09_GRID!$C$8-09_GRID!$C$9)+09_GRID!$C$10</f>
        <v>6509.7499797528</v>
      </c>
      <c r="AL14" s="32" t="n">
        <f aca="false">MAX(0,09_GRID!AL13*09_GRID!$C$8-09_GRID!$C$9)+09_GRID!$C$10</f>
        <v>6956.0527311726</v>
      </c>
      <c r="AM14" s="32" t="n">
        <f aca="false">MAX(0,09_GRID!AM13*09_GRID!$C$8-09_GRID!$C$9)+09_GRID!$C$10</f>
        <v>7433.32054820211</v>
      </c>
      <c r="AN14" s="32" t="n">
        <f aca="false">MAX(0,09_GRID!AN13*09_GRID!$C$8-09_GRID!$C$9)+09_GRID!$C$10</f>
        <v>7943.80109566799</v>
      </c>
      <c r="AO14" s="32" t="n">
        <f aca="false">MAX(0,09_GRID!AO13*09_GRID!$C$8-09_GRID!$C$9)+09_GRID!$C$10</f>
        <v>8489.91312037637</v>
      </c>
      <c r="AP14" s="32" t="n">
        <f aca="false">MAX(0,09_GRID!AP13*09_GRID!$C$8-09_GRID!$C$9)+09_GRID!$C$10</f>
        <v>9074.26011183031</v>
      </c>
      <c r="AQ14" s="32" t="n">
        <f aca="false">MAX(0,09_GRID!AQ13*09_GRID!$C$8-09_GRID!$C$9)+09_GRID!$C$10</f>
        <v>9699.64510475265</v>
      </c>
      <c r="AR14" s="32" t="n">
        <f aca="false">MAX(0,09_GRID!AR13*09_GRID!$C$8-09_GRID!$C$9)+09_GRID!$C$10</f>
        <v>10369.0867228457</v>
      </c>
    </row>
    <row r="15" customFormat="false" ht="15" hidden="false" customHeight="false" outlineLevel="0" collapsed="false">
      <c r="A15" s="8" t="s">
        <v>339</v>
      </c>
      <c r="B15" s="8" t="s">
        <v>115</v>
      </c>
      <c r="E15" s="32" t="n">
        <f aca="false">IF(08_TRANSMISSION!E30=1,08_TRANSMISSION!$C$10,08_TRANSMISSION!$C$19)</f>
        <v>80</v>
      </c>
      <c r="F15" s="32" t="n">
        <f aca="false">IF(08_TRANSMISSION!F30=1,08_TRANSMISSION!$C$10,08_TRANSMISSION!$C$19)</f>
        <v>80</v>
      </c>
      <c r="G15" s="32" t="n">
        <f aca="false">IF(08_TRANSMISSION!G30=1,08_TRANSMISSION!$C$10,08_TRANSMISSION!$C$19)</f>
        <v>80</v>
      </c>
      <c r="H15" s="32" t="n">
        <f aca="false">IF(08_TRANSMISSION!H30=1,08_TRANSMISSION!$C$10,08_TRANSMISSION!$C$19)</f>
        <v>80</v>
      </c>
      <c r="I15" s="32" t="n">
        <f aca="false">IF(08_TRANSMISSION!I30=1,08_TRANSMISSION!$C$10,08_TRANSMISSION!$C$19)</f>
        <v>80</v>
      </c>
      <c r="J15" s="32" t="n">
        <f aca="false">IF(08_TRANSMISSION!J30=1,08_TRANSMISSION!$C$10,08_TRANSMISSION!$C$19)</f>
        <v>650</v>
      </c>
      <c r="K15" s="32" t="n">
        <f aca="false">IF(08_TRANSMISSION!K30=1,08_TRANSMISSION!$C$10,08_TRANSMISSION!$C$19)</f>
        <v>650</v>
      </c>
      <c r="L15" s="32" t="n">
        <f aca="false">IF(08_TRANSMISSION!L30=1,08_TRANSMISSION!$C$10,08_TRANSMISSION!$C$19)</f>
        <v>650</v>
      </c>
      <c r="M15" s="32" t="n">
        <f aca="false">IF(08_TRANSMISSION!M30=1,08_TRANSMISSION!$C$10,08_TRANSMISSION!$C$19)</f>
        <v>650</v>
      </c>
      <c r="N15" s="32" t="n">
        <f aca="false">IF(08_TRANSMISSION!N30=1,08_TRANSMISSION!$C$10,08_TRANSMISSION!$C$19)</f>
        <v>650</v>
      </c>
      <c r="O15" s="32" t="n">
        <f aca="false">IF(08_TRANSMISSION!O30=1,08_TRANSMISSION!$C$10,08_TRANSMISSION!$C$19)</f>
        <v>650</v>
      </c>
      <c r="P15" s="32" t="n">
        <f aca="false">IF(08_TRANSMISSION!P30=1,08_TRANSMISSION!$C$10,08_TRANSMISSION!$C$19)</f>
        <v>650</v>
      </c>
      <c r="Q15" s="32" t="n">
        <f aca="false">IF(08_TRANSMISSION!Q30=1,08_TRANSMISSION!$C$10,08_TRANSMISSION!$C$19)</f>
        <v>650</v>
      </c>
      <c r="R15" s="32" t="n">
        <f aca="false">IF(08_TRANSMISSION!R30=1,08_TRANSMISSION!$C$10,08_TRANSMISSION!$C$19)</f>
        <v>650</v>
      </c>
      <c r="S15" s="32" t="n">
        <f aca="false">IF(08_TRANSMISSION!S30=1,08_TRANSMISSION!$C$10,08_TRANSMISSION!$C$19)</f>
        <v>650</v>
      </c>
      <c r="T15" s="32" t="n">
        <f aca="false">IF(08_TRANSMISSION!T30=1,08_TRANSMISSION!$C$10,08_TRANSMISSION!$C$19)</f>
        <v>650</v>
      </c>
      <c r="U15" s="32" t="n">
        <f aca="false">IF(08_TRANSMISSION!U30=1,08_TRANSMISSION!$C$10,08_TRANSMISSION!$C$19)</f>
        <v>650</v>
      </c>
      <c r="V15" s="32" t="n">
        <f aca="false">IF(08_TRANSMISSION!V30=1,08_TRANSMISSION!$C$10,08_TRANSMISSION!$C$19)</f>
        <v>650</v>
      </c>
      <c r="W15" s="32" t="n">
        <f aca="false">IF(08_TRANSMISSION!W30=1,08_TRANSMISSION!$C$10,08_TRANSMISSION!$C$19)</f>
        <v>650</v>
      </c>
      <c r="X15" s="32" t="n">
        <f aca="false">IF(08_TRANSMISSION!X30=1,08_TRANSMISSION!$C$10,08_TRANSMISSION!$C$19)</f>
        <v>650</v>
      </c>
      <c r="Y15" s="32" t="n">
        <f aca="false">IF(08_TRANSMISSION!Y30=1,08_TRANSMISSION!$C$10,08_TRANSMISSION!$C$19)</f>
        <v>650</v>
      </c>
      <c r="Z15" s="32" t="n">
        <f aca="false">IF(08_TRANSMISSION!Z30=1,08_TRANSMISSION!$C$10,08_TRANSMISSION!$C$19)</f>
        <v>650</v>
      </c>
      <c r="AA15" s="32" t="n">
        <f aca="false">IF(08_TRANSMISSION!AA30=1,08_TRANSMISSION!$C$10,08_TRANSMISSION!$C$19)</f>
        <v>650</v>
      </c>
      <c r="AB15" s="32" t="n">
        <f aca="false">IF(08_TRANSMISSION!AB30=1,08_TRANSMISSION!$C$10,08_TRANSMISSION!$C$19)</f>
        <v>650</v>
      </c>
      <c r="AC15" s="32" t="n">
        <f aca="false">IF(08_TRANSMISSION!AC30=1,08_TRANSMISSION!$C$10,08_TRANSMISSION!$C$19)</f>
        <v>650</v>
      </c>
      <c r="AD15" s="32" t="n">
        <f aca="false">IF(08_TRANSMISSION!AD30=1,08_TRANSMISSION!$C$10,08_TRANSMISSION!$C$19)</f>
        <v>650</v>
      </c>
      <c r="AE15" s="32" t="n">
        <f aca="false">IF(08_TRANSMISSION!AE30=1,08_TRANSMISSION!$C$10,08_TRANSMISSION!$C$19)</f>
        <v>650</v>
      </c>
      <c r="AF15" s="32" t="n">
        <f aca="false">IF(08_TRANSMISSION!AF30=1,08_TRANSMISSION!$C$10,08_TRANSMISSION!$C$19)</f>
        <v>650</v>
      </c>
      <c r="AG15" s="32" t="n">
        <f aca="false">IF(08_TRANSMISSION!AG30=1,08_TRANSMISSION!$C$10,08_TRANSMISSION!$C$19)</f>
        <v>650</v>
      </c>
      <c r="AH15" s="32" t="n">
        <f aca="false">IF(08_TRANSMISSION!AH30=1,08_TRANSMISSION!$C$10,08_TRANSMISSION!$C$19)</f>
        <v>650</v>
      </c>
      <c r="AI15" s="32" t="n">
        <f aca="false">IF(08_TRANSMISSION!AI30=1,08_TRANSMISSION!$C$10,08_TRANSMISSION!$C$19)</f>
        <v>650</v>
      </c>
      <c r="AJ15" s="32" t="n">
        <f aca="false">IF(08_TRANSMISSION!AJ30=1,08_TRANSMISSION!$C$10,08_TRANSMISSION!$C$19)</f>
        <v>650</v>
      </c>
      <c r="AK15" s="32" t="n">
        <f aca="false">IF(08_TRANSMISSION!AK30=1,08_TRANSMISSION!$C$10,08_TRANSMISSION!$C$19)</f>
        <v>650</v>
      </c>
      <c r="AL15" s="32" t="n">
        <f aca="false">IF(08_TRANSMISSION!AL30=1,08_TRANSMISSION!$C$10,08_TRANSMISSION!$C$19)</f>
        <v>650</v>
      </c>
      <c r="AM15" s="32" t="n">
        <f aca="false">IF(08_TRANSMISSION!AM30=1,08_TRANSMISSION!$C$10,08_TRANSMISSION!$C$19)</f>
        <v>650</v>
      </c>
      <c r="AN15" s="32" t="n">
        <f aca="false">IF(08_TRANSMISSION!AN30=1,08_TRANSMISSION!$C$10,08_TRANSMISSION!$C$19)</f>
        <v>650</v>
      </c>
      <c r="AO15" s="32" t="n">
        <f aca="false">IF(08_TRANSMISSION!AO30=1,08_TRANSMISSION!$C$10,08_TRANSMISSION!$C$19)</f>
        <v>650</v>
      </c>
      <c r="AP15" s="32" t="n">
        <f aca="false">IF(08_TRANSMISSION!AP30=1,08_TRANSMISSION!$C$10,08_TRANSMISSION!$C$19)</f>
        <v>650</v>
      </c>
      <c r="AQ15" s="32" t="n">
        <f aca="false">IF(08_TRANSMISSION!AQ30=1,08_TRANSMISSION!$C$10,08_TRANSMISSION!$C$19)</f>
        <v>650</v>
      </c>
      <c r="AR15" s="32" t="n">
        <f aca="false">IF(08_TRANSMISSION!AR30=1,08_TRANSMISSION!$C$10,08_TRANSMISSION!$C$19)</f>
        <v>650</v>
      </c>
    </row>
    <row r="16" customFormat="false" ht="15" hidden="false" customHeight="false" outlineLevel="0" collapsed="false">
      <c r="A16" s="4" t="s">
        <v>340</v>
      </c>
      <c r="B16" s="8" t="s">
        <v>115</v>
      </c>
      <c r="E16" s="41" t="n">
        <f aca="false">MIN(09_GRID!E15,09_GRID!E14)</f>
        <v>80</v>
      </c>
      <c r="F16" s="41" t="n">
        <f aca="false">MIN(09_GRID!F15,09_GRID!F14)</f>
        <v>80</v>
      </c>
      <c r="G16" s="41" t="n">
        <f aca="false">MIN(09_GRID!G15,09_GRID!G14)</f>
        <v>80</v>
      </c>
      <c r="H16" s="41" t="n">
        <f aca="false">MIN(09_GRID!H15,09_GRID!H14)</f>
        <v>80</v>
      </c>
      <c r="I16" s="41" t="n">
        <f aca="false">MIN(09_GRID!I15,09_GRID!I14)</f>
        <v>80</v>
      </c>
      <c r="J16" s="41" t="n">
        <f aca="false">MIN(09_GRID!J15,09_GRID!J14)</f>
        <v>650</v>
      </c>
      <c r="K16" s="41" t="n">
        <f aca="false">MIN(09_GRID!K15,09_GRID!K14)</f>
        <v>650</v>
      </c>
      <c r="L16" s="41" t="n">
        <f aca="false">MIN(09_GRID!L15,09_GRID!L14)</f>
        <v>650</v>
      </c>
      <c r="M16" s="41" t="n">
        <f aca="false">MIN(09_GRID!M15,09_GRID!M14)</f>
        <v>650</v>
      </c>
      <c r="N16" s="41" t="n">
        <f aca="false">MIN(09_GRID!N15,09_GRID!N14)</f>
        <v>650</v>
      </c>
      <c r="O16" s="41" t="n">
        <f aca="false">MIN(09_GRID!O15,09_GRID!O14)</f>
        <v>650</v>
      </c>
      <c r="P16" s="41" t="n">
        <f aca="false">MIN(09_GRID!P15,09_GRID!P14)</f>
        <v>650</v>
      </c>
      <c r="Q16" s="41" t="n">
        <f aca="false">MIN(09_GRID!Q15,09_GRID!Q14)</f>
        <v>650</v>
      </c>
      <c r="R16" s="41" t="n">
        <f aca="false">MIN(09_GRID!R15,09_GRID!R14)</f>
        <v>650</v>
      </c>
      <c r="S16" s="41" t="n">
        <f aca="false">MIN(09_GRID!S15,09_GRID!S14)</f>
        <v>650</v>
      </c>
      <c r="T16" s="41" t="n">
        <f aca="false">MIN(09_GRID!T15,09_GRID!T14)</f>
        <v>650</v>
      </c>
      <c r="U16" s="41" t="n">
        <f aca="false">MIN(09_GRID!U15,09_GRID!U14)</f>
        <v>650</v>
      </c>
      <c r="V16" s="41" t="n">
        <f aca="false">MIN(09_GRID!V15,09_GRID!V14)</f>
        <v>650</v>
      </c>
      <c r="W16" s="41" t="n">
        <f aca="false">MIN(09_GRID!W15,09_GRID!W14)</f>
        <v>650</v>
      </c>
      <c r="X16" s="41" t="n">
        <f aca="false">MIN(09_GRID!X15,09_GRID!X14)</f>
        <v>650</v>
      </c>
      <c r="Y16" s="41" t="n">
        <f aca="false">MIN(09_GRID!Y15,09_GRID!Y14)</f>
        <v>650</v>
      </c>
      <c r="Z16" s="41" t="n">
        <f aca="false">MIN(09_GRID!Z15,09_GRID!Z14)</f>
        <v>650</v>
      </c>
      <c r="AA16" s="41" t="n">
        <f aca="false">MIN(09_GRID!AA15,09_GRID!AA14)</f>
        <v>650</v>
      </c>
      <c r="AB16" s="41" t="n">
        <f aca="false">MIN(09_GRID!AB15,09_GRID!AB14)</f>
        <v>650</v>
      </c>
      <c r="AC16" s="41" t="n">
        <f aca="false">MIN(09_GRID!AC15,09_GRID!AC14)</f>
        <v>650</v>
      </c>
      <c r="AD16" s="41" t="n">
        <f aca="false">MIN(09_GRID!AD15,09_GRID!AD14)</f>
        <v>650</v>
      </c>
      <c r="AE16" s="41" t="n">
        <f aca="false">MIN(09_GRID!AE15,09_GRID!AE14)</f>
        <v>650</v>
      </c>
      <c r="AF16" s="41" t="n">
        <f aca="false">MIN(09_GRID!AF15,09_GRID!AF14)</f>
        <v>650</v>
      </c>
      <c r="AG16" s="41" t="n">
        <f aca="false">MIN(09_GRID!AG15,09_GRID!AG14)</f>
        <v>650</v>
      </c>
      <c r="AH16" s="41" t="n">
        <f aca="false">MIN(09_GRID!AH15,09_GRID!AH14)</f>
        <v>650</v>
      </c>
      <c r="AI16" s="41" t="n">
        <f aca="false">MIN(09_GRID!AI15,09_GRID!AI14)</f>
        <v>650</v>
      </c>
      <c r="AJ16" s="41" t="n">
        <f aca="false">MIN(09_GRID!AJ15,09_GRID!AJ14)</f>
        <v>650</v>
      </c>
      <c r="AK16" s="41" t="n">
        <f aca="false">MIN(09_GRID!AK15,09_GRID!AK14)</f>
        <v>650</v>
      </c>
      <c r="AL16" s="41" t="n">
        <f aca="false">MIN(09_GRID!AL15,09_GRID!AL14)</f>
        <v>650</v>
      </c>
      <c r="AM16" s="41" t="n">
        <f aca="false">MIN(09_GRID!AM15,09_GRID!AM14)</f>
        <v>650</v>
      </c>
      <c r="AN16" s="41" t="n">
        <f aca="false">MIN(09_GRID!AN15,09_GRID!AN14)</f>
        <v>650</v>
      </c>
      <c r="AO16" s="41" t="n">
        <f aca="false">MIN(09_GRID!AO15,09_GRID!AO14)</f>
        <v>650</v>
      </c>
      <c r="AP16" s="41" t="n">
        <f aca="false">MIN(09_GRID!AP15,09_GRID!AP14)</f>
        <v>650</v>
      </c>
      <c r="AQ16" s="41" t="n">
        <f aca="false">MIN(09_GRID!AQ15,09_GRID!AQ14)</f>
        <v>650</v>
      </c>
      <c r="AR16" s="41" t="n">
        <f aca="false">MIN(09_GRID!AR15,09_GRID!AR14)</f>
        <v>650</v>
      </c>
    </row>
    <row r="17" customFormat="false" ht="15" hidden="false" customHeight="false" outlineLevel="0" collapsed="false">
      <c r="A17" s="8" t="s">
        <v>341</v>
      </c>
      <c r="B17" s="8" t="s">
        <v>82</v>
      </c>
      <c r="E17" s="40" t="n">
        <f aca="false">MIN(1,09_GRID!E16/02_PROJECT_INPUTS!$C$15)</f>
        <v>0.2</v>
      </c>
      <c r="F17" s="40" t="n">
        <f aca="false">MIN(1,09_GRID!F16/02_PROJECT_INPUTS!$C$15)</f>
        <v>0.2</v>
      </c>
      <c r="G17" s="40" t="n">
        <f aca="false">MIN(1,09_GRID!G16/02_PROJECT_INPUTS!$C$15)</f>
        <v>0.2</v>
      </c>
      <c r="H17" s="40" t="n">
        <f aca="false">MIN(1,09_GRID!H16/02_PROJECT_INPUTS!$C$15)</f>
        <v>0.2</v>
      </c>
      <c r="I17" s="40" t="n">
        <f aca="false">MIN(1,09_GRID!I16/02_PROJECT_INPUTS!$C$15)</f>
        <v>0.2</v>
      </c>
      <c r="J17" s="40" t="n">
        <f aca="false">MIN(1,09_GRID!J16/02_PROJECT_INPUTS!$C$15)</f>
        <v>1</v>
      </c>
      <c r="K17" s="40" t="n">
        <f aca="false">MIN(1,09_GRID!K16/02_PROJECT_INPUTS!$C$15)</f>
        <v>1</v>
      </c>
      <c r="L17" s="40" t="n">
        <f aca="false">MIN(1,09_GRID!L16/02_PROJECT_INPUTS!$C$15)</f>
        <v>1</v>
      </c>
      <c r="M17" s="40" t="n">
        <f aca="false">MIN(1,09_GRID!M16/02_PROJECT_INPUTS!$C$15)</f>
        <v>1</v>
      </c>
      <c r="N17" s="40" t="n">
        <f aca="false">MIN(1,09_GRID!N16/02_PROJECT_INPUTS!$C$15)</f>
        <v>1</v>
      </c>
      <c r="O17" s="40" t="n">
        <f aca="false">MIN(1,09_GRID!O16/02_PROJECT_INPUTS!$C$15)</f>
        <v>1</v>
      </c>
      <c r="P17" s="40" t="n">
        <f aca="false">MIN(1,09_GRID!P16/02_PROJECT_INPUTS!$C$15)</f>
        <v>1</v>
      </c>
      <c r="Q17" s="40" t="n">
        <f aca="false">MIN(1,09_GRID!Q16/02_PROJECT_INPUTS!$C$15)</f>
        <v>1</v>
      </c>
      <c r="R17" s="40" t="n">
        <f aca="false">MIN(1,09_GRID!R16/02_PROJECT_INPUTS!$C$15)</f>
        <v>1</v>
      </c>
      <c r="S17" s="40" t="n">
        <f aca="false">MIN(1,09_GRID!S16/02_PROJECT_INPUTS!$C$15)</f>
        <v>1</v>
      </c>
      <c r="T17" s="40" t="n">
        <f aca="false">MIN(1,09_GRID!T16/02_PROJECT_INPUTS!$C$15)</f>
        <v>1</v>
      </c>
      <c r="U17" s="40" t="n">
        <f aca="false">MIN(1,09_GRID!U16/02_PROJECT_INPUTS!$C$15)</f>
        <v>1</v>
      </c>
      <c r="V17" s="40" t="n">
        <f aca="false">MIN(1,09_GRID!V16/02_PROJECT_INPUTS!$C$15)</f>
        <v>1</v>
      </c>
      <c r="W17" s="40" t="n">
        <f aca="false">MIN(1,09_GRID!W16/02_PROJECT_INPUTS!$C$15)</f>
        <v>1</v>
      </c>
      <c r="X17" s="40" t="n">
        <f aca="false">MIN(1,09_GRID!X16/02_PROJECT_INPUTS!$C$15)</f>
        <v>1</v>
      </c>
      <c r="Y17" s="40" t="n">
        <f aca="false">MIN(1,09_GRID!Y16/02_PROJECT_INPUTS!$C$15)</f>
        <v>1</v>
      </c>
      <c r="Z17" s="40" t="n">
        <f aca="false">MIN(1,09_GRID!Z16/02_PROJECT_INPUTS!$C$15)</f>
        <v>1</v>
      </c>
      <c r="AA17" s="40" t="n">
        <f aca="false">MIN(1,09_GRID!AA16/02_PROJECT_INPUTS!$C$15)</f>
        <v>1</v>
      </c>
      <c r="AB17" s="40" t="n">
        <f aca="false">MIN(1,09_GRID!AB16/02_PROJECT_INPUTS!$C$15)</f>
        <v>1</v>
      </c>
      <c r="AC17" s="40" t="n">
        <f aca="false">MIN(1,09_GRID!AC16/02_PROJECT_INPUTS!$C$15)</f>
        <v>1</v>
      </c>
      <c r="AD17" s="40" t="n">
        <f aca="false">MIN(1,09_GRID!AD16/02_PROJECT_INPUTS!$C$15)</f>
        <v>1</v>
      </c>
      <c r="AE17" s="40" t="n">
        <f aca="false">MIN(1,09_GRID!AE16/02_PROJECT_INPUTS!$C$15)</f>
        <v>1</v>
      </c>
      <c r="AF17" s="40" t="n">
        <f aca="false">MIN(1,09_GRID!AF16/02_PROJECT_INPUTS!$C$15)</f>
        <v>1</v>
      </c>
      <c r="AG17" s="40" t="n">
        <f aca="false">MIN(1,09_GRID!AG16/02_PROJECT_INPUTS!$C$15)</f>
        <v>1</v>
      </c>
      <c r="AH17" s="40" t="n">
        <f aca="false">MIN(1,09_GRID!AH16/02_PROJECT_INPUTS!$C$15)</f>
        <v>1</v>
      </c>
      <c r="AI17" s="40" t="n">
        <f aca="false">MIN(1,09_GRID!AI16/02_PROJECT_INPUTS!$C$15)</f>
        <v>1</v>
      </c>
      <c r="AJ17" s="40" t="n">
        <f aca="false">MIN(1,09_GRID!AJ16/02_PROJECT_INPUTS!$C$15)</f>
        <v>1</v>
      </c>
      <c r="AK17" s="40" t="n">
        <f aca="false">MIN(1,09_GRID!AK16/02_PROJECT_INPUTS!$C$15)</f>
        <v>1</v>
      </c>
      <c r="AL17" s="40" t="n">
        <f aca="false">MIN(1,09_GRID!AL16/02_PROJECT_INPUTS!$C$15)</f>
        <v>1</v>
      </c>
      <c r="AM17" s="40" t="n">
        <f aca="false">MIN(1,09_GRID!AM16/02_PROJECT_INPUTS!$C$15)</f>
        <v>1</v>
      </c>
      <c r="AN17" s="40" t="n">
        <f aca="false">MIN(1,09_GRID!AN16/02_PROJECT_INPUTS!$C$15)</f>
        <v>1</v>
      </c>
      <c r="AO17" s="40" t="n">
        <f aca="false">MIN(1,09_GRID!AO16/02_PROJECT_INPUTS!$C$15)</f>
        <v>1</v>
      </c>
      <c r="AP17" s="40" t="n">
        <f aca="false">MIN(1,09_GRID!AP16/02_PROJECT_INPUTS!$C$15)</f>
        <v>1</v>
      </c>
      <c r="AQ17" s="40" t="n">
        <f aca="false">MIN(1,09_GRID!AQ16/02_PROJECT_INPUTS!$C$15)</f>
        <v>1</v>
      </c>
      <c r="AR17" s="40" t="n">
        <f aca="false">MIN(1,09_GRID!AR16/02_PROJECT_INPUTS!$C$15)</f>
        <v>1</v>
      </c>
    </row>
    <row r="18" customFormat="false" ht="15" hidden="false" customHeight="false" outlineLevel="0" collapsed="false">
      <c r="A18" s="8" t="s">
        <v>342</v>
      </c>
      <c r="B18" s="8" t="s">
        <v>56</v>
      </c>
      <c r="E18" s="42" t="n">
        <f aca="false">06_CONSTRUCTION!E14*02_PROJECT_INPUTS!$C$15/09_GRID!E13</f>
        <v>0</v>
      </c>
      <c r="F18" s="42" t="n">
        <f aca="false">06_CONSTRUCTION!F14*02_PROJECT_INPUTS!$C$15/09_GRID!F13</f>
        <v>0</v>
      </c>
      <c r="G18" s="42" t="n">
        <f aca="false">06_CONSTRUCTION!G14*02_PROJECT_INPUTS!$C$15/09_GRID!G13</f>
        <v>0</v>
      </c>
      <c r="H18" s="42" t="n">
        <f aca="false">06_CONSTRUCTION!H14*02_PROJECT_INPUTS!$C$15/09_GRID!H13</f>
        <v>0</v>
      </c>
      <c r="I18" s="42" t="n">
        <f aca="false">06_CONSTRUCTION!I14*02_PROJECT_INPUTS!$C$15/09_GRID!I13</f>
        <v>0</v>
      </c>
      <c r="J18" s="42" t="n">
        <f aca="false">06_CONSTRUCTION!J14*02_PROJECT_INPUTS!$C$15/09_GRID!J13</f>
        <v>0.19232789853173</v>
      </c>
      <c r="K18" s="42" t="n">
        <f aca="false">06_CONSTRUCTION!K14*02_PROJECT_INPUTS!$C$15/09_GRID!K13</f>
        <v>0.181029646558418</v>
      </c>
      <c r="L18" s="42" t="n">
        <f aca="false">06_CONSTRUCTION!L14*02_PROJECT_INPUTS!$C$15/09_GRID!L13</f>
        <v>0.170373963190697</v>
      </c>
      <c r="M18" s="42" t="n">
        <f aca="false">06_CONSTRUCTION!M14*02_PROJECT_INPUTS!$C$15/09_GRID!M13</f>
        <v>0.16032540943027</v>
      </c>
      <c r="N18" s="42" t="n">
        <f aca="false">06_CONSTRUCTION!N14*02_PROJECT_INPUTS!$C$15/09_GRID!N13</f>
        <v>0.150850442348486</v>
      </c>
      <c r="O18" s="42" t="n">
        <f aca="false">06_CONSTRUCTION!O14*02_PROJECT_INPUTS!$C$15/09_GRID!O13</f>
        <v>0.141917316840677</v>
      </c>
      <c r="P18" s="42" t="n">
        <f aca="false">06_CONSTRUCTION!P14*02_PROJECT_INPUTS!$C$15/09_GRID!P13</f>
        <v>0.133495992292829</v>
      </c>
      <c r="Q18" s="42" t="n">
        <f aca="false">06_CONSTRUCTION!Q14*02_PROJECT_INPUTS!$C$15/09_GRID!Q13</f>
        <v>0.12555804392468</v>
      </c>
      <c r="R18" s="42" t="n">
        <f aca="false">06_CONSTRUCTION!R14*02_PROJECT_INPUTS!$C$15/09_GRID!R13</f>
        <v>0.118076578584167</v>
      </c>
      <c r="S18" s="42" t="n">
        <f aca="false">06_CONSTRUCTION!S14*02_PROJECT_INPUTS!$C$15/09_GRID!S13</f>
        <v>0.111026154778504</v>
      </c>
      <c r="T18" s="42" t="n">
        <f aca="false">06_CONSTRUCTION!T14*02_PROJECT_INPUTS!$C$15/09_GRID!T13</f>
        <v>0.104382706737079</v>
      </c>
      <c r="U18" s="42" t="n">
        <f aca="false">06_CONSTRUCTION!U14*02_PROJECT_INPUTS!$C$15/09_GRID!U13</f>
        <v>0.0981234723107997</v>
      </c>
      <c r="V18" s="42" t="n">
        <f aca="false">06_CONSTRUCTION!V14*02_PROJECT_INPUTS!$C$15/09_GRID!V13</f>
        <v>0.0922269245216198</v>
      </c>
      <c r="W18" s="42" t="n">
        <f aca="false">06_CONSTRUCTION!W14*02_PROJECT_INPUTS!$C$15/09_GRID!W13</f>
        <v>0.0866727065845679</v>
      </c>
      <c r="X18" s="42" t="n">
        <f aca="false">06_CONSTRUCTION!X14*02_PROJECT_INPUTS!$C$15/09_GRID!X13</f>
        <v>0.0814415702329223</v>
      </c>
      <c r="Y18" s="42" t="n">
        <f aca="false">06_CONSTRUCTION!Y14*02_PROJECT_INPUTS!$C$15/09_GRID!Y13</f>
        <v>0.076515317185046</v>
      </c>
      <c r="Z18" s="42" t="n">
        <f aca="false">06_CONSTRUCTION!Z14*02_PROJECT_INPUTS!$C$15/09_GRID!Z13</f>
        <v>0.0718767435989607</v>
      </c>
      <c r="AA18" s="42" t="n">
        <f aca="false">06_CONSTRUCTION!AA14*02_PROJECT_INPUTS!$C$15/09_GRID!AA13</f>
        <v>0.0675095873679504</v>
      </c>
      <c r="AB18" s="42" t="n">
        <f aca="false">06_CONSTRUCTION!AB14*02_PROJECT_INPUTS!$C$15/09_GRID!AB13</f>
        <v>0.06339847811738</v>
      </c>
      <c r="AC18" s="42" t="n">
        <f aca="false">06_CONSTRUCTION!AC14*02_PROJECT_INPUTS!$C$15/09_GRID!AC13</f>
        <v>0.0595288897694967</v>
      </c>
      <c r="AD18" s="42" t="n">
        <f aca="false">06_CONSTRUCTION!AD14*02_PROJECT_INPUTS!$C$15/09_GRID!AD13</f>
        <v>0.0558870955492748</v>
      </c>
      <c r="AE18" s="42" t="n">
        <f aca="false">06_CONSTRUCTION!AE14*02_PROJECT_INPUTS!$C$15/09_GRID!AE13</f>
        <v>0.0524601253103698</v>
      </c>
      <c r="AF18" s="42" t="n">
        <f aca="false">06_CONSTRUCTION!AF14*02_PROJECT_INPUTS!$C$15/09_GRID!AF13</f>
        <v>0.049235725065983</v>
      </c>
      <c r="AG18" s="42" t="n">
        <f aca="false">06_CONSTRUCTION!AG14*02_PROJECT_INPUTS!$C$15/09_GRID!AG13</f>
        <v>0.0462023186149175</v>
      </c>
      <c r="AH18" s="42" t="n">
        <f aca="false">06_CONSTRUCTION!AH14*02_PROJECT_INPUTS!$C$15/09_GRID!AH13</f>
        <v>0.0433489711583339</v>
      </c>
      <c r="AI18" s="42" t="n">
        <f aca="false">06_CONSTRUCTION!AI14*02_PROJECT_INPUTS!$C$15/09_GRID!AI13</f>
        <v>0.0406653548077054</v>
      </c>
      <c r="AJ18" s="42" t="n">
        <f aca="false">06_CONSTRUCTION!AJ14*02_PROJECT_INPUTS!$C$15/09_GRID!AJ13</f>
        <v>0.0381417158892393</v>
      </c>
      <c r="AK18" s="42" t="n">
        <f aca="false">06_CONSTRUCTION!AK14*02_PROJECT_INPUTS!$C$15/09_GRID!AK13</f>
        <v>0.0357688439545764</v>
      </c>
      <c r="AL18" s="42" t="n">
        <f aca="false">06_CONSTRUCTION!AL14*02_PROJECT_INPUTS!$C$15/09_GRID!AL13</f>
        <v>0.0335380424119196</v>
      </c>
      <c r="AM18" s="42" t="n">
        <f aca="false">06_CONSTRUCTION!AM14*02_PROJECT_INPUTS!$C$15/09_GRID!AM13</f>
        <v>0.0314411006958862</v>
      </c>
      <c r="AN18" s="42" t="n">
        <f aca="false">06_CONSTRUCTION!AN14*02_PROJECT_INPUTS!$C$15/09_GRID!AN13</f>
        <v>0</v>
      </c>
      <c r="AO18" s="42" t="n">
        <f aca="false">06_CONSTRUCTION!AO14*02_PROJECT_INPUTS!$C$15/09_GRID!AO13</f>
        <v>0</v>
      </c>
      <c r="AP18" s="42" t="n">
        <f aca="false">06_CONSTRUCTION!AP14*02_PROJECT_INPUTS!$C$15/09_GRID!AP13</f>
        <v>0</v>
      </c>
      <c r="AQ18" s="42" t="n">
        <f aca="false">06_CONSTRUCTION!AQ14*02_PROJECT_INPUTS!$C$15/09_GRID!AQ13</f>
        <v>0</v>
      </c>
      <c r="AR18" s="42" t="n">
        <f aca="false">06_CONSTRUCTION!AR14*02_PROJECT_INPUTS!$C$15/09_GRID!AR13</f>
        <v>0</v>
      </c>
    </row>
    <row r="19" customFormat="false" ht="15" hidden="false" customHeight="false" outlineLevel="0" collapsed="false">
      <c r="A19" s="8" t="s">
        <v>343</v>
      </c>
      <c r="B19" s="8" t="s">
        <v>56</v>
      </c>
      <c r="E19" s="42" t="n">
        <f aca="false">(09_GRID!$C$11+02_PROJECT_INPUTS!$C$15*06_CONSTRUCTION!E14-09_GRID!E13)/09_GRID!E13</f>
        <v>0.364182424916574</v>
      </c>
      <c r="F19" s="42" t="n">
        <f aca="false">(09_GRID!$C$11+02_PROJECT_INPUTS!$C$15*06_CONSTRUCTION!F14-09_GRID!F13)/09_GRID!F13</f>
        <v>0.284820317291951</v>
      </c>
      <c r="G19" s="42" t="n">
        <f aca="false">(09_GRID!$C$11+02_PROJECT_INPUTS!$C$15*06_CONSTRUCTION!G14-09_GRID!G13)/09_GRID!G13</f>
        <v>0.209931310830123</v>
      </c>
      <c r="H19" s="42" t="n">
        <f aca="false">(09_GRID!$C$11+02_PROJECT_INPUTS!$C$15*06_CONSTRUCTION!H14-09_GRID!H13)/09_GRID!H13</f>
        <v>0.13927084505471</v>
      </c>
      <c r="I19" s="42" t="n">
        <f aca="false">(09_GRID!$C$11+02_PROJECT_INPUTS!$C$15*06_CONSTRUCTION!I14-09_GRID!I13)/09_GRID!I13</f>
        <v>0.0726073273150265</v>
      </c>
      <c r="J19" s="42" t="n">
        <f aca="false">(09_GRID!$C$11+02_PROJECT_INPUTS!$C$15*06_CONSTRUCTION!J14-09_GRID!J13)/09_GRID!J13</f>
        <v>0.20204936582331</v>
      </c>
      <c r="K19" s="42" t="n">
        <f aca="false">(09_GRID!$C$11+02_PROJECT_INPUTS!$C$15*06_CONSTRUCTION!K14-09_GRID!K13)/09_GRID!K13</f>
        <v>0.131435290990109</v>
      </c>
      <c r="L19" s="42" t="n">
        <f aca="false">(09_GRID!$C$11+02_PROJECT_INPUTS!$C$15*06_CONSTRUCTION!L14-09_GRID!L13)/09_GRID!L13</f>
        <v>0.0648372699418582</v>
      </c>
      <c r="M19" s="42" t="n">
        <f aca="false">(09_GRID!$C$11+02_PROJECT_INPUTS!$C$15*06_CONSTRUCTION!M14-09_GRID!M13)/09_GRID!M13</f>
        <v>0.00203380893918752</v>
      </c>
      <c r="N19" s="42" t="n">
        <f aca="false">(09_GRID!$C$11+02_PROJECT_INPUTS!$C$15*06_CONSTRUCTION!N14-09_GRID!N13)/09_GRID!N13</f>
        <v>-0.0571847353219653</v>
      </c>
      <c r="O19" s="42" t="n">
        <f aca="false">(09_GRID!$C$11+02_PROJECT_INPUTS!$C$15*06_CONSTRUCTION!O14-09_GRID!O13)/09_GRID!O13</f>
        <v>-0.113016769745771</v>
      </c>
      <c r="P19" s="42" t="n">
        <f aca="false">(09_GRID!$C$11+02_PROJECT_INPUTS!$C$15*06_CONSTRUCTION!P14-09_GRID!P13)/09_GRID!P13</f>
        <v>-0.165650048169817</v>
      </c>
      <c r="Q19" s="42" t="n">
        <f aca="false">(09_GRID!$C$11+02_PROJECT_INPUTS!$C$15*06_CONSTRUCTION!Q14-09_GRID!Q13)/09_GRID!Q13</f>
        <v>-0.215262225470747</v>
      </c>
      <c r="R19" s="42" t="n">
        <f aca="false">(09_GRID!$C$11+02_PROJECT_INPUTS!$C$15*06_CONSTRUCTION!R14-09_GRID!R13)/09_GRID!R13</f>
        <v>-0.262021383848956</v>
      </c>
      <c r="S19" s="42" t="n">
        <f aca="false">(09_GRID!$C$11+02_PROJECT_INPUTS!$C$15*06_CONSTRUCTION!S14-09_GRID!S13)/09_GRID!S13</f>
        <v>-0.306086532634347</v>
      </c>
      <c r="T19" s="42" t="n">
        <f aca="false">(09_GRID!$C$11+02_PROJECT_INPUTS!$C$15*06_CONSTRUCTION!T14-09_GRID!T13)/09_GRID!T13</f>
        <v>-0.347608082893258</v>
      </c>
      <c r="U19" s="42" t="n">
        <f aca="false">(09_GRID!$C$11+02_PROJECT_INPUTS!$C$15*06_CONSTRUCTION!U14-09_GRID!U13)/09_GRID!U13</f>
        <v>-0.386728298057502</v>
      </c>
      <c r="V19" s="42" t="n">
        <f aca="false">(09_GRID!$C$11+02_PROJECT_INPUTS!$C$15*06_CONSTRUCTION!V14-09_GRID!V13)/09_GRID!V13</f>
        <v>-0.423581721739877</v>
      </c>
      <c r="W19" s="42" t="n">
        <f aca="false">(09_GRID!$C$11+02_PROJECT_INPUTS!$C$15*06_CONSTRUCTION!W14-09_GRID!W13)/09_GRID!W13</f>
        <v>-0.458295583846451</v>
      </c>
      <c r="X19" s="42" t="n">
        <f aca="false">(09_GRID!$C$11+02_PROJECT_INPUTS!$C$15*06_CONSTRUCTION!X14-09_GRID!X13)/09_GRID!X13</f>
        <v>-0.490990186044236</v>
      </c>
      <c r="Y19" s="42" t="n">
        <f aca="false">(09_GRID!$C$11+02_PROJECT_INPUTS!$C$15*06_CONSTRUCTION!Y14-09_GRID!Y13)/09_GRID!Y13</f>
        <v>-0.521779267593462</v>
      </c>
      <c r="Z19" s="42" t="n">
        <f aca="false">(09_GRID!$C$11+02_PROJECT_INPUTS!$C$15*06_CONSTRUCTION!Z14-09_GRID!Z13)/09_GRID!Z13</f>
        <v>-0.550770352506496</v>
      </c>
      <c r="AA19" s="42" t="n">
        <f aca="false">(09_GRID!$C$11+02_PROJECT_INPUTS!$C$15*06_CONSTRUCTION!AA14-09_GRID!AA13)/09_GRID!AA13</f>
        <v>-0.57806507895031</v>
      </c>
      <c r="AB19" s="42" t="n">
        <f aca="false">(09_GRID!$C$11+02_PROJECT_INPUTS!$C$15*06_CONSTRUCTION!AB14-09_GRID!AB13)/09_GRID!AB13</f>
        <v>-0.603759511766375</v>
      </c>
      <c r="AC19" s="42" t="n">
        <f aca="false">(09_GRID!$C$11+02_PROJECT_INPUTS!$C$15*06_CONSTRUCTION!AC14-09_GRID!AC13)/09_GRID!AC13</f>
        <v>-0.627944438940646</v>
      </c>
      <c r="AD19" s="42" t="n">
        <f aca="false">(09_GRID!$C$11+02_PROJECT_INPUTS!$C$15*06_CONSTRUCTION!AD14-09_GRID!AD13)/09_GRID!AD13</f>
        <v>-0.650705652817033</v>
      </c>
      <c r="AE19" s="42" t="n">
        <f aca="false">(09_GRID!$C$11+02_PROJECT_INPUTS!$C$15*06_CONSTRUCTION!AE14-09_GRID!AE13)/09_GRID!AE13</f>
        <v>-0.672124216810189</v>
      </c>
      <c r="AF19" s="42" t="n">
        <f aca="false">(09_GRID!$C$11+02_PROJECT_INPUTS!$C$15*06_CONSTRUCTION!AF14-09_GRID!AF13)/09_GRID!AF13</f>
        <v>-0.692276718337607</v>
      </c>
      <c r="AG19" s="42" t="n">
        <f aca="false">(09_GRID!$C$11+02_PROJECT_INPUTS!$C$15*06_CONSTRUCTION!AG14-09_GRID!AG13)/09_GRID!AG13</f>
        <v>-0.711235508656765</v>
      </c>
      <c r="AH19" s="42" t="n">
        <f aca="false">(09_GRID!$C$11+02_PROJECT_INPUTS!$C$15*06_CONSTRUCTION!AH14-09_GRID!AH13)/09_GRID!AH13</f>
        <v>-0.729068930260413</v>
      </c>
      <c r="AI19" s="42" t="n">
        <f aca="false">(09_GRID!$C$11+02_PROJECT_INPUTS!$C$15*06_CONSTRUCTION!AI14-09_GRID!AI13)/09_GRID!AI13</f>
        <v>-0.745841532451842</v>
      </c>
      <c r="AJ19" s="42" t="n">
        <f aca="false">(09_GRID!$C$11+02_PROJECT_INPUTS!$C$15*06_CONSTRUCTION!AJ14-09_GRID!AJ13)/09_GRID!AJ13</f>
        <v>-0.761614275692254</v>
      </c>
      <c r="AK19" s="42" t="n">
        <f aca="false">(09_GRID!$C$11+02_PROJECT_INPUTS!$C$15*06_CONSTRUCTION!AK14-09_GRID!AK13)/09_GRID!AK13</f>
        <v>-0.776444725283898</v>
      </c>
      <c r="AL19" s="42" t="n">
        <f aca="false">(09_GRID!$C$11+02_PROJECT_INPUTS!$C$15*06_CONSTRUCTION!AL14-09_GRID!AL13)/09_GRID!AL13</f>
        <v>-0.790387234925502</v>
      </c>
      <c r="AM19" s="42" t="n">
        <f aca="false">(09_GRID!$C$11+02_PROJECT_INPUTS!$C$15*06_CONSTRUCTION!AM14-09_GRID!AM13)/09_GRID!AM13</f>
        <v>-0.803493120650711</v>
      </c>
      <c r="AN19" s="42" t="n">
        <f aca="false">(09_GRID!$C$11+02_PROJECT_INPUTS!$C$15*06_CONSTRUCTION!AN14-09_GRID!AN13)/09_GRID!AN13</f>
        <v>-0.845281093533799</v>
      </c>
      <c r="AO19" s="42" t="n">
        <f aca="false">(09_GRID!$C$11+02_PROJECT_INPUTS!$C$15*06_CONSTRUCTION!AO14-09_GRID!AO13)/09_GRID!AO13</f>
        <v>-0.855004304122959</v>
      </c>
      <c r="AP19" s="42" t="n">
        <f aca="false">(09_GRID!$C$11+02_PROJECT_INPUTS!$C$15*06_CONSTRUCTION!AP14-09_GRID!AP13)/09_GRID!AP13</f>
        <v>-0.86414010553869</v>
      </c>
      <c r="AQ19" s="42" t="n">
        <f aca="false">(09_GRID!$C$11+02_PROJECT_INPUTS!$C$15*06_CONSTRUCTION!AQ14-09_GRID!AQ13)/09_GRID!AQ13</f>
        <v>-0.872722710090375</v>
      </c>
      <c r="AR19" s="42" t="n">
        <f aca="false">(09_GRID!$C$11+02_PROJECT_INPUTS!$C$15*06_CONSTRUCTION!AR14-09_GRID!AR13)/09_GRID!AR13</f>
        <v>-0.880784401430216</v>
      </c>
    </row>
    <row r="20" customFormat="false" ht="15" hidden="false" customHeight="false" outlineLevel="0" collapsed="false">
      <c r="A20" s="8" t="s">
        <v>344</v>
      </c>
      <c r="B20" s="8" t="s">
        <v>115</v>
      </c>
      <c r="C20" s="32" t="n">
        <f aca="false">SUM(09_GRID!$E$20:$AR$20)</f>
        <v>650</v>
      </c>
      <c r="E20" s="32" t="n">
        <f aca="false">IF(06_CONSTRUCTION!E5=1,09_GRID!E16,0)</f>
        <v>0</v>
      </c>
      <c r="F20" s="32" t="n">
        <f aca="false">IF(06_CONSTRUCTION!F5=1,09_GRID!F16,0)</f>
        <v>0</v>
      </c>
      <c r="G20" s="32" t="n">
        <f aca="false">IF(06_CONSTRUCTION!G5=1,09_GRID!G16,0)</f>
        <v>0</v>
      </c>
      <c r="H20" s="32" t="n">
        <f aca="false">IF(06_CONSTRUCTION!H5=1,09_GRID!H16,0)</f>
        <v>0</v>
      </c>
      <c r="I20" s="32" t="n">
        <f aca="false">IF(06_CONSTRUCTION!I5=1,09_GRID!I16,0)</f>
        <v>0</v>
      </c>
      <c r="J20" s="32" t="n">
        <f aca="false">IF(06_CONSTRUCTION!J5=1,09_GRID!J16,0)</f>
        <v>650</v>
      </c>
      <c r="K20" s="32" t="n">
        <f aca="false">IF(06_CONSTRUCTION!K5=1,09_GRID!K16,0)</f>
        <v>0</v>
      </c>
      <c r="L20" s="32" t="n">
        <f aca="false">IF(06_CONSTRUCTION!L5=1,09_GRID!L16,0)</f>
        <v>0</v>
      </c>
      <c r="M20" s="32" t="n">
        <f aca="false">IF(06_CONSTRUCTION!M5=1,09_GRID!M16,0)</f>
        <v>0</v>
      </c>
      <c r="N20" s="32" t="n">
        <f aca="false">IF(06_CONSTRUCTION!N5=1,09_GRID!N16,0)</f>
        <v>0</v>
      </c>
      <c r="O20" s="32" t="n">
        <f aca="false">IF(06_CONSTRUCTION!O5=1,09_GRID!O16,0)</f>
        <v>0</v>
      </c>
      <c r="P20" s="32" t="n">
        <f aca="false">IF(06_CONSTRUCTION!P5=1,09_GRID!P16,0)</f>
        <v>0</v>
      </c>
      <c r="Q20" s="32" t="n">
        <f aca="false">IF(06_CONSTRUCTION!Q5=1,09_GRID!Q16,0)</f>
        <v>0</v>
      </c>
      <c r="R20" s="32" t="n">
        <f aca="false">IF(06_CONSTRUCTION!R5=1,09_GRID!R16,0)</f>
        <v>0</v>
      </c>
      <c r="S20" s="32" t="n">
        <f aca="false">IF(06_CONSTRUCTION!S5=1,09_GRID!S16,0)</f>
        <v>0</v>
      </c>
      <c r="T20" s="32" t="n">
        <f aca="false">IF(06_CONSTRUCTION!T5=1,09_GRID!T16,0)</f>
        <v>0</v>
      </c>
      <c r="U20" s="32" t="n">
        <f aca="false">IF(06_CONSTRUCTION!U5=1,09_GRID!U16,0)</f>
        <v>0</v>
      </c>
      <c r="V20" s="32" t="n">
        <f aca="false">IF(06_CONSTRUCTION!V5=1,09_GRID!V16,0)</f>
        <v>0</v>
      </c>
      <c r="W20" s="32" t="n">
        <f aca="false">IF(06_CONSTRUCTION!W5=1,09_GRID!W16,0)</f>
        <v>0</v>
      </c>
      <c r="X20" s="32" t="n">
        <f aca="false">IF(06_CONSTRUCTION!X5=1,09_GRID!X16,0)</f>
        <v>0</v>
      </c>
      <c r="Y20" s="32" t="n">
        <f aca="false">IF(06_CONSTRUCTION!Y5=1,09_GRID!Y16,0)</f>
        <v>0</v>
      </c>
      <c r="Z20" s="32" t="n">
        <f aca="false">IF(06_CONSTRUCTION!Z5=1,09_GRID!Z16,0)</f>
        <v>0</v>
      </c>
      <c r="AA20" s="32" t="n">
        <f aca="false">IF(06_CONSTRUCTION!AA5=1,09_GRID!AA16,0)</f>
        <v>0</v>
      </c>
      <c r="AB20" s="32" t="n">
        <f aca="false">IF(06_CONSTRUCTION!AB5=1,09_GRID!AB16,0)</f>
        <v>0</v>
      </c>
      <c r="AC20" s="32" t="n">
        <f aca="false">IF(06_CONSTRUCTION!AC5=1,09_GRID!AC16,0)</f>
        <v>0</v>
      </c>
      <c r="AD20" s="32" t="n">
        <f aca="false">IF(06_CONSTRUCTION!AD5=1,09_GRID!AD16,0)</f>
        <v>0</v>
      </c>
      <c r="AE20" s="32" t="n">
        <f aca="false">IF(06_CONSTRUCTION!AE5=1,09_GRID!AE16,0)</f>
        <v>0</v>
      </c>
      <c r="AF20" s="32" t="n">
        <f aca="false">IF(06_CONSTRUCTION!AF5=1,09_GRID!AF16,0)</f>
        <v>0</v>
      </c>
      <c r="AG20" s="32" t="n">
        <f aca="false">IF(06_CONSTRUCTION!AG5=1,09_GRID!AG16,0)</f>
        <v>0</v>
      </c>
      <c r="AH20" s="32" t="n">
        <f aca="false">IF(06_CONSTRUCTION!AH5=1,09_GRID!AH16,0)</f>
        <v>0</v>
      </c>
      <c r="AI20" s="32" t="n">
        <f aca="false">IF(06_CONSTRUCTION!AI5=1,09_GRID!AI16,0)</f>
        <v>0</v>
      </c>
      <c r="AJ20" s="32" t="n">
        <f aca="false">IF(06_CONSTRUCTION!AJ5=1,09_GRID!AJ16,0)</f>
        <v>0</v>
      </c>
      <c r="AK20" s="32" t="n">
        <f aca="false">IF(06_CONSTRUCTION!AK5=1,09_GRID!AK16,0)</f>
        <v>0</v>
      </c>
      <c r="AL20" s="32" t="n">
        <f aca="false">IF(06_CONSTRUCTION!AL5=1,09_GRID!AL16,0)</f>
        <v>0</v>
      </c>
      <c r="AM20" s="32" t="n">
        <f aca="false">IF(06_CONSTRUCTION!AM5=1,09_GRID!AM16,0)</f>
        <v>0</v>
      </c>
      <c r="AN20" s="32" t="n">
        <f aca="false">IF(06_CONSTRUCTION!AN5=1,09_GRID!AN16,0)</f>
        <v>0</v>
      </c>
      <c r="AO20" s="32" t="n">
        <f aca="false">IF(06_CONSTRUCTION!AO5=1,09_GRID!AO16,0)</f>
        <v>0</v>
      </c>
      <c r="AP20" s="32" t="n">
        <f aca="false">IF(06_CONSTRUCTION!AP5=1,09_GRID!AP16,0)</f>
        <v>0</v>
      </c>
      <c r="AQ20" s="32" t="n">
        <f aca="false">IF(06_CONSTRUCTION!AQ5=1,09_GRID!AQ16,0)</f>
        <v>0</v>
      </c>
      <c r="AR20" s="32" t="n">
        <f aca="false">IF(06_CONSTRUCTION!AR5=1,09_GRID!AR16,0)</f>
        <v>0</v>
      </c>
    </row>
    <row r="21" customFormat="false" ht="15" hidden="false" customHeight="false" outlineLevel="0" collapsed="false">
      <c r="A21" s="8" t="s">
        <v>345</v>
      </c>
      <c r="B21" s="8" t="s">
        <v>56</v>
      </c>
      <c r="C21" s="42" t="n">
        <f aca="false">SUM(09_GRID!$E$21:$AR$21)</f>
        <v>0.19232789853173</v>
      </c>
      <c r="E21" s="42" t="n">
        <f aca="false">IF(06_CONSTRUCTION!E5=1,09_GRID!E18,0)</f>
        <v>0</v>
      </c>
      <c r="F21" s="42" t="n">
        <f aca="false">IF(06_CONSTRUCTION!F5=1,09_GRID!F18,0)</f>
        <v>0</v>
      </c>
      <c r="G21" s="42" t="n">
        <f aca="false">IF(06_CONSTRUCTION!G5=1,09_GRID!G18,0)</f>
        <v>0</v>
      </c>
      <c r="H21" s="42" t="n">
        <f aca="false">IF(06_CONSTRUCTION!H5=1,09_GRID!H18,0)</f>
        <v>0</v>
      </c>
      <c r="I21" s="42" t="n">
        <f aca="false">IF(06_CONSTRUCTION!I5=1,09_GRID!I18,0)</f>
        <v>0</v>
      </c>
      <c r="J21" s="42" t="n">
        <f aca="false">IF(06_CONSTRUCTION!J5=1,09_GRID!J18,0)</f>
        <v>0.19232789853173</v>
      </c>
      <c r="K21" s="42" t="n">
        <f aca="false">IF(06_CONSTRUCTION!K5=1,09_GRID!K18,0)</f>
        <v>0</v>
      </c>
      <c r="L21" s="42" t="n">
        <f aca="false">IF(06_CONSTRUCTION!L5=1,09_GRID!L18,0)</f>
        <v>0</v>
      </c>
      <c r="M21" s="42" t="n">
        <f aca="false">IF(06_CONSTRUCTION!M5=1,09_GRID!M18,0)</f>
        <v>0</v>
      </c>
      <c r="N21" s="42" t="n">
        <f aca="false">IF(06_CONSTRUCTION!N5=1,09_GRID!N18,0)</f>
        <v>0</v>
      </c>
      <c r="O21" s="42" t="n">
        <f aca="false">IF(06_CONSTRUCTION!O5=1,09_GRID!O18,0)</f>
        <v>0</v>
      </c>
      <c r="P21" s="42" t="n">
        <f aca="false">IF(06_CONSTRUCTION!P5=1,09_GRID!P18,0)</f>
        <v>0</v>
      </c>
      <c r="Q21" s="42" t="n">
        <f aca="false">IF(06_CONSTRUCTION!Q5=1,09_GRID!Q18,0)</f>
        <v>0</v>
      </c>
      <c r="R21" s="42" t="n">
        <f aca="false">IF(06_CONSTRUCTION!R5=1,09_GRID!R18,0)</f>
        <v>0</v>
      </c>
      <c r="S21" s="42" t="n">
        <f aca="false">IF(06_CONSTRUCTION!S5=1,09_GRID!S18,0)</f>
        <v>0</v>
      </c>
      <c r="T21" s="42" t="n">
        <f aca="false">IF(06_CONSTRUCTION!T5=1,09_GRID!T18,0)</f>
        <v>0</v>
      </c>
      <c r="U21" s="42" t="n">
        <f aca="false">IF(06_CONSTRUCTION!U5=1,09_GRID!U18,0)</f>
        <v>0</v>
      </c>
      <c r="V21" s="42" t="n">
        <f aca="false">IF(06_CONSTRUCTION!V5=1,09_GRID!V18,0)</f>
        <v>0</v>
      </c>
      <c r="W21" s="42" t="n">
        <f aca="false">IF(06_CONSTRUCTION!W5=1,09_GRID!W18,0)</f>
        <v>0</v>
      </c>
      <c r="X21" s="42" t="n">
        <f aca="false">IF(06_CONSTRUCTION!X5=1,09_GRID!X18,0)</f>
        <v>0</v>
      </c>
      <c r="Y21" s="42" t="n">
        <f aca="false">IF(06_CONSTRUCTION!Y5=1,09_GRID!Y18,0)</f>
        <v>0</v>
      </c>
      <c r="Z21" s="42" t="n">
        <f aca="false">IF(06_CONSTRUCTION!Z5=1,09_GRID!Z18,0)</f>
        <v>0</v>
      </c>
      <c r="AA21" s="42" t="n">
        <f aca="false">IF(06_CONSTRUCTION!AA5=1,09_GRID!AA18,0)</f>
        <v>0</v>
      </c>
      <c r="AB21" s="42" t="n">
        <f aca="false">IF(06_CONSTRUCTION!AB5=1,09_GRID!AB18,0)</f>
        <v>0</v>
      </c>
      <c r="AC21" s="42" t="n">
        <f aca="false">IF(06_CONSTRUCTION!AC5=1,09_GRID!AC18,0)</f>
        <v>0</v>
      </c>
      <c r="AD21" s="42" t="n">
        <f aca="false">IF(06_CONSTRUCTION!AD5=1,09_GRID!AD18,0)</f>
        <v>0</v>
      </c>
      <c r="AE21" s="42" t="n">
        <f aca="false">IF(06_CONSTRUCTION!AE5=1,09_GRID!AE18,0)</f>
        <v>0</v>
      </c>
      <c r="AF21" s="42" t="n">
        <f aca="false">IF(06_CONSTRUCTION!AF5=1,09_GRID!AF18,0)</f>
        <v>0</v>
      </c>
      <c r="AG21" s="42" t="n">
        <f aca="false">IF(06_CONSTRUCTION!AG5=1,09_GRID!AG18,0)</f>
        <v>0</v>
      </c>
      <c r="AH21" s="42" t="n">
        <f aca="false">IF(06_CONSTRUCTION!AH5=1,09_GRID!AH18,0)</f>
        <v>0</v>
      </c>
      <c r="AI21" s="42" t="n">
        <f aca="false">IF(06_CONSTRUCTION!AI5=1,09_GRID!AI18,0)</f>
        <v>0</v>
      </c>
      <c r="AJ21" s="42" t="n">
        <f aca="false">IF(06_CONSTRUCTION!AJ5=1,09_GRID!AJ18,0)</f>
        <v>0</v>
      </c>
      <c r="AK21" s="42" t="n">
        <f aca="false">IF(06_CONSTRUCTION!AK5=1,09_GRID!AK18,0)</f>
        <v>0</v>
      </c>
      <c r="AL21" s="42" t="n">
        <f aca="false">IF(06_CONSTRUCTION!AL5=1,09_GRID!AL18,0)</f>
        <v>0</v>
      </c>
      <c r="AM21" s="42" t="n">
        <f aca="false">IF(06_CONSTRUCTION!AM5=1,09_GRID!AM18,0)</f>
        <v>0</v>
      </c>
      <c r="AN21" s="42" t="n">
        <f aca="false">IF(06_CONSTRUCTION!AN5=1,09_GRID!AN18,0)</f>
        <v>0</v>
      </c>
      <c r="AO21" s="42" t="n">
        <f aca="false">IF(06_CONSTRUCTION!AO5=1,09_GRID!AO18,0)</f>
        <v>0</v>
      </c>
      <c r="AP21" s="42" t="n">
        <f aca="false">IF(06_CONSTRUCTION!AP5=1,09_GRID!AP18,0)</f>
        <v>0</v>
      </c>
      <c r="AQ21" s="42" t="n">
        <f aca="false">IF(06_CONSTRUCTION!AQ5=1,09_GRID!AQ18,0)</f>
        <v>0</v>
      </c>
      <c r="AR21" s="42" t="n">
        <f aca="false">IF(06_CONSTRUCTION!AR5=1,09_GRID!AR18,0)</f>
        <v>0</v>
      </c>
    </row>
    <row r="23" customFormat="false" ht="15" hidden="false" customHeight="false" outlineLevel="0" collapsed="false">
      <c r="A23" s="10" t="s">
        <v>346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347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348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349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29" t="s">
        <v>350</v>
      </c>
      <c r="B7" s="29" t="s">
        <v>351</v>
      </c>
      <c r="C7" s="29" t="s">
        <v>352</v>
      </c>
      <c r="D7" s="30"/>
      <c r="E7" s="29" t="s">
        <v>353</v>
      </c>
      <c r="F7" s="29" t="s">
        <v>354</v>
      </c>
      <c r="G7" s="29" t="s">
        <v>355</v>
      </c>
    </row>
    <row r="8" customFormat="false" ht="15" hidden="false" customHeight="false" outlineLevel="0" collapsed="false">
      <c r="A8" s="8" t="s">
        <v>356</v>
      </c>
      <c r="B8" s="27" t="n">
        <v>2600</v>
      </c>
      <c r="C8" s="12" t="n">
        <v>0.07</v>
      </c>
      <c r="E8" s="12" t="n">
        <v>0.05</v>
      </c>
      <c r="F8" s="12" t="n">
        <v>0.085</v>
      </c>
      <c r="G8" s="12" t="n">
        <v>0.75</v>
      </c>
    </row>
    <row r="9" customFormat="false" ht="15" hidden="false" customHeight="false" outlineLevel="0" collapsed="false">
      <c r="A9" s="8" t="s">
        <v>357</v>
      </c>
      <c r="B9" s="27" t="n">
        <v>1400</v>
      </c>
      <c r="C9" s="12" t="n">
        <v>0.06</v>
      </c>
      <c r="E9" s="12" t="n">
        <v>0.045</v>
      </c>
      <c r="F9" s="12" t="n">
        <v>0.075</v>
      </c>
      <c r="G9" s="12" t="n">
        <v>0.92</v>
      </c>
    </row>
    <row r="10" customFormat="false" ht="15" hidden="false" customHeight="false" outlineLevel="0" collapsed="false">
      <c r="A10" s="8" t="s">
        <v>358</v>
      </c>
      <c r="B10" s="27" t="n">
        <v>1500</v>
      </c>
      <c r="C10" s="12" t="n">
        <v>0.05</v>
      </c>
      <c r="E10" s="12" t="n">
        <v>0.03</v>
      </c>
      <c r="F10" s="12" t="n">
        <v>0.065</v>
      </c>
      <c r="G10" s="12" t="n">
        <v>0.95</v>
      </c>
    </row>
    <row r="11" customFormat="false" ht="15" hidden="false" customHeight="false" outlineLevel="0" collapsed="false">
      <c r="A11" s="8" t="s">
        <v>359</v>
      </c>
      <c r="B11" s="27" t="n">
        <v>1100</v>
      </c>
      <c r="C11" s="12" t="n">
        <v>0.06</v>
      </c>
      <c r="E11" s="12" t="n">
        <v>0.02</v>
      </c>
      <c r="F11" s="12" t="n">
        <v>0.09</v>
      </c>
      <c r="G11" s="12" t="n">
        <v>0.98</v>
      </c>
    </row>
    <row r="12" customFormat="false" ht="15" hidden="false" customHeight="false" outlineLevel="0" collapsed="false">
      <c r="A12" s="8" t="s">
        <v>360</v>
      </c>
      <c r="B12" s="27" t="n">
        <v>250</v>
      </c>
      <c r="C12" s="12" t="n">
        <v>0.1</v>
      </c>
      <c r="E12" s="12" t="n">
        <v>0.06</v>
      </c>
      <c r="F12" s="12" t="n">
        <v>0.14</v>
      </c>
      <c r="G12" s="12" t="n">
        <v>0.7</v>
      </c>
    </row>
    <row r="13" customFormat="false" ht="15" hidden="false" customHeight="false" outlineLevel="0" collapsed="false">
      <c r="A13" s="8" t="s">
        <v>361</v>
      </c>
      <c r="B13" s="27" t="n">
        <v>450</v>
      </c>
      <c r="C13" s="12" t="n">
        <v>0.04</v>
      </c>
      <c r="E13" s="12" t="n">
        <v>0.03</v>
      </c>
      <c r="F13" s="12" t="n">
        <v>0.05</v>
      </c>
      <c r="G13" s="12" t="n">
        <v>0.65</v>
      </c>
    </row>
    <row r="14" customFormat="false" ht="15" hidden="false" customHeight="false" outlineLevel="0" collapsed="false">
      <c r="A14" s="10" t="s">
        <v>362</v>
      </c>
    </row>
    <row r="15" customFormat="false" ht="15" hidden="false" customHeight="false" outlineLevel="0" collapsed="false">
      <c r="A15" s="8" t="s">
        <v>363</v>
      </c>
      <c r="B15" s="8" t="s">
        <v>364</v>
      </c>
      <c r="C15" s="27" t="n">
        <v>600</v>
      </c>
      <c r="D15" s="10" t="s">
        <v>365</v>
      </c>
    </row>
    <row r="16" customFormat="false" ht="15" hidden="false" customHeight="false" outlineLevel="0" collapsed="false">
      <c r="A16" s="8" t="s">
        <v>366</v>
      </c>
      <c r="B16" s="8" t="s">
        <v>364</v>
      </c>
      <c r="C16" s="27" t="n">
        <v>0</v>
      </c>
    </row>
    <row r="17" customFormat="false" ht="15" hidden="false" customHeight="false" outlineLevel="0" collapsed="false">
      <c r="A17" s="8" t="s">
        <v>367</v>
      </c>
      <c r="B17" s="8" t="s">
        <v>364</v>
      </c>
      <c r="C17" s="26" t="n">
        <v>8600</v>
      </c>
      <c r="D17" s="10" t="s">
        <v>368</v>
      </c>
    </row>
    <row r="18" customFormat="false" ht="15" hidden="false" customHeight="false" outlineLevel="0" collapsed="false">
      <c r="A18" s="8" t="s">
        <v>369</v>
      </c>
      <c r="B18" s="8" t="s">
        <v>120</v>
      </c>
      <c r="C18" s="12" t="n">
        <v>0.045</v>
      </c>
      <c r="D18" s="10" t="s">
        <v>370</v>
      </c>
    </row>
    <row r="19" customFormat="false" ht="15" hidden="false" customHeight="false" outlineLevel="0" collapsed="false">
      <c r="A19" s="8" t="s">
        <v>371</v>
      </c>
      <c r="B19" s="8" t="s">
        <v>364</v>
      </c>
      <c r="C19" s="27" t="n">
        <v>500</v>
      </c>
      <c r="D19" s="10" t="s">
        <v>372</v>
      </c>
    </row>
    <row r="20" customFormat="false" ht="15" hidden="false" customHeight="false" outlineLevel="0" collapsed="false">
      <c r="A20" s="6" t="s">
        <v>373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</row>
    <row r="21" customFormat="false" ht="15" hidden="false" customHeight="false" outlineLevel="0" collapsed="false">
      <c r="A21" s="8" t="s">
        <v>356</v>
      </c>
      <c r="B21" s="8" t="s">
        <v>181</v>
      </c>
      <c r="E21" s="32" t="n">
        <f aca="false">$B$8*(1+CHOOSE(01_CONTROL_PANEL!$C$5,$C$8,$E$8,$F$8)+27_SCENARIOS!$C$29)^(06_CONSTRUCTION!E4-02_PROJECT_INPUTS!$C$11)*IF(06_CONSTRUCTION!E4&gt;=06_CONSTRUCTION!$C$8,27_SCENARIOS!$C$30,1)</f>
        <v>2782</v>
      </c>
      <c r="F21" s="32" t="n">
        <f aca="false">$B$8*(1+CHOOSE(01_CONTROL_PANEL!$C$5,$C$8,$E$8,$F$8)+27_SCENARIOS!$C$29)^(06_CONSTRUCTION!F4-02_PROJECT_INPUTS!$C$11)*IF(06_CONSTRUCTION!F4&gt;=06_CONSTRUCTION!$C$8,27_SCENARIOS!$C$30,1)</f>
        <v>2976.74</v>
      </c>
      <c r="G21" s="32" t="n">
        <f aca="false">$B$8*(1+CHOOSE(01_CONTROL_PANEL!$C$5,$C$8,$E$8,$F$8)+27_SCENARIOS!$C$29)^(06_CONSTRUCTION!G4-02_PROJECT_INPUTS!$C$11)*IF(06_CONSTRUCTION!G4&gt;=06_CONSTRUCTION!$C$8,27_SCENARIOS!$C$30,1)</f>
        <v>3185.1118</v>
      </c>
      <c r="H21" s="32" t="n">
        <f aca="false">$B$8*(1+CHOOSE(01_CONTROL_PANEL!$C$5,$C$8,$E$8,$F$8)+27_SCENARIOS!$C$29)^(06_CONSTRUCTION!H4-02_PROJECT_INPUTS!$C$11)*IF(06_CONSTRUCTION!H4&gt;=06_CONSTRUCTION!$C$8,27_SCENARIOS!$C$30,1)</f>
        <v>3408.069626</v>
      </c>
      <c r="I21" s="32" t="n">
        <f aca="false">$B$8*(1+CHOOSE(01_CONTROL_PANEL!$C$5,$C$8,$E$8,$F$8)+27_SCENARIOS!$C$29)^(06_CONSTRUCTION!I4-02_PROJECT_INPUTS!$C$11)*IF(06_CONSTRUCTION!I4&gt;=06_CONSTRUCTION!$C$8,27_SCENARIOS!$C$30,1)</f>
        <v>3646.63449982</v>
      </c>
      <c r="J21" s="32" t="n">
        <f aca="false">$B$8*(1+CHOOSE(01_CONTROL_PANEL!$C$5,$C$8,$E$8,$F$8)+27_SCENARIOS!$C$29)^(06_CONSTRUCTION!J4-02_PROJECT_INPUTS!$C$11)*IF(06_CONSTRUCTION!J4&gt;=06_CONSTRUCTION!$C$8,27_SCENARIOS!$C$30,1)</f>
        <v>3901.8989148074</v>
      </c>
      <c r="K21" s="32" t="n">
        <f aca="false">$B$8*(1+CHOOSE(01_CONTROL_PANEL!$C$5,$C$8,$E$8,$F$8)+27_SCENARIOS!$C$29)^(06_CONSTRUCTION!K4-02_PROJECT_INPUTS!$C$11)*IF(06_CONSTRUCTION!K4&gt;=06_CONSTRUCTION!$C$8,27_SCENARIOS!$C$30,1)</f>
        <v>4175.03183884392</v>
      </c>
      <c r="L21" s="32" t="n">
        <f aca="false">$B$8*(1+CHOOSE(01_CONTROL_PANEL!$C$5,$C$8,$E$8,$F$8)+27_SCENARIOS!$C$29)^(06_CONSTRUCTION!L4-02_PROJECT_INPUTS!$C$11)*IF(06_CONSTRUCTION!L4&gt;=06_CONSTRUCTION!$C$8,27_SCENARIOS!$C$30,1)</f>
        <v>4467.28406756299</v>
      </c>
      <c r="M21" s="32" t="n">
        <f aca="false">$B$8*(1+CHOOSE(01_CONTROL_PANEL!$C$5,$C$8,$E$8,$F$8)+27_SCENARIOS!$C$29)^(06_CONSTRUCTION!M4-02_PROJECT_INPUTS!$C$11)*IF(06_CONSTRUCTION!M4&gt;=06_CONSTRUCTION!$C$8,27_SCENARIOS!$C$30,1)</f>
        <v>4779.9939522924</v>
      </c>
      <c r="N21" s="32" t="n">
        <f aca="false">$B$8*(1+CHOOSE(01_CONTROL_PANEL!$C$5,$C$8,$E$8,$F$8)+27_SCENARIOS!$C$29)^(06_CONSTRUCTION!N4-02_PROJECT_INPUTS!$C$11)*IF(06_CONSTRUCTION!N4&gt;=06_CONSTRUCTION!$C$8,27_SCENARIOS!$C$30,1)</f>
        <v>5114.59352895287</v>
      </c>
      <c r="O21" s="32" t="n">
        <f aca="false">$B$8*(1+CHOOSE(01_CONTROL_PANEL!$C$5,$C$8,$E$8,$F$8)+27_SCENARIOS!$C$29)^(06_CONSTRUCTION!O4-02_PROJECT_INPUTS!$C$11)*IF(06_CONSTRUCTION!O4&gt;=06_CONSTRUCTION!$C$8,27_SCENARIOS!$C$30,1)</f>
        <v>5472.61507597958</v>
      </c>
      <c r="P21" s="32" t="n">
        <f aca="false">$B$8*(1+CHOOSE(01_CONTROL_PANEL!$C$5,$C$8,$E$8,$F$8)+27_SCENARIOS!$C$29)^(06_CONSTRUCTION!P4-02_PROJECT_INPUTS!$C$11)*IF(06_CONSTRUCTION!P4&gt;=06_CONSTRUCTION!$C$8,27_SCENARIOS!$C$30,1)</f>
        <v>5855.69813129814</v>
      </c>
      <c r="Q21" s="32" t="n">
        <f aca="false">$B$8*(1+CHOOSE(01_CONTROL_PANEL!$C$5,$C$8,$E$8,$F$8)+27_SCENARIOS!$C$29)^(06_CONSTRUCTION!Q4-02_PROJECT_INPUTS!$C$11)*IF(06_CONSTRUCTION!Q4&gt;=06_CONSTRUCTION!$C$8,27_SCENARIOS!$C$30,1)</f>
        <v>6265.59700048902</v>
      </c>
      <c r="R21" s="32" t="n">
        <f aca="false">$B$8*(1+CHOOSE(01_CONTROL_PANEL!$C$5,$C$8,$E$8,$F$8)+27_SCENARIOS!$C$29)^(06_CONSTRUCTION!R4-02_PROJECT_INPUTS!$C$11)*IF(06_CONSTRUCTION!R4&gt;=06_CONSTRUCTION!$C$8,27_SCENARIOS!$C$30,1)</f>
        <v>6704.18879052325</v>
      </c>
      <c r="S21" s="32" t="n">
        <f aca="false">$B$8*(1+CHOOSE(01_CONTROL_PANEL!$C$5,$C$8,$E$8,$F$8)+27_SCENARIOS!$C$29)^(06_CONSTRUCTION!S4-02_PROJECT_INPUTS!$C$11)*IF(06_CONSTRUCTION!S4&gt;=06_CONSTRUCTION!$C$8,27_SCENARIOS!$C$30,1)</f>
        <v>7173.48200585987</v>
      </c>
      <c r="T21" s="32" t="n">
        <f aca="false">$B$8*(1+CHOOSE(01_CONTROL_PANEL!$C$5,$C$8,$E$8,$F$8)+27_SCENARIOS!$C$29)^(06_CONSTRUCTION!T4-02_PROJECT_INPUTS!$C$11)*IF(06_CONSTRUCTION!T4&gt;=06_CONSTRUCTION!$C$8,27_SCENARIOS!$C$30,1)</f>
        <v>7675.62574627007</v>
      </c>
      <c r="U21" s="32" t="n">
        <f aca="false">$B$8*(1+CHOOSE(01_CONTROL_PANEL!$C$5,$C$8,$E$8,$F$8)+27_SCENARIOS!$C$29)^(06_CONSTRUCTION!U4-02_PROJECT_INPUTS!$C$11)*IF(06_CONSTRUCTION!U4&gt;=06_CONSTRUCTION!$C$8,27_SCENARIOS!$C$30,1)</f>
        <v>8212.91954850897</v>
      </c>
      <c r="V21" s="32" t="n">
        <f aca="false">$B$8*(1+CHOOSE(01_CONTROL_PANEL!$C$5,$C$8,$E$8,$F$8)+27_SCENARIOS!$C$29)^(06_CONSTRUCTION!V4-02_PROJECT_INPUTS!$C$11)*IF(06_CONSTRUCTION!V4&gt;=06_CONSTRUCTION!$C$8,27_SCENARIOS!$C$30,1)</f>
        <v>8787.8239169046</v>
      </c>
      <c r="W21" s="32" t="n">
        <f aca="false">$B$8*(1+CHOOSE(01_CONTROL_PANEL!$C$5,$C$8,$E$8,$F$8)+27_SCENARIOS!$C$29)^(06_CONSTRUCTION!W4-02_PROJECT_INPUTS!$C$11)*IF(06_CONSTRUCTION!W4&gt;=06_CONSTRUCTION!$C$8,27_SCENARIOS!$C$30,1)</f>
        <v>9402.97159108792</v>
      </c>
      <c r="X21" s="32" t="n">
        <f aca="false">$B$8*(1+CHOOSE(01_CONTROL_PANEL!$C$5,$C$8,$E$8,$F$8)+27_SCENARIOS!$C$29)^(06_CONSTRUCTION!X4-02_PROJECT_INPUTS!$C$11)*IF(06_CONSTRUCTION!X4&gt;=06_CONSTRUCTION!$C$8,27_SCENARIOS!$C$30,1)</f>
        <v>10061.1796024641</v>
      </c>
      <c r="Y21" s="32" t="n">
        <f aca="false">$B$8*(1+CHOOSE(01_CONTROL_PANEL!$C$5,$C$8,$E$8,$F$8)+27_SCENARIOS!$C$29)^(06_CONSTRUCTION!Y4-02_PROJECT_INPUTS!$C$11)*IF(06_CONSTRUCTION!Y4&gt;=06_CONSTRUCTION!$C$8,27_SCENARIOS!$C$30,1)</f>
        <v>10765.4621746366</v>
      </c>
      <c r="Z21" s="32" t="n">
        <f aca="false">$B$8*(1+CHOOSE(01_CONTROL_PANEL!$C$5,$C$8,$E$8,$F$8)+27_SCENARIOS!$C$29)^(06_CONSTRUCTION!Z4-02_PROJECT_INPUTS!$C$11)*IF(06_CONSTRUCTION!Z4&gt;=06_CONSTRUCTION!$C$8,27_SCENARIOS!$C$30,1)</f>
        <v>11519.0445268611</v>
      </c>
      <c r="AA21" s="32" t="n">
        <f aca="false">$B$8*(1+CHOOSE(01_CONTROL_PANEL!$C$5,$C$8,$E$8,$F$8)+27_SCENARIOS!$C$29)^(06_CONSTRUCTION!AA4-02_PROJECT_INPUTS!$C$11)*IF(06_CONSTRUCTION!AA4&gt;=06_CONSTRUCTION!$C$8,27_SCENARIOS!$C$30,1)</f>
        <v>12325.3776437414</v>
      </c>
      <c r="AB21" s="32" t="n">
        <f aca="false">$B$8*(1+CHOOSE(01_CONTROL_PANEL!$C$5,$C$8,$E$8,$F$8)+27_SCENARIOS!$C$29)^(06_CONSTRUCTION!AB4-02_PROJECT_INPUTS!$C$11)*IF(06_CONSTRUCTION!AB4&gt;=06_CONSTRUCTION!$C$8,27_SCENARIOS!$C$30,1)</f>
        <v>13188.1540788033</v>
      </c>
      <c r="AC21" s="32" t="n">
        <f aca="false">$B$8*(1+CHOOSE(01_CONTROL_PANEL!$C$5,$C$8,$E$8,$F$8)+27_SCENARIOS!$C$29)^(06_CONSTRUCTION!AC4-02_PROJECT_INPUTS!$C$11)*IF(06_CONSTRUCTION!AC4&gt;=06_CONSTRUCTION!$C$8,27_SCENARIOS!$C$30,1)</f>
        <v>14111.3248643195</v>
      </c>
      <c r="AD21" s="32" t="n">
        <f aca="false">$B$8*(1+CHOOSE(01_CONTROL_PANEL!$C$5,$C$8,$E$8,$F$8)+27_SCENARIOS!$C$29)^(06_CONSTRUCTION!AD4-02_PROJECT_INPUTS!$C$11)*IF(06_CONSTRUCTION!AD4&gt;=06_CONSTRUCTION!$C$8,27_SCENARIOS!$C$30,1)</f>
        <v>15099.1176048219</v>
      </c>
      <c r="AE21" s="32" t="n">
        <f aca="false">$B$8*(1+CHOOSE(01_CONTROL_PANEL!$C$5,$C$8,$E$8,$F$8)+27_SCENARIOS!$C$29)^(06_CONSTRUCTION!AE4-02_PROJECT_INPUTS!$C$11)*IF(06_CONSTRUCTION!AE4&gt;=06_CONSTRUCTION!$C$8,27_SCENARIOS!$C$30,1)</f>
        <v>16156.0558371594</v>
      </c>
      <c r="AF21" s="32" t="n">
        <f aca="false">$B$8*(1+CHOOSE(01_CONTROL_PANEL!$C$5,$C$8,$E$8,$F$8)+27_SCENARIOS!$C$29)^(06_CONSTRUCTION!AF4-02_PROJECT_INPUTS!$C$11)*IF(06_CONSTRUCTION!AF4&gt;=06_CONSTRUCTION!$C$8,27_SCENARIOS!$C$30,1)</f>
        <v>17286.9797457606</v>
      </c>
      <c r="AG21" s="32" t="n">
        <f aca="false">$B$8*(1+CHOOSE(01_CONTROL_PANEL!$C$5,$C$8,$E$8,$F$8)+27_SCENARIOS!$C$29)^(06_CONSTRUCTION!AG4-02_PROJECT_INPUTS!$C$11)*IF(06_CONSTRUCTION!AG4&gt;=06_CONSTRUCTION!$C$8,27_SCENARIOS!$C$30,1)</f>
        <v>18497.0683279638</v>
      </c>
      <c r="AH21" s="32" t="n">
        <f aca="false">$B$8*(1+CHOOSE(01_CONTROL_PANEL!$C$5,$C$8,$E$8,$F$8)+27_SCENARIOS!$C$29)^(06_CONSTRUCTION!AH4-02_PROJECT_INPUTS!$C$11)*IF(06_CONSTRUCTION!AH4&gt;=06_CONSTRUCTION!$C$8,27_SCENARIOS!$C$30,1)</f>
        <v>19791.8631109213</v>
      </c>
      <c r="AI21" s="32" t="n">
        <f aca="false">$B$8*(1+CHOOSE(01_CONTROL_PANEL!$C$5,$C$8,$E$8,$F$8)+27_SCENARIOS!$C$29)^(06_CONSTRUCTION!AI4-02_PROJECT_INPUTS!$C$11)*IF(06_CONSTRUCTION!AI4&gt;=06_CONSTRUCTION!$C$8,27_SCENARIOS!$C$30,1)</f>
        <v>21177.2935286858</v>
      </c>
      <c r="AJ21" s="32" t="n">
        <f aca="false">$B$8*(1+CHOOSE(01_CONTROL_PANEL!$C$5,$C$8,$E$8,$F$8)+27_SCENARIOS!$C$29)^(06_CONSTRUCTION!AJ4-02_PROJECT_INPUTS!$C$11)*IF(06_CONSTRUCTION!AJ4&gt;=06_CONSTRUCTION!$C$8,27_SCENARIOS!$C$30,1)</f>
        <v>22659.7040756938</v>
      </c>
      <c r="AK21" s="32" t="n">
        <f aca="false">$B$8*(1+CHOOSE(01_CONTROL_PANEL!$C$5,$C$8,$E$8,$F$8)+27_SCENARIOS!$C$29)^(06_CONSTRUCTION!AK4-02_PROJECT_INPUTS!$C$11)*IF(06_CONSTRUCTION!AK4&gt;=06_CONSTRUCTION!$C$8,27_SCENARIOS!$C$30,1)</f>
        <v>24245.8833609924</v>
      </c>
      <c r="AL21" s="32" t="n">
        <f aca="false">$B$8*(1+CHOOSE(01_CONTROL_PANEL!$C$5,$C$8,$E$8,$F$8)+27_SCENARIOS!$C$29)^(06_CONSTRUCTION!AL4-02_PROJECT_INPUTS!$C$11)*IF(06_CONSTRUCTION!AL4&gt;=06_CONSTRUCTION!$C$8,27_SCENARIOS!$C$30,1)</f>
        <v>25943.0951962619</v>
      </c>
      <c r="AM21" s="32" t="n">
        <f aca="false">$B$8*(1+CHOOSE(01_CONTROL_PANEL!$C$5,$C$8,$E$8,$F$8)+27_SCENARIOS!$C$29)^(06_CONSTRUCTION!AM4-02_PROJECT_INPUTS!$C$11)*IF(06_CONSTRUCTION!AM4&gt;=06_CONSTRUCTION!$C$8,27_SCENARIOS!$C$30,1)</f>
        <v>27759.1118600002</v>
      </c>
      <c r="AN21" s="32" t="n">
        <f aca="false">$B$8*(1+CHOOSE(01_CONTROL_PANEL!$C$5,$C$8,$E$8,$F$8)+27_SCENARIOS!$C$29)^(06_CONSTRUCTION!AN4-02_PROJECT_INPUTS!$C$11)*IF(06_CONSTRUCTION!AN4&gt;=06_CONSTRUCTION!$C$8,27_SCENARIOS!$C$30,1)</f>
        <v>29702.2496902002</v>
      </c>
      <c r="AO21" s="32" t="n">
        <f aca="false">$B$8*(1+CHOOSE(01_CONTROL_PANEL!$C$5,$C$8,$E$8,$F$8)+27_SCENARIOS!$C$29)^(06_CONSTRUCTION!AO4-02_PROJECT_INPUTS!$C$11)*IF(06_CONSTRUCTION!AO4&gt;=06_CONSTRUCTION!$C$8,27_SCENARIOS!$C$30,1)</f>
        <v>31781.4071685142</v>
      </c>
      <c r="AP21" s="32" t="n">
        <f aca="false">$B$8*(1+CHOOSE(01_CONTROL_PANEL!$C$5,$C$8,$E$8,$F$8)+27_SCENARIOS!$C$29)^(06_CONSTRUCTION!AP4-02_PROJECT_INPUTS!$C$11)*IF(06_CONSTRUCTION!AP4&gt;=06_CONSTRUCTION!$C$8,27_SCENARIOS!$C$30,1)</f>
        <v>34006.1056703102</v>
      </c>
      <c r="AQ21" s="32" t="n">
        <f aca="false">$B$8*(1+CHOOSE(01_CONTROL_PANEL!$C$5,$C$8,$E$8,$F$8)+27_SCENARIOS!$C$29)^(06_CONSTRUCTION!AQ4-02_PROJECT_INPUTS!$C$11)*IF(06_CONSTRUCTION!AQ4&gt;=06_CONSTRUCTION!$C$8,27_SCENARIOS!$C$30,1)</f>
        <v>36386.5330672319</v>
      </c>
      <c r="AR21" s="32" t="n">
        <f aca="false">$B$8*(1+CHOOSE(01_CONTROL_PANEL!$C$5,$C$8,$E$8,$F$8)+27_SCENARIOS!$C$29)^(06_CONSTRUCTION!AR4-02_PROJECT_INPUTS!$C$11)*IF(06_CONSTRUCTION!AR4&gt;=06_CONSTRUCTION!$C$8,27_SCENARIOS!$C$30,1)</f>
        <v>38933.5903819382</v>
      </c>
    </row>
    <row r="22" customFormat="false" ht="15" hidden="false" customHeight="false" outlineLevel="0" collapsed="false">
      <c r="A22" s="8" t="s">
        <v>357</v>
      </c>
      <c r="B22" s="8" t="s">
        <v>181</v>
      </c>
      <c r="E22" s="32" t="n">
        <f aca="false">$B$9*(1+CHOOSE(01_CONTROL_PANEL!$C$5,$C$9,$E$9,$F$9)+27_SCENARIOS!$C$29)^(06_CONSTRUCTION!E4-02_PROJECT_INPUTS!$C$11)*IF(06_CONSTRUCTION!E4&gt;=06_CONSTRUCTION!$C$8,27_SCENARIOS!$C$30,1)</f>
        <v>1484</v>
      </c>
      <c r="F22" s="32" t="n">
        <f aca="false">$B$9*(1+CHOOSE(01_CONTROL_PANEL!$C$5,$C$9,$E$9,$F$9)+27_SCENARIOS!$C$29)^(06_CONSTRUCTION!F4-02_PROJECT_INPUTS!$C$11)*IF(06_CONSTRUCTION!F4&gt;=06_CONSTRUCTION!$C$8,27_SCENARIOS!$C$30,1)</f>
        <v>1573.04</v>
      </c>
      <c r="G22" s="32" t="n">
        <f aca="false">$B$9*(1+CHOOSE(01_CONTROL_PANEL!$C$5,$C$9,$E$9,$F$9)+27_SCENARIOS!$C$29)^(06_CONSTRUCTION!G4-02_PROJECT_INPUTS!$C$11)*IF(06_CONSTRUCTION!G4&gt;=06_CONSTRUCTION!$C$8,27_SCENARIOS!$C$30,1)</f>
        <v>1667.4224</v>
      </c>
      <c r="H22" s="32" t="n">
        <f aca="false">$B$9*(1+CHOOSE(01_CONTROL_PANEL!$C$5,$C$9,$E$9,$F$9)+27_SCENARIOS!$C$29)^(06_CONSTRUCTION!H4-02_PROJECT_INPUTS!$C$11)*IF(06_CONSTRUCTION!H4&gt;=06_CONSTRUCTION!$C$8,27_SCENARIOS!$C$30,1)</f>
        <v>1767.467744</v>
      </c>
      <c r="I22" s="32" t="n">
        <f aca="false">$B$9*(1+CHOOSE(01_CONTROL_PANEL!$C$5,$C$9,$E$9,$F$9)+27_SCENARIOS!$C$29)^(06_CONSTRUCTION!I4-02_PROJECT_INPUTS!$C$11)*IF(06_CONSTRUCTION!I4&gt;=06_CONSTRUCTION!$C$8,27_SCENARIOS!$C$30,1)</f>
        <v>1873.51580864</v>
      </c>
      <c r="J22" s="32" t="n">
        <f aca="false">$B$9*(1+CHOOSE(01_CONTROL_PANEL!$C$5,$C$9,$E$9,$F$9)+27_SCENARIOS!$C$29)^(06_CONSTRUCTION!J4-02_PROJECT_INPUTS!$C$11)*IF(06_CONSTRUCTION!J4&gt;=06_CONSTRUCTION!$C$8,27_SCENARIOS!$C$30,1)</f>
        <v>1985.9267571584</v>
      </c>
      <c r="K22" s="32" t="n">
        <f aca="false">$B$9*(1+CHOOSE(01_CONTROL_PANEL!$C$5,$C$9,$E$9,$F$9)+27_SCENARIOS!$C$29)^(06_CONSTRUCTION!K4-02_PROJECT_INPUTS!$C$11)*IF(06_CONSTRUCTION!K4&gt;=06_CONSTRUCTION!$C$8,27_SCENARIOS!$C$30,1)</f>
        <v>2105.0823625879</v>
      </c>
      <c r="L22" s="32" t="n">
        <f aca="false">$B$9*(1+CHOOSE(01_CONTROL_PANEL!$C$5,$C$9,$E$9,$F$9)+27_SCENARIOS!$C$29)^(06_CONSTRUCTION!L4-02_PROJECT_INPUTS!$C$11)*IF(06_CONSTRUCTION!L4&gt;=06_CONSTRUCTION!$C$8,27_SCENARIOS!$C$30,1)</f>
        <v>2231.38730434318</v>
      </c>
      <c r="M22" s="32" t="n">
        <f aca="false">$B$9*(1+CHOOSE(01_CONTROL_PANEL!$C$5,$C$9,$E$9,$F$9)+27_SCENARIOS!$C$29)^(06_CONSTRUCTION!M4-02_PROJECT_INPUTS!$C$11)*IF(06_CONSTRUCTION!M4&gt;=06_CONSTRUCTION!$C$8,27_SCENARIOS!$C$30,1)</f>
        <v>2365.27054260377</v>
      </c>
      <c r="N22" s="32" t="n">
        <f aca="false">$B$9*(1+CHOOSE(01_CONTROL_PANEL!$C$5,$C$9,$E$9,$F$9)+27_SCENARIOS!$C$29)^(06_CONSTRUCTION!N4-02_PROJECT_INPUTS!$C$11)*IF(06_CONSTRUCTION!N4&gt;=06_CONSTRUCTION!$C$8,27_SCENARIOS!$C$30,1)</f>
        <v>2507.18677516</v>
      </c>
      <c r="O22" s="32" t="n">
        <f aca="false">$B$9*(1+CHOOSE(01_CONTROL_PANEL!$C$5,$C$9,$E$9,$F$9)+27_SCENARIOS!$C$29)^(06_CONSTRUCTION!O4-02_PROJECT_INPUTS!$C$11)*IF(06_CONSTRUCTION!O4&gt;=06_CONSTRUCTION!$C$8,27_SCENARIOS!$C$30,1)</f>
        <v>2657.6179816696</v>
      </c>
      <c r="P22" s="32" t="n">
        <f aca="false">$B$9*(1+CHOOSE(01_CONTROL_PANEL!$C$5,$C$9,$E$9,$F$9)+27_SCENARIOS!$C$29)^(06_CONSTRUCTION!P4-02_PROJECT_INPUTS!$C$11)*IF(06_CONSTRUCTION!P4&gt;=06_CONSTRUCTION!$C$8,27_SCENARIOS!$C$30,1)</f>
        <v>2817.07506056977</v>
      </c>
      <c r="Q22" s="32" t="n">
        <f aca="false">$B$9*(1+CHOOSE(01_CONTROL_PANEL!$C$5,$C$9,$E$9,$F$9)+27_SCENARIOS!$C$29)^(06_CONSTRUCTION!Q4-02_PROJECT_INPUTS!$C$11)*IF(06_CONSTRUCTION!Q4&gt;=06_CONSTRUCTION!$C$8,27_SCENARIOS!$C$30,1)</f>
        <v>2986.09956420396</v>
      </c>
      <c r="R22" s="32" t="n">
        <f aca="false">$B$9*(1+CHOOSE(01_CONTROL_PANEL!$C$5,$C$9,$E$9,$F$9)+27_SCENARIOS!$C$29)^(06_CONSTRUCTION!R4-02_PROJECT_INPUTS!$C$11)*IF(06_CONSTRUCTION!R4&gt;=06_CONSTRUCTION!$C$8,27_SCENARIOS!$C$30,1)</f>
        <v>3165.2655380562</v>
      </c>
      <c r="S22" s="32" t="n">
        <f aca="false">$B$9*(1+CHOOSE(01_CONTROL_PANEL!$C$5,$C$9,$E$9,$F$9)+27_SCENARIOS!$C$29)^(06_CONSTRUCTION!S4-02_PROJECT_INPUTS!$C$11)*IF(06_CONSTRUCTION!S4&gt;=06_CONSTRUCTION!$C$8,27_SCENARIOS!$C$30,1)</f>
        <v>3355.18147033957</v>
      </c>
      <c r="T22" s="32" t="n">
        <f aca="false">$B$9*(1+CHOOSE(01_CONTROL_PANEL!$C$5,$C$9,$E$9,$F$9)+27_SCENARIOS!$C$29)^(06_CONSTRUCTION!T4-02_PROJECT_INPUTS!$C$11)*IF(06_CONSTRUCTION!T4&gt;=06_CONSTRUCTION!$C$8,27_SCENARIOS!$C$30,1)</f>
        <v>3556.49235855994</v>
      </c>
      <c r="U22" s="32" t="n">
        <f aca="false">$B$9*(1+CHOOSE(01_CONTROL_PANEL!$C$5,$C$9,$E$9,$F$9)+27_SCENARIOS!$C$29)^(06_CONSTRUCTION!U4-02_PROJECT_INPUTS!$C$11)*IF(06_CONSTRUCTION!U4&gt;=06_CONSTRUCTION!$C$8,27_SCENARIOS!$C$30,1)</f>
        <v>3769.88190007354</v>
      </c>
      <c r="V22" s="32" t="n">
        <f aca="false">$B$9*(1+CHOOSE(01_CONTROL_PANEL!$C$5,$C$9,$E$9,$F$9)+27_SCENARIOS!$C$29)^(06_CONSTRUCTION!V4-02_PROJECT_INPUTS!$C$11)*IF(06_CONSTRUCTION!V4&gt;=06_CONSTRUCTION!$C$8,27_SCENARIOS!$C$30,1)</f>
        <v>3996.07481407795</v>
      </c>
      <c r="W22" s="32" t="n">
        <f aca="false">$B$9*(1+CHOOSE(01_CONTROL_PANEL!$C$5,$C$9,$E$9,$F$9)+27_SCENARIOS!$C$29)^(06_CONSTRUCTION!W4-02_PROJECT_INPUTS!$C$11)*IF(06_CONSTRUCTION!W4&gt;=06_CONSTRUCTION!$C$8,27_SCENARIOS!$C$30,1)</f>
        <v>4235.83930292263</v>
      </c>
      <c r="X22" s="32" t="n">
        <f aca="false">$B$9*(1+CHOOSE(01_CONTROL_PANEL!$C$5,$C$9,$E$9,$F$9)+27_SCENARIOS!$C$29)^(06_CONSTRUCTION!X4-02_PROJECT_INPUTS!$C$11)*IF(06_CONSTRUCTION!X4&gt;=06_CONSTRUCTION!$C$8,27_SCENARIOS!$C$30,1)</f>
        <v>4489.98966109799</v>
      </c>
      <c r="Y22" s="32" t="n">
        <f aca="false">$B$9*(1+CHOOSE(01_CONTROL_PANEL!$C$5,$C$9,$E$9,$F$9)+27_SCENARIOS!$C$29)^(06_CONSTRUCTION!Y4-02_PROJECT_INPUTS!$C$11)*IF(06_CONSTRUCTION!Y4&gt;=06_CONSTRUCTION!$C$8,27_SCENARIOS!$C$30,1)</f>
        <v>4759.38904076387</v>
      </c>
      <c r="Z22" s="32" t="n">
        <f aca="false">$B$9*(1+CHOOSE(01_CONTROL_PANEL!$C$5,$C$9,$E$9,$F$9)+27_SCENARIOS!$C$29)^(06_CONSTRUCTION!Z4-02_PROJECT_INPUTS!$C$11)*IF(06_CONSTRUCTION!Z4&gt;=06_CONSTRUCTION!$C$8,27_SCENARIOS!$C$30,1)</f>
        <v>5044.9523832097</v>
      </c>
      <c r="AA22" s="32" t="n">
        <f aca="false">$B$9*(1+CHOOSE(01_CONTROL_PANEL!$C$5,$C$9,$E$9,$F$9)+27_SCENARIOS!$C$29)^(06_CONSTRUCTION!AA4-02_PROJECT_INPUTS!$C$11)*IF(06_CONSTRUCTION!AA4&gt;=06_CONSTRUCTION!$C$8,27_SCENARIOS!$C$30,1)</f>
        <v>5347.64952620228</v>
      </c>
      <c r="AB22" s="32" t="n">
        <f aca="false">$B$9*(1+CHOOSE(01_CONTROL_PANEL!$C$5,$C$9,$E$9,$F$9)+27_SCENARIOS!$C$29)^(06_CONSTRUCTION!AB4-02_PROJECT_INPUTS!$C$11)*IF(06_CONSTRUCTION!AB4&gt;=06_CONSTRUCTION!$C$8,27_SCENARIOS!$C$30,1)</f>
        <v>5668.50849777442</v>
      </c>
      <c r="AC22" s="32" t="n">
        <f aca="false">$B$9*(1+CHOOSE(01_CONTROL_PANEL!$C$5,$C$9,$E$9,$F$9)+27_SCENARIOS!$C$29)^(06_CONSTRUCTION!AC4-02_PROJECT_INPUTS!$C$11)*IF(06_CONSTRUCTION!AC4&gt;=06_CONSTRUCTION!$C$8,27_SCENARIOS!$C$30,1)</f>
        <v>6008.61900764088</v>
      </c>
      <c r="AD22" s="32" t="n">
        <f aca="false">$B$9*(1+CHOOSE(01_CONTROL_PANEL!$C$5,$C$9,$E$9,$F$9)+27_SCENARIOS!$C$29)^(06_CONSTRUCTION!AD4-02_PROJECT_INPUTS!$C$11)*IF(06_CONSTRUCTION!AD4&gt;=06_CONSTRUCTION!$C$8,27_SCENARIOS!$C$30,1)</f>
        <v>6369.13614809934</v>
      </c>
      <c r="AE22" s="32" t="n">
        <f aca="false">$B$9*(1+CHOOSE(01_CONTROL_PANEL!$C$5,$C$9,$E$9,$F$9)+27_SCENARIOS!$C$29)^(06_CONSTRUCTION!AE4-02_PROJECT_INPUTS!$C$11)*IF(06_CONSTRUCTION!AE4&gt;=06_CONSTRUCTION!$C$8,27_SCENARIOS!$C$30,1)</f>
        <v>6751.2843169853</v>
      </c>
      <c r="AF22" s="32" t="n">
        <f aca="false">$B$9*(1+CHOOSE(01_CONTROL_PANEL!$C$5,$C$9,$E$9,$F$9)+27_SCENARIOS!$C$29)^(06_CONSTRUCTION!AF4-02_PROJECT_INPUTS!$C$11)*IF(06_CONSTRUCTION!AF4&gt;=06_CONSTRUCTION!$C$8,27_SCENARIOS!$C$30,1)</f>
        <v>7156.36137600442</v>
      </c>
      <c r="AG22" s="32" t="n">
        <f aca="false">$B$9*(1+CHOOSE(01_CONTROL_PANEL!$C$5,$C$9,$E$9,$F$9)+27_SCENARIOS!$C$29)^(06_CONSTRUCTION!AG4-02_PROJECT_INPUTS!$C$11)*IF(06_CONSTRUCTION!AG4&gt;=06_CONSTRUCTION!$C$8,27_SCENARIOS!$C$30,1)</f>
        <v>7585.74305856468</v>
      </c>
      <c r="AH22" s="32" t="n">
        <f aca="false">$B$9*(1+CHOOSE(01_CONTROL_PANEL!$C$5,$C$9,$E$9,$F$9)+27_SCENARIOS!$C$29)^(06_CONSTRUCTION!AH4-02_PROJECT_INPUTS!$C$11)*IF(06_CONSTRUCTION!AH4&gt;=06_CONSTRUCTION!$C$8,27_SCENARIOS!$C$30,1)</f>
        <v>8040.88764207856</v>
      </c>
      <c r="AI22" s="32" t="n">
        <f aca="false">$B$9*(1+CHOOSE(01_CONTROL_PANEL!$C$5,$C$9,$E$9,$F$9)+27_SCENARIOS!$C$29)^(06_CONSTRUCTION!AI4-02_PROJECT_INPUTS!$C$11)*IF(06_CONSTRUCTION!AI4&gt;=06_CONSTRUCTION!$C$8,27_SCENARIOS!$C$30,1)</f>
        <v>8523.34090060328</v>
      </c>
      <c r="AJ22" s="32" t="n">
        <f aca="false">$B$9*(1+CHOOSE(01_CONTROL_PANEL!$C$5,$C$9,$E$9,$F$9)+27_SCENARIOS!$C$29)^(06_CONSTRUCTION!AJ4-02_PROJECT_INPUTS!$C$11)*IF(06_CONSTRUCTION!AJ4&gt;=06_CONSTRUCTION!$C$8,27_SCENARIOS!$C$30,1)</f>
        <v>9034.74135463948</v>
      </c>
      <c r="AK22" s="32" t="n">
        <f aca="false">$B$9*(1+CHOOSE(01_CONTROL_PANEL!$C$5,$C$9,$E$9,$F$9)+27_SCENARIOS!$C$29)^(06_CONSTRUCTION!AK4-02_PROJECT_INPUTS!$C$11)*IF(06_CONSTRUCTION!AK4&gt;=06_CONSTRUCTION!$C$8,27_SCENARIOS!$C$30,1)</f>
        <v>9576.82583591784</v>
      </c>
      <c r="AL22" s="32" t="n">
        <f aca="false">$B$9*(1+CHOOSE(01_CONTROL_PANEL!$C$5,$C$9,$E$9,$F$9)+27_SCENARIOS!$C$29)^(06_CONSTRUCTION!AL4-02_PROJECT_INPUTS!$C$11)*IF(06_CONSTRUCTION!AL4&gt;=06_CONSTRUCTION!$C$8,27_SCENARIOS!$C$30,1)</f>
        <v>10151.4353860729</v>
      </c>
      <c r="AM22" s="32" t="n">
        <f aca="false">$B$9*(1+CHOOSE(01_CONTROL_PANEL!$C$5,$C$9,$E$9,$F$9)+27_SCENARIOS!$C$29)^(06_CONSTRUCTION!AM4-02_PROJECT_INPUTS!$C$11)*IF(06_CONSTRUCTION!AM4&gt;=06_CONSTRUCTION!$C$8,27_SCENARIOS!$C$30,1)</f>
        <v>10760.5215092373</v>
      </c>
      <c r="AN22" s="32" t="n">
        <f aca="false">$B$9*(1+CHOOSE(01_CONTROL_PANEL!$C$5,$C$9,$E$9,$F$9)+27_SCENARIOS!$C$29)^(06_CONSTRUCTION!AN4-02_PROJECT_INPUTS!$C$11)*IF(06_CONSTRUCTION!AN4&gt;=06_CONSTRUCTION!$C$8,27_SCENARIOS!$C$30,1)</f>
        <v>11406.1527997915</v>
      </c>
      <c r="AO22" s="32" t="n">
        <f aca="false">$B$9*(1+CHOOSE(01_CONTROL_PANEL!$C$5,$C$9,$E$9,$F$9)+27_SCENARIOS!$C$29)^(06_CONSTRUCTION!AO4-02_PROJECT_INPUTS!$C$11)*IF(06_CONSTRUCTION!AO4&gt;=06_CONSTRUCTION!$C$8,27_SCENARIOS!$C$30,1)</f>
        <v>12090.521967779</v>
      </c>
      <c r="AP22" s="32" t="n">
        <f aca="false">$B$9*(1+CHOOSE(01_CONTROL_PANEL!$C$5,$C$9,$E$9,$F$9)+27_SCENARIOS!$C$29)^(06_CONSTRUCTION!AP4-02_PROJECT_INPUTS!$C$11)*IF(06_CONSTRUCTION!AP4&gt;=06_CONSTRUCTION!$C$8,27_SCENARIOS!$C$30,1)</f>
        <v>12815.9532858458</v>
      </c>
      <c r="AQ22" s="32" t="n">
        <f aca="false">$B$9*(1+CHOOSE(01_CONTROL_PANEL!$C$5,$C$9,$E$9,$F$9)+27_SCENARIOS!$C$29)^(06_CONSTRUCTION!AQ4-02_PROJECT_INPUTS!$C$11)*IF(06_CONSTRUCTION!AQ4&gt;=06_CONSTRUCTION!$C$8,27_SCENARIOS!$C$30,1)</f>
        <v>13584.9104829965</v>
      </c>
      <c r="AR22" s="32" t="n">
        <f aca="false">$B$9*(1+CHOOSE(01_CONTROL_PANEL!$C$5,$C$9,$E$9,$F$9)+27_SCENARIOS!$C$29)^(06_CONSTRUCTION!AR4-02_PROJECT_INPUTS!$C$11)*IF(06_CONSTRUCTION!AR4&gt;=06_CONSTRUCTION!$C$8,27_SCENARIOS!$C$30,1)</f>
        <v>14400.0051119763</v>
      </c>
    </row>
    <row r="23" customFormat="false" ht="15" hidden="false" customHeight="false" outlineLevel="0" collapsed="false">
      <c r="A23" s="8" t="s">
        <v>358</v>
      </c>
      <c r="B23" s="8" t="s">
        <v>181</v>
      </c>
      <c r="E23" s="32" t="n">
        <f aca="false">$B$10*(1+CHOOSE(01_CONTROL_PANEL!$C$5,$C$10,$E$10,$F$10)+27_SCENARIOS!$C$29)^(06_CONSTRUCTION!E4-02_PROJECT_INPUTS!$C$11)*IF(06_CONSTRUCTION!E4&gt;=06_CONSTRUCTION!$C$8,27_SCENARIOS!$C$30,1)</f>
        <v>1575</v>
      </c>
      <c r="F23" s="32" t="n">
        <f aca="false">$B$10*(1+CHOOSE(01_CONTROL_PANEL!$C$5,$C$10,$E$10,$F$10)+27_SCENARIOS!$C$29)^(06_CONSTRUCTION!F4-02_PROJECT_INPUTS!$C$11)*IF(06_CONSTRUCTION!F4&gt;=06_CONSTRUCTION!$C$8,27_SCENARIOS!$C$30,1)</f>
        <v>1653.75</v>
      </c>
      <c r="G23" s="32" t="n">
        <f aca="false">$B$10*(1+CHOOSE(01_CONTROL_PANEL!$C$5,$C$10,$E$10,$F$10)+27_SCENARIOS!$C$29)^(06_CONSTRUCTION!G4-02_PROJECT_INPUTS!$C$11)*IF(06_CONSTRUCTION!G4&gt;=06_CONSTRUCTION!$C$8,27_SCENARIOS!$C$30,1)</f>
        <v>1736.4375</v>
      </c>
      <c r="H23" s="32" t="n">
        <f aca="false">$B$10*(1+CHOOSE(01_CONTROL_PANEL!$C$5,$C$10,$E$10,$F$10)+27_SCENARIOS!$C$29)^(06_CONSTRUCTION!H4-02_PROJECT_INPUTS!$C$11)*IF(06_CONSTRUCTION!H4&gt;=06_CONSTRUCTION!$C$8,27_SCENARIOS!$C$30,1)</f>
        <v>1823.259375</v>
      </c>
      <c r="I23" s="32" t="n">
        <f aca="false">$B$10*(1+CHOOSE(01_CONTROL_PANEL!$C$5,$C$10,$E$10,$F$10)+27_SCENARIOS!$C$29)^(06_CONSTRUCTION!I4-02_PROJECT_INPUTS!$C$11)*IF(06_CONSTRUCTION!I4&gt;=06_CONSTRUCTION!$C$8,27_SCENARIOS!$C$30,1)</f>
        <v>1914.42234375</v>
      </c>
      <c r="J23" s="32" t="n">
        <f aca="false">$B$10*(1+CHOOSE(01_CONTROL_PANEL!$C$5,$C$10,$E$10,$F$10)+27_SCENARIOS!$C$29)^(06_CONSTRUCTION!J4-02_PROJECT_INPUTS!$C$11)*IF(06_CONSTRUCTION!J4&gt;=06_CONSTRUCTION!$C$8,27_SCENARIOS!$C$30,1)</f>
        <v>2010.1434609375</v>
      </c>
      <c r="K23" s="32" t="n">
        <f aca="false">$B$10*(1+CHOOSE(01_CONTROL_PANEL!$C$5,$C$10,$E$10,$F$10)+27_SCENARIOS!$C$29)^(06_CONSTRUCTION!K4-02_PROJECT_INPUTS!$C$11)*IF(06_CONSTRUCTION!K4&gt;=06_CONSTRUCTION!$C$8,27_SCENARIOS!$C$30,1)</f>
        <v>2110.65063398438</v>
      </c>
      <c r="L23" s="32" t="n">
        <f aca="false">$B$10*(1+CHOOSE(01_CONTROL_PANEL!$C$5,$C$10,$E$10,$F$10)+27_SCENARIOS!$C$29)^(06_CONSTRUCTION!L4-02_PROJECT_INPUTS!$C$11)*IF(06_CONSTRUCTION!L4&gt;=06_CONSTRUCTION!$C$8,27_SCENARIOS!$C$30,1)</f>
        <v>2216.18316568359</v>
      </c>
      <c r="M23" s="32" t="n">
        <f aca="false">$B$10*(1+CHOOSE(01_CONTROL_PANEL!$C$5,$C$10,$E$10,$F$10)+27_SCENARIOS!$C$29)^(06_CONSTRUCTION!M4-02_PROJECT_INPUTS!$C$11)*IF(06_CONSTRUCTION!M4&gt;=06_CONSTRUCTION!$C$8,27_SCENARIOS!$C$30,1)</f>
        <v>2326.99232396777</v>
      </c>
      <c r="N23" s="32" t="n">
        <f aca="false">$B$10*(1+CHOOSE(01_CONTROL_PANEL!$C$5,$C$10,$E$10,$F$10)+27_SCENARIOS!$C$29)^(06_CONSTRUCTION!N4-02_PROJECT_INPUTS!$C$11)*IF(06_CONSTRUCTION!N4&gt;=06_CONSTRUCTION!$C$8,27_SCENARIOS!$C$30,1)</f>
        <v>2443.34194016616</v>
      </c>
      <c r="O23" s="32" t="n">
        <f aca="false">$B$10*(1+CHOOSE(01_CONTROL_PANEL!$C$5,$C$10,$E$10,$F$10)+27_SCENARIOS!$C$29)^(06_CONSTRUCTION!O4-02_PROJECT_INPUTS!$C$11)*IF(06_CONSTRUCTION!O4&gt;=06_CONSTRUCTION!$C$8,27_SCENARIOS!$C$30,1)</f>
        <v>2565.50903717447</v>
      </c>
      <c r="P23" s="32" t="n">
        <f aca="false">$B$10*(1+CHOOSE(01_CONTROL_PANEL!$C$5,$C$10,$E$10,$F$10)+27_SCENARIOS!$C$29)^(06_CONSTRUCTION!P4-02_PROJECT_INPUTS!$C$11)*IF(06_CONSTRUCTION!P4&gt;=06_CONSTRUCTION!$C$8,27_SCENARIOS!$C$30,1)</f>
        <v>2693.7844890332</v>
      </c>
      <c r="Q23" s="32" t="n">
        <f aca="false">$B$10*(1+CHOOSE(01_CONTROL_PANEL!$C$5,$C$10,$E$10,$F$10)+27_SCENARIOS!$C$29)^(06_CONSTRUCTION!Q4-02_PROJECT_INPUTS!$C$11)*IF(06_CONSTRUCTION!Q4&gt;=06_CONSTRUCTION!$C$8,27_SCENARIOS!$C$30,1)</f>
        <v>2828.47371348486</v>
      </c>
      <c r="R23" s="32" t="n">
        <f aca="false">$B$10*(1+CHOOSE(01_CONTROL_PANEL!$C$5,$C$10,$E$10,$F$10)+27_SCENARIOS!$C$29)^(06_CONSTRUCTION!R4-02_PROJECT_INPUTS!$C$11)*IF(06_CONSTRUCTION!R4&gt;=06_CONSTRUCTION!$C$8,27_SCENARIOS!$C$30,1)</f>
        <v>2969.8973991591</v>
      </c>
      <c r="S23" s="32" t="n">
        <f aca="false">$B$10*(1+CHOOSE(01_CONTROL_PANEL!$C$5,$C$10,$E$10,$F$10)+27_SCENARIOS!$C$29)^(06_CONSTRUCTION!S4-02_PROJECT_INPUTS!$C$11)*IF(06_CONSTRUCTION!S4&gt;=06_CONSTRUCTION!$C$8,27_SCENARIOS!$C$30,1)</f>
        <v>3118.39226911705</v>
      </c>
      <c r="T23" s="32" t="n">
        <f aca="false">$B$10*(1+CHOOSE(01_CONTROL_PANEL!$C$5,$C$10,$E$10,$F$10)+27_SCENARIOS!$C$29)^(06_CONSTRUCTION!T4-02_PROJECT_INPUTS!$C$11)*IF(06_CONSTRUCTION!T4&gt;=06_CONSTRUCTION!$C$8,27_SCENARIOS!$C$30,1)</f>
        <v>3274.31188257291</v>
      </c>
      <c r="U23" s="32" t="n">
        <f aca="false">$B$10*(1+CHOOSE(01_CONTROL_PANEL!$C$5,$C$10,$E$10,$F$10)+27_SCENARIOS!$C$29)^(06_CONSTRUCTION!U4-02_PROJECT_INPUTS!$C$11)*IF(06_CONSTRUCTION!U4&gt;=06_CONSTRUCTION!$C$8,27_SCENARIOS!$C$30,1)</f>
        <v>3438.02747670155</v>
      </c>
      <c r="V23" s="32" t="n">
        <f aca="false">$B$10*(1+CHOOSE(01_CONTROL_PANEL!$C$5,$C$10,$E$10,$F$10)+27_SCENARIOS!$C$29)^(06_CONSTRUCTION!V4-02_PROJECT_INPUTS!$C$11)*IF(06_CONSTRUCTION!V4&gt;=06_CONSTRUCTION!$C$8,27_SCENARIOS!$C$30,1)</f>
        <v>3609.92885053663</v>
      </c>
      <c r="W23" s="32" t="n">
        <f aca="false">$B$10*(1+CHOOSE(01_CONTROL_PANEL!$C$5,$C$10,$E$10,$F$10)+27_SCENARIOS!$C$29)^(06_CONSTRUCTION!W4-02_PROJECT_INPUTS!$C$11)*IF(06_CONSTRUCTION!W4&gt;=06_CONSTRUCTION!$C$8,27_SCENARIOS!$C$30,1)</f>
        <v>3790.42529306346</v>
      </c>
      <c r="X23" s="32" t="n">
        <f aca="false">$B$10*(1+CHOOSE(01_CONTROL_PANEL!$C$5,$C$10,$E$10,$F$10)+27_SCENARIOS!$C$29)^(06_CONSTRUCTION!X4-02_PROJECT_INPUTS!$C$11)*IF(06_CONSTRUCTION!X4&gt;=06_CONSTRUCTION!$C$8,27_SCENARIOS!$C$30,1)</f>
        <v>3979.94655771663</v>
      </c>
      <c r="Y23" s="32" t="n">
        <f aca="false">$B$10*(1+CHOOSE(01_CONTROL_PANEL!$C$5,$C$10,$E$10,$F$10)+27_SCENARIOS!$C$29)^(06_CONSTRUCTION!Y4-02_PROJECT_INPUTS!$C$11)*IF(06_CONSTRUCTION!Y4&gt;=06_CONSTRUCTION!$C$8,27_SCENARIOS!$C$30,1)</f>
        <v>4178.94388560247</v>
      </c>
      <c r="Z23" s="32" t="n">
        <f aca="false">$B$10*(1+CHOOSE(01_CONTROL_PANEL!$C$5,$C$10,$E$10,$F$10)+27_SCENARIOS!$C$29)^(06_CONSTRUCTION!Z4-02_PROJECT_INPUTS!$C$11)*IF(06_CONSTRUCTION!Z4&gt;=06_CONSTRUCTION!$C$8,27_SCENARIOS!$C$30,1)</f>
        <v>4387.89107988259</v>
      </c>
      <c r="AA23" s="32" t="n">
        <f aca="false">$B$10*(1+CHOOSE(01_CONTROL_PANEL!$C$5,$C$10,$E$10,$F$10)+27_SCENARIOS!$C$29)^(06_CONSTRUCTION!AA4-02_PROJECT_INPUTS!$C$11)*IF(06_CONSTRUCTION!AA4&gt;=06_CONSTRUCTION!$C$8,27_SCENARIOS!$C$30,1)</f>
        <v>4607.28563387672</v>
      </c>
      <c r="AB23" s="32" t="n">
        <f aca="false">$B$10*(1+CHOOSE(01_CONTROL_PANEL!$C$5,$C$10,$E$10,$F$10)+27_SCENARIOS!$C$29)^(06_CONSTRUCTION!AB4-02_PROJECT_INPUTS!$C$11)*IF(06_CONSTRUCTION!AB4&gt;=06_CONSTRUCTION!$C$8,27_SCENARIOS!$C$30,1)</f>
        <v>4837.64991557055</v>
      </c>
      <c r="AC23" s="32" t="n">
        <f aca="false">$B$10*(1+CHOOSE(01_CONTROL_PANEL!$C$5,$C$10,$E$10,$F$10)+27_SCENARIOS!$C$29)^(06_CONSTRUCTION!AC4-02_PROJECT_INPUTS!$C$11)*IF(06_CONSTRUCTION!AC4&gt;=06_CONSTRUCTION!$C$8,27_SCENARIOS!$C$30,1)</f>
        <v>5079.53241134908</v>
      </c>
      <c r="AD23" s="32" t="n">
        <f aca="false">$B$10*(1+CHOOSE(01_CONTROL_PANEL!$C$5,$C$10,$E$10,$F$10)+27_SCENARIOS!$C$29)^(06_CONSTRUCTION!AD4-02_PROJECT_INPUTS!$C$11)*IF(06_CONSTRUCTION!AD4&gt;=06_CONSTRUCTION!$C$8,27_SCENARIOS!$C$30,1)</f>
        <v>5333.50903191654</v>
      </c>
      <c r="AE23" s="32" t="n">
        <f aca="false">$B$10*(1+CHOOSE(01_CONTROL_PANEL!$C$5,$C$10,$E$10,$F$10)+27_SCENARIOS!$C$29)^(06_CONSTRUCTION!AE4-02_PROJECT_INPUTS!$C$11)*IF(06_CONSTRUCTION!AE4&gt;=06_CONSTRUCTION!$C$8,27_SCENARIOS!$C$30,1)</f>
        <v>5600.18448351236</v>
      </c>
      <c r="AF23" s="32" t="n">
        <f aca="false">$B$10*(1+CHOOSE(01_CONTROL_PANEL!$C$5,$C$10,$E$10,$F$10)+27_SCENARIOS!$C$29)^(06_CONSTRUCTION!AF4-02_PROJECT_INPUTS!$C$11)*IF(06_CONSTRUCTION!AF4&gt;=06_CONSTRUCTION!$C$8,27_SCENARIOS!$C$30,1)</f>
        <v>5880.19370768798</v>
      </c>
      <c r="AG23" s="32" t="n">
        <f aca="false">$B$10*(1+CHOOSE(01_CONTROL_PANEL!$C$5,$C$10,$E$10,$F$10)+27_SCENARIOS!$C$29)^(06_CONSTRUCTION!AG4-02_PROJECT_INPUTS!$C$11)*IF(06_CONSTRUCTION!AG4&gt;=06_CONSTRUCTION!$C$8,27_SCENARIOS!$C$30,1)</f>
        <v>6174.20339307238</v>
      </c>
      <c r="AH23" s="32" t="n">
        <f aca="false">$B$10*(1+CHOOSE(01_CONTROL_PANEL!$C$5,$C$10,$E$10,$F$10)+27_SCENARIOS!$C$29)^(06_CONSTRUCTION!AH4-02_PROJECT_INPUTS!$C$11)*IF(06_CONSTRUCTION!AH4&gt;=06_CONSTRUCTION!$C$8,27_SCENARIOS!$C$30,1)</f>
        <v>6482.913562726</v>
      </c>
      <c r="AI23" s="32" t="n">
        <f aca="false">$B$10*(1+CHOOSE(01_CONTROL_PANEL!$C$5,$C$10,$E$10,$F$10)+27_SCENARIOS!$C$29)^(06_CONSTRUCTION!AI4-02_PROJECT_INPUTS!$C$11)*IF(06_CONSTRUCTION!AI4&gt;=06_CONSTRUCTION!$C$8,27_SCENARIOS!$C$30,1)</f>
        <v>6807.0592408623</v>
      </c>
      <c r="AJ23" s="32" t="n">
        <f aca="false">$B$10*(1+CHOOSE(01_CONTROL_PANEL!$C$5,$C$10,$E$10,$F$10)+27_SCENARIOS!$C$29)^(06_CONSTRUCTION!AJ4-02_PROJECT_INPUTS!$C$11)*IF(06_CONSTRUCTION!AJ4&gt;=06_CONSTRUCTION!$C$8,27_SCENARIOS!$C$30,1)</f>
        <v>7147.41220290542</v>
      </c>
      <c r="AK23" s="32" t="n">
        <f aca="false">$B$10*(1+CHOOSE(01_CONTROL_PANEL!$C$5,$C$10,$E$10,$F$10)+27_SCENARIOS!$C$29)^(06_CONSTRUCTION!AK4-02_PROJECT_INPUTS!$C$11)*IF(06_CONSTRUCTION!AK4&gt;=06_CONSTRUCTION!$C$8,27_SCENARIOS!$C$30,1)</f>
        <v>7504.78281305069</v>
      </c>
      <c r="AL23" s="32" t="n">
        <f aca="false">$B$10*(1+CHOOSE(01_CONTROL_PANEL!$C$5,$C$10,$E$10,$F$10)+27_SCENARIOS!$C$29)^(06_CONSTRUCTION!AL4-02_PROJECT_INPUTS!$C$11)*IF(06_CONSTRUCTION!AL4&gt;=06_CONSTRUCTION!$C$8,27_SCENARIOS!$C$30,1)</f>
        <v>7880.02195370322</v>
      </c>
      <c r="AM23" s="32" t="n">
        <f aca="false">$B$10*(1+CHOOSE(01_CONTROL_PANEL!$C$5,$C$10,$E$10,$F$10)+27_SCENARIOS!$C$29)^(06_CONSTRUCTION!AM4-02_PROJECT_INPUTS!$C$11)*IF(06_CONSTRUCTION!AM4&gt;=06_CONSTRUCTION!$C$8,27_SCENARIOS!$C$30,1)</f>
        <v>8274.02305138839</v>
      </c>
      <c r="AN23" s="32" t="n">
        <f aca="false">$B$10*(1+CHOOSE(01_CONTROL_PANEL!$C$5,$C$10,$E$10,$F$10)+27_SCENARIOS!$C$29)^(06_CONSTRUCTION!AN4-02_PROJECT_INPUTS!$C$11)*IF(06_CONSTRUCTION!AN4&gt;=06_CONSTRUCTION!$C$8,27_SCENARIOS!$C$30,1)</f>
        <v>8687.7242039578</v>
      </c>
      <c r="AO23" s="32" t="n">
        <f aca="false">$B$10*(1+CHOOSE(01_CONTROL_PANEL!$C$5,$C$10,$E$10,$F$10)+27_SCENARIOS!$C$29)^(06_CONSTRUCTION!AO4-02_PROJECT_INPUTS!$C$11)*IF(06_CONSTRUCTION!AO4&gt;=06_CONSTRUCTION!$C$8,27_SCENARIOS!$C$30,1)</f>
        <v>9122.1104141557</v>
      </c>
      <c r="AP23" s="32" t="n">
        <f aca="false">$B$10*(1+CHOOSE(01_CONTROL_PANEL!$C$5,$C$10,$E$10,$F$10)+27_SCENARIOS!$C$29)^(06_CONSTRUCTION!AP4-02_PROJECT_INPUTS!$C$11)*IF(06_CONSTRUCTION!AP4&gt;=06_CONSTRUCTION!$C$8,27_SCENARIOS!$C$30,1)</f>
        <v>9578.21593486348</v>
      </c>
      <c r="AQ23" s="32" t="n">
        <f aca="false">$B$10*(1+CHOOSE(01_CONTROL_PANEL!$C$5,$C$10,$E$10,$F$10)+27_SCENARIOS!$C$29)^(06_CONSTRUCTION!AQ4-02_PROJECT_INPUTS!$C$11)*IF(06_CONSTRUCTION!AQ4&gt;=06_CONSTRUCTION!$C$8,27_SCENARIOS!$C$30,1)</f>
        <v>10057.1267316067</v>
      </c>
      <c r="AR23" s="32" t="n">
        <f aca="false">$B$10*(1+CHOOSE(01_CONTROL_PANEL!$C$5,$C$10,$E$10,$F$10)+27_SCENARIOS!$C$29)^(06_CONSTRUCTION!AR4-02_PROJECT_INPUTS!$C$11)*IF(06_CONSTRUCTION!AR4&gt;=06_CONSTRUCTION!$C$8,27_SCENARIOS!$C$30,1)</f>
        <v>10559.983068187</v>
      </c>
    </row>
    <row r="24" customFormat="false" ht="15" hidden="false" customHeight="false" outlineLevel="0" collapsed="false">
      <c r="A24" s="8" t="s">
        <v>359</v>
      </c>
      <c r="B24" s="8" t="s">
        <v>181</v>
      </c>
      <c r="E24" s="32" t="n">
        <f aca="false">$B$11*(1+CHOOSE(01_CONTROL_PANEL!$C$5,$C$11,$E$11,$F$11)+27_SCENARIOS!$C$29)^(06_CONSTRUCTION!E4-02_PROJECT_INPUTS!$C$11)*IF(06_CONSTRUCTION!E4&gt;=06_CONSTRUCTION!$C$8,27_SCENARIOS!$C$30,1)</f>
        <v>1166</v>
      </c>
      <c r="F24" s="32" t="n">
        <f aca="false">$B$11*(1+CHOOSE(01_CONTROL_PANEL!$C$5,$C$11,$E$11,$F$11)+27_SCENARIOS!$C$29)^(06_CONSTRUCTION!F4-02_PROJECT_INPUTS!$C$11)*IF(06_CONSTRUCTION!F4&gt;=06_CONSTRUCTION!$C$8,27_SCENARIOS!$C$30,1)</f>
        <v>1235.96</v>
      </c>
      <c r="G24" s="32" t="n">
        <f aca="false">$B$11*(1+CHOOSE(01_CONTROL_PANEL!$C$5,$C$11,$E$11,$F$11)+27_SCENARIOS!$C$29)^(06_CONSTRUCTION!G4-02_PROJECT_INPUTS!$C$11)*IF(06_CONSTRUCTION!G4&gt;=06_CONSTRUCTION!$C$8,27_SCENARIOS!$C$30,1)</f>
        <v>1310.1176</v>
      </c>
      <c r="H24" s="32" t="n">
        <f aca="false">$B$11*(1+CHOOSE(01_CONTROL_PANEL!$C$5,$C$11,$E$11,$F$11)+27_SCENARIOS!$C$29)^(06_CONSTRUCTION!H4-02_PROJECT_INPUTS!$C$11)*IF(06_CONSTRUCTION!H4&gt;=06_CONSTRUCTION!$C$8,27_SCENARIOS!$C$30,1)</f>
        <v>1388.724656</v>
      </c>
      <c r="I24" s="32" t="n">
        <f aca="false">$B$11*(1+CHOOSE(01_CONTROL_PANEL!$C$5,$C$11,$E$11,$F$11)+27_SCENARIOS!$C$29)^(06_CONSTRUCTION!I4-02_PROJECT_INPUTS!$C$11)*IF(06_CONSTRUCTION!I4&gt;=06_CONSTRUCTION!$C$8,27_SCENARIOS!$C$30,1)</f>
        <v>1472.04813536</v>
      </c>
      <c r="J24" s="32" t="n">
        <f aca="false">$B$11*(1+CHOOSE(01_CONTROL_PANEL!$C$5,$C$11,$E$11,$F$11)+27_SCENARIOS!$C$29)^(06_CONSTRUCTION!J4-02_PROJECT_INPUTS!$C$11)*IF(06_CONSTRUCTION!J4&gt;=06_CONSTRUCTION!$C$8,27_SCENARIOS!$C$30,1)</f>
        <v>1560.3710234816</v>
      </c>
      <c r="K24" s="32" t="n">
        <f aca="false">$B$11*(1+CHOOSE(01_CONTROL_PANEL!$C$5,$C$11,$E$11,$F$11)+27_SCENARIOS!$C$29)^(06_CONSTRUCTION!K4-02_PROJECT_INPUTS!$C$11)*IF(06_CONSTRUCTION!K4&gt;=06_CONSTRUCTION!$C$8,27_SCENARIOS!$C$30,1)</f>
        <v>1653.9932848905</v>
      </c>
      <c r="L24" s="32" t="n">
        <f aca="false">$B$11*(1+CHOOSE(01_CONTROL_PANEL!$C$5,$C$11,$E$11,$F$11)+27_SCENARIOS!$C$29)^(06_CONSTRUCTION!L4-02_PROJECT_INPUTS!$C$11)*IF(06_CONSTRUCTION!L4&gt;=06_CONSTRUCTION!$C$8,27_SCENARIOS!$C$30,1)</f>
        <v>1753.23288198393</v>
      </c>
      <c r="M24" s="32" t="n">
        <f aca="false">$B$11*(1+CHOOSE(01_CONTROL_PANEL!$C$5,$C$11,$E$11,$F$11)+27_SCENARIOS!$C$29)^(06_CONSTRUCTION!M4-02_PROJECT_INPUTS!$C$11)*IF(06_CONSTRUCTION!M4&gt;=06_CONSTRUCTION!$C$8,27_SCENARIOS!$C$30,1)</f>
        <v>1858.42685490296</v>
      </c>
      <c r="N24" s="32" t="n">
        <f aca="false">$B$11*(1+CHOOSE(01_CONTROL_PANEL!$C$5,$C$11,$E$11,$F$11)+27_SCENARIOS!$C$29)^(06_CONSTRUCTION!N4-02_PROJECT_INPUTS!$C$11)*IF(06_CONSTRUCTION!N4&gt;=06_CONSTRUCTION!$C$8,27_SCENARIOS!$C$30,1)</f>
        <v>1969.93246619714</v>
      </c>
      <c r="O24" s="32" t="n">
        <f aca="false">$B$11*(1+CHOOSE(01_CONTROL_PANEL!$C$5,$C$11,$E$11,$F$11)+27_SCENARIOS!$C$29)^(06_CONSTRUCTION!O4-02_PROJECT_INPUTS!$C$11)*IF(06_CONSTRUCTION!O4&gt;=06_CONSTRUCTION!$C$8,27_SCENARIOS!$C$30,1)</f>
        <v>2088.12841416897</v>
      </c>
      <c r="P24" s="32" t="n">
        <f aca="false">$B$11*(1+CHOOSE(01_CONTROL_PANEL!$C$5,$C$11,$E$11,$F$11)+27_SCENARIOS!$C$29)^(06_CONSTRUCTION!P4-02_PROJECT_INPUTS!$C$11)*IF(06_CONSTRUCTION!P4&gt;=06_CONSTRUCTION!$C$8,27_SCENARIOS!$C$30,1)</f>
        <v>2213.41611901911</v>
      </c>
      <c r="Q24" s="32" t="n">
        <f aca="false">$B$11*(1+CHOOSE(01_CONTROL_PANEL!$C$5,$C$11,$E$11,$F$11)+27_SCENARIOS!$C$29)^(06_CONSTRUCTION!Q4-02_PROJECT_INPUTS!$C$11)*IF(06_CONSTRUCTION!Q4&gt;=06_CONSTRUCTION!$C$8,27_SCENARIOS!$C$30,1)</f>
        <v>2346.22108616025</v>
      </c>
      <c r="R24" s="32" t="n">
        <f aca="false">$B$11*(1+CHOOSE(01_CONTROL_PANEL!$C$5,$C$11,$E$11,$F$11)+27_SCENARIOS!$C$29)^(06_CONSTRUCTION!R4-02_PROJECT_INPUTS!$C$11)*IF(06_CONSTRUCTION!R4&gt;=06_CONSTRUCTION!$C$8,27_SCENARIOS!$C$30,1)</f>
        <v>2486.99435132987</v>
      </c>
      <c r="S24" s="32" t="n">
        <f aca="false">$B$11*(1+CHOOSE(01_CONTROL_PANEL!$C$5,$C$11,$E$11,$F$11)+27_SCENARIOS!$C$29)^(06_CONSTRUCTION!S4-02_PROJECT_INPUTS!$C$11)*IF(06_CONSTRUCTION!S4&gt;=06_CONSTRUCTION!$C$8,27_SCENARIOS!$C$30,1)</f>
        <v>2636.21401240966</v>
      </c>
      <c r="T24" s="32" t="n">
        <f aca="false">$B$11*(1+CHOOSE(01_CONTROL_PANEL!$C$5,$C$11,$E$11,$F$11)+27_SCENARIOS!$C$29)^(06_CONSTRUCTION!T4-02_PROJECT_INPUTS!$C$11)*IF(06_CONSTRUCTION!T4&gt;=06_CONSTRUCTION!$C$8,27_SCENARIOS!$C$30,1)</f>
        <v>2794.38685315424</v>
      </c>
      <c r="U24" s="32" t="n">
        <f aca="false">$B$11*(1+CHOOSE(01_CONTROL_PANEL!$C$5,$C$11,$E$11,$F$11)+27_SCENARIOS!$C$29)^(06_CONSTRUCTION!U4-02_PROJECT_INPUTS!$C$11)*IF(06_CONSTRUCTION!U4&gt;=06_CONSTRUCTION!$C$8,27_SCENARIOS!$C$30,1)</f>
        <v>2962.0500643435</v>
      </c>
      <c r="V24" s="32" t="n">
        <f aca="false">$B$11*(1+CHOOSE(01_CONTROL_PANEL!$C$5,$C$11,$E$11,$F$11)+27_SCENARIOS!$C$29)^(06_CONSTRUCTION!V4-02_PROJECT_INPUTS!$C$11)*IF(06_CONSTRUCTION!V4&gt;=06_CONSTRUCTION!$C$8,27_SCENARIOS!$C$30,1)</f>
        <v>3139.77306820411</v>
      </c>
      <c r="W24" s="32" t="n">
        <f aca="false">$B$11*(1+CHOOSE(01_CONTROL_PANEL!$C$5,$C$11,$E$11,$F$11)+27_SCENARIOS!$C$29)^(06_CONSTRUCTION!W4-02_PROJECT_INPUTS!$C$11)*IF(06_CONSTRUCTION!W4&gt;=06_CONSTRUCTION!$C$8,27_SCENARIOS!$C$30,1)</f>
        <v>3328.15945229635</v>
      </c>
      <c r="X24" s="32" t="n">
        <f aca="false">$B$11*(1+CHOOSE(01_CONTROL_PANEL!$C$5,$C$11,$E$11,$F$11)+27_SCENARIOS!$C$29)^(06_CONSTRUCTION!X4-02_PROJECT_INPUTS!$C$11)*IF(06_CONSTRUCTION!X4&gt;=06_CONSTRUCTION!$C$8,27_SCENARIOS!$C$30,1)</f>
        <v>3527.84901943413</v>
      </c>
      <c r="Y24" s="32" t="n">
        <f aca="false">$B$11*(1+CHOOSE(01_CONTROL_PANEL!$C$5,$C$11,$E$11,$F$11)+27_SCENARIOS!$C$29)^(06_CONSTRUCTION!Y4-02_PROJECT_INPUTS!$C$11)*IF(06_CONSTRUCTION!Y4&gt;=06_CONSTRUCTION!$C$8,27_SCENARIOS!$C$30,1)</f>
        <v>3739.51996060018</v>
      </c>
      <c r="Z24" s="32" t="n">
        <f aca="false">$B$11*(1+CHOOSE(01_CONTROL_PANEL!$C$5,$C$11,$E$11,$F$11)+27_SCENARIOS!$C$29)^(06_CONSTRUCTION!Z4-02_PROJECT_INPUTS!$C$11)*IF(06_CONSTRUCTION!Z4&gt;=06_CONSTRUCTION!$C$8,27_SCENARIOS!$C$30,1)</f>
        <v>3963.89115823619</v>
      </c>
      <c r="AA24" s="32" t="n">
        <f aca="false">$B$11*(1+CHOOSE(01_CONTROL_PANEL!$C$5,$C$11,$E$11,$F$11)+27_SCENARIOS!$C$29)^(06_CONSTRUCTION!AA4-02_PROJECT_INPUTS!$C$11)*IF(06_CONSTRUCTION!AA4&gt;=06_CONSTRUCTION!$C$8,27_SCENARIOS!$C$30,1)</f>
        <v>4201.72462773036</v>
      </c>
      <c r="AB24" s="32" t="n">
        <f aca="false">$B$11*(1+CHOOSE(01_CONTROL_PANEL!$C$5,$C$11,$E$11,$F$11)+27_SCENARIOS!$C$29)^(06_CONSTRUCTION!AB4-02_PROJECT_INPUTS!$C$11)*IF(06_CONSTRUCTION!AB4&gt;=06_CONSTRUCTION!$C$8,27_SCENARIOS!$C$30,1)</f>
        <v>4453.82810539419</v>
      </c>
      <c r="AC24" s="32" t="n">
        <f aca="false">$B$11*(1+CHOOSE(01_CONTROL_PANEL!$C$5,$C$11,$E$11,$F$11)+27_SCENARIOS!$C$29)^(06_CONSTRUCTION!AC4-02_PROJECT_INPUTS!$C$11)*IF(06_CONSTRUCTION!AC4&gt;=06_CONSTRUCTION!$C$8,27_SCENARIOS!$C$30,1)</f>
        <v>4721.05779171784</v>
      </c>
      <c r="AD24" s="32" t="n">
        <f aca="false">$B$11*(1+CHOOSE(01_CONTROL_PANEL!$C$5,$C$11,$E$11,$F$11)+27_SCENARIOS!$C$29)^(06_CONSTRUCTION!AD4-02_PROJECT_INPUTS!$C$11)*IF(06_CONSTRUCTION!AD4&gt;=06_CONSTRUCTION!$C$8,27_SCENARIOS!$C$30,1)</f>
        <v>5004.32125922091</v>
      </c>
      <c r="AE24" s="32" t="n">
        <f aca="false">$B$11*(1+CHOOSE(01_CONTROL_PANEL!$C$5,$C$11,$E$11,$F$11)+27_SCENARIOS!$C$29)^(06_CONSTRUCTION!AE4-02_PROJECT_INPUTS!$C$11)*IF(06_CONSTRUCTION!AE4&gt;=06_CONSTRUCTION!$C$8,27_SCENARIOS!$C$30,1)</f>
        <v>5304.58053477416</v>
      </c>
      <c r="AF24" s="32" t="n">
        <f aca="false">$B$11*(1+CHOOSE(01_CONTROL_PANEL!$C$5,$C$11,$E$11,$F$11)+27_SCENARIOS!$C$29)^(06_CONSTRUCTION!AF4-02_PROJECT_INPUTS!$C$11)*IF(06_CONSTRUCTION!AF4&gt;=06_CONSTRUCTION!$C$8,27_SCENARIOS!$C$30,1)</f>
        <v>5622.85536686061</v>
      </c>
      <c r="AG24" s="32" t="n">
        <f aca="false">$B$11*(1+CHOOSE(01_CONTROL_PANEL!$C$5,$C$11,$E$11,$F$11)+27_SCENARIOS!$C$29)^(06_CONSTRUCTION!AG4-02_PROJECT_INPUTS!$C$11)*IF(06_CONSTRUCTION!AG4&gt;=06_CONSTRUCTION!$C$8,27_SCENARIOS!$C$30,1)</f>
        <v>5960.22668887225</v>
      </c>
      <c r="AH24" s="32" t="n">
        <f aca="false">$B$11*(1+CHOOSE(01_CONTROL_PANEL!$C$5,$C$11,$E$11,$F$11)+27_SCENARIOS!$C$29)^(06_CONSTRUCTION!AH4-02_PROJECT_INPUTS!$C$11)*IF(06_CONSTRUCTION!AH4&gt;=06_CONSTRUCTION!$C$8,27_SCENARIOS!$C$30,1)</f>
        <v>6317.84029020459</v>
      </c>
      <c r="AI24" s="32" t="n">
        <f aca="false">$B$11*(1+CHOOSE(01_CONTROL_PANEL!$C$5,$C$11,$E$11,$F$11)+27_SCENARIOS!$C$29)^(06_CONSTRUCTION!AI4-02_PROJECT_INPUTS!$C$11)*IF(06_CONSTRUCTION!AI4&gt;=06_CONSTRUCTION!$C$8,27_SCENARIOS!$C$30,1)</f>
        <v>6696.91070761686</v>
      </c>
      <c r="AJ24" s="32" t="n">
        <f aca="false">$B$11*(1+CHOOSE(01_CONTROL_PANEL!$C$5,$C$11,$E$11,$F$11)+27_SCENARIOS!$C$29)^(06_CONSTRUCTION!AJ4-02_PROJECT_INPUTS!$C$11)*IF(06_CONSTRUCTION!AJ4&gt;=06_CONSTRUCTION!$C$8,27_SCENARIOS!$C$30,1)</f>
        <v>7098.72535007387</v>
      </c>
      <c r="AK24" s="32" t="n">
        <f aca="false">$B$11*(1+CHOOSE(01_CONTROL_PANEL!$C$5,$C$11,$E$11,$F$11)+27_SCENARIOS!$C$29)^(06_CONSTRUCTION!AK4-02_PROJECT_INPUTS!$C$11)*IF(06_CONSTRUCTION!AK4&gt;=06_CONSTRUCTION!$C$8,27_SCENARIOS!$C$30,1)</f>
        <v>7524.64887107831</v>
      </c>
      <c r="AL24" s="32" t="n">
        <f aca="false">$B$11*(1+CHOOSE(01_CONTROL_PANEL!$C$5,$C$11,$E$11,$F$11)+27_SCENARIOS!$C$29)^(06_CONSTRUCTION!AL4-02_PROJECT_INPUTS!$C$11)*IF(06_CONSTRUCTION!AL4&gt;=06_CONSTRUCTION!$C$8,27_SCENARIOS!$C$30,1)</f>
        <v>7976.127803343</v>
      </c>
      <c r="AM24" s="32" t="n">
        <f aca="false">$B$11*(1+CHOOSE(01_CONTROL_PANEL!$C$5,$C$11,$E$11,$F$11)+27_SCENARIOS!$C$29)^(06_CONSTRUCTION!AM4-02_PROJECT_INPUTS!$C$11)*IF(06_CONSTRUCTION!AM4&gt;=06_CONSTRUCTION!$C$8,27_SCENARIOS!$C$30,1)</f>
        <v>8454.69547154358</v>
      </c>
      <c r="AN24" s="32" t="n">
        <f aca="false">$B$11*(1+CHOOSE(01_CONTROL_PANEL!$C$5,$C$11,$E$11,$F$11)+27_SCENARIOS!$C$29)^(06_CONSTRUCTION!AN4-02_PROJECT_INPUTS!$C$11)*IF(06_CONSTRUCTION!AN4&gt;=06_CONSTRUCTION!$C$8,27_SCENARIOS!$C$30,1)</f>
        <v>8961.9771998362</v>
      </c>
      <c r="AO24" s="32" t="n">
        <f aca="false">$B$11*(1+CHOOSE(01_CONTROL_PANEL!$C$5,$C$11,$E$11,$F$11)+27_SCENARIOS!$C$29)^(06_CONSTRUCTION!AO4-02_PROJECT_INPUTS!$C$11)*IF(06_CONSTRUCTION!AO4&gt;=06_CONSTRUCTION!$C$8,27_SCENARIOS!$C$30,1)</f>
        <v>9499.69583182637</v>
      </c>
      <c r="AP24" s="32" t="n">
        <f aca="false">$B$11*(1+CHOOSE(01_CONTROL_PANEL!$C$5,$C$11,$E$11,$F$11)+27_SCENARIOS!$C$29)^(06_CONSTRUCTION!AP4-02_PROJECT_INPUTS!$C$11)*IF(06_CONSTRUCTION!AP4&gt;=06_CONSTRUCTION!$C$8,27_SCENARIOS!$C$30,1)</f>
        <v>10069.677581736</v>
      </c>
      <c r="AQ24" s="32" t="n">
        <f aca="false">$B$11*(1+CHOOSE(01_CONTROL_PANEL!$C$5,$C$11,$E$11,$F$11)+27_SCENARIOS!$C$29)^(06_CONSTRUCTION!AQ4-02_PROJECT_INPUTS!$C$11)*IF(06_CONSTRUCTION!AQ4&gt;=06_CONSTRUCTION!$C$8,27_SCENARIOS!$C$30,1)</f>
        <v>10673.8582366401</v>
      </c>
      <c r="AR24" s="32" t="n">
        <f aca="false">$B$11*(1+CHOOSE(01_CONTROL_PANEL!$C$5,$C$11,$E$11,$F$11)+27_SCENARIOS!$C$29)^(06_CONSTRUCTION!AR4-02_PROJECT_INPUTS!$C$11)*IF(06_CONSTRUCTION!AR4&gt;=06_CONSTRUCTION!$C$8,27_SCENARIOS!$C$30,1)</f>
        <v>11314.2897308385</v>
      </c>
    </row>
    <row r="25" customFormat="false" ht="15" hidden="false" customHeight="false" outlineLevel="0" collapsed="false">
      <c r="A25" s="8" t="s">
        <v>360</v>
      </c>
      <c r="B25" s="8" t="s">
        <v>181</v>
      </c>
      <c r="E25" s="32" t="n">
        <f aca="false">$B$12*(1+CHOOSE(01_CONTROL_PANEL!$C$5,$C$12,$E$12,$F$12)+27_SCENARIOS!$C$29)^(06_CONSTRUCTION!E4-02_PROJECT_INPUTS!$C$11)*IF(06_CONSTRUCTION!E4&gt;=06_CONSTRUCTION!$C$8,27_SCENARIOS!$C$30,1)</f>
        <v>275</v>
      </c>
      <c r="F25" s="32" t="n">
        <f aca="false">$B$12*(1+CHOOSE(01_CONTROL_PANEL!$C$5,$C$12,$E$12,$F$12)+27_SCENARIOS!$C$29)^(06_CONSTRUCTION!F4-02_PROJECT_INPUTS!$C$11)*IF(06_CONSTRUCTION!F4&gt;=06_CONSTRUCTION!$C$8,27_SCENARIOS!$C$30,1)</f>
        <v>302.5</v>
      </c>
      <c r="G25" s="32" t="n">
        <f aca="false">$B$12*(1+CHOOSE(01_CONTROL_PANEL!$C$5,$C$12,$E$12,$F$12)+27_SCENARIOS!$C$29)^(06_CONSTRUCTION!G4-02_PROJECT_INPUTS!$C$11)*IF(06_CONSTRUCTION!G4&gt;=06_CONSTRUCTION!$C$8,27_SCENARIOS!$C$30,1)</f>
        <v>332.75</v>
      </c>
      <c r="H25" s="32" t="n">
        <f aca="false">$B$12*(1+CHOOSE(01_CONTROL_PANEL!$C$5,$C$12,$E$12,$F$12)+27_SCENARIOS!$C$29)^(06_CONSTRUCTION!H4-02_PROJECT_INPUTS!$C$11)*IF(06_CONSTRUCTION!H4&gt;=06_CONSTRUCTION!$C$8,27_SCENARIOS!$C$30,1)</f>
        <v>366.025</v>
      </c>
      <c r="I25" s="32" t="n">
        <f aca="false">$B$12*(1+CHOOSE(01_CONTROL_PANEL!$C$5,$C$12,$E$12,$F$12)+27_SCENARIOS!$C$29)^(06_CONSTRUCTION!I4-02_PROJECT_INPUTS!$C$11)*IF(06_CONSTRUCTION!I4&gt;=06_CONSTRUCTION!$C$8,27_SCENARIOS!$C$30,1)</f>
        <v>402.6275</v>
      </c>
      <c r="J25" s="32" t="n">
        <f aca="false">$B$12*(1+CHOOSE(01_CONTROL_PANEL!$C$5,$C$12,$E$12,$F$12)+27_SCENARIOS!$C$29)^(06_CONSTRUCTION!J4-02_PROJECT_INPUTS!$C$11)*IF(06_CONSTRUCTION!J4&gt;=06_CONSTRUCTION!$C$8,27_SCENARIOS!$C$30,1)</f>
        <v>442.89025</v>
      </c>
      <c r="K25" s="32" t="n">
        <f aca="false">$B$12*(1+CHOOSE(01_CONTROL_PANEL!$C$5,$C$12,$E$12,$F$12)+27_SCENARIOS!$C$29)^(06_CONSTRUCTION!K4-02_PROJECT_INPUTS!$C$11)*IF(06_CONSTRUCTION!K4&gt;=06_CONSTRUCTION!$C$8,27_SCENARIOS!$C$30,1)</f>
        <v>487.179275</v>
      </c>
      <c r="L25" s="32" t="n">
        <f aca="false">$B$12*(1+CHOOSE(01_CONTROL_PANEL!$C$5,$C$12,$E$12,$F$12)+27_SCENARIOS!$C$29)^(06_CONSTRUCTION!L4-02_PROJECT_INPUTS!$C$11)*IF(06_CONSTRUCTION!L4&gt;=06_CONSTRUCTION!$C$8,27_SCENARIOS!$C$30,1)</f>
        <v>535.8972025</v>
      </c>
      <c r="M25" s="32" t="n">
        <f aca="false">$B$12*(1+CHOOSE(01_CONTROL_PANEL!$C$5,$C$12,$E$12,$F$12)+27_SCENARIOS!$C$29)^(06_CONSTRUCTION!M4-02_PROJECT_INPUTS!$C$11)*IF(06_CONSTRUCTION!M4&gt;=06_CONSTRUCTION!$C$8,27_SCENARIOS!$C$30,1)</f>
        <v>589.486922750001</v>
      </c>
      <c r="N25" s="32" t="n">
        <f aca="false">$B$12*(1+CHOOSE(01_CONTROL_PANEL!$C$5,$C$12,$E$12,$F$12)+27_SCENARIOS!$C$29)^(06_CONSTRUCTION!N4-02_PROJECT_INPUTS!$C$11)*IF(06_CONSTRUCTION!N4&gt;=06_CONSTRUCTION!$C$8,27_SCENARIOS!$C$30,1)</f>
        <v>648.435615025001</v>
      </c>
      <c r="O25" s="32" t="n">
        <f aca="false">$B$12*(1+CHOOSE(01_CONTROL_PANEL!$C$5,$C$12,$E$12,$F$12)+27_SCENARIOS!$C$29)^(06_CONSTRUCTION!O4-02_PROJECT_INPUTS!$C$11)*IF(06_CONSTRUCTION!O4&gt;=06_CONSTRUCTION!$C$8,27_SCENARIOS!$C$30,1)</f>
        <v>713.279176527501</v>
      </c>
      <c r="P25" s="32" t="n">
        <f aca="false">$B$12*(1+CHOOSE(01_CONTROL_PANEL!$C$5,$C$12,$E$12,$F$12)+27_SCENARIOS!$C$29)^(06_CONSTRUCTION!P4-02_PROJECT_INPUTS!$C$11)*IF(06_CONSTRUCTION!P4&gt;=06_CONSTRUCTION!$C$8,27_SCENARIOS!$C$30,1)</f>
        <v>784.607094180251</v>
      </c>
      <c r="Q25" s="32" t="n">
        <f aca="false">$B$12*(1+CHOOSE(01_CONTROL_PANEL!$C$5,$C$12,$E$12,$F$12)+27_SCENARIOS!$C$29)^(06_CONSTRUCTION!Q4-02_PROJECT_INPUTS!$C$11)*IF(06_CONSTRUCTION!Q4&gt;=06_CONSTRUCTION!$C$8,27_SCENARIOS!$C$30,1)</f>
        <v>863.067803598276</v>
      </c>
      <c r="R25" s="32" t="n">
        <f aca="false">$B$12*(1+CHOOSE(01_CONTROL_PANEL!$C$5,$C$12,$E$12,$F$12)+27_SCENARIOS!$C$29)^(06_CONSTRUCTION!R4-02_PROJECT_INPUTS!$C$11)*IF(06_CONSTRUCTION!R4&gt;=06_CONSTRUCTION!$C$8,27_SCENARIOS!$C$30,1)</f>
        <v>949.374583958104</v>
      </c>
      <c r="S25" s="32" t="n">
        <f aca="false">$B$12*(1+CHOOSE(01_CONTROL_PANEL!$C$5,$C$12,$E$12,$F$12)+27_SCENARIOS!$C$29)^(06_CONSTRUCTION!S4-02_PROJECT_INPUTS!$C$11)*IF(06_CONSTRUCTION!S4&gt;=06_CONSTRUCTION!$C$8,27_SCENARIOS!$C$30,1)</f>
        <v>1044.31204235391</v>
      </c>
      <c r="T25" s="32" t="n">
        <f aca="false">$B$12*(1+CHOOSE(01_CONTROL_PANEL!$C$5,$C$12,$E$12,$F$12)+27_SCENARIOS!$C$29)^(06_CONSTRUCTION!T4-02_PROJECT_INPUTS!$C$11)*IF(06_CONSTRUCTION!T4&gt;=06_CONSTRUCTION!$C$8,27_SCENARIOS!$C$30,1)</f>
        <v>1148.74324658931</v>
      </c>
      <c r="U25" s="32" t="n">
        <f aca="false">$B$12*(1+CHOOSE(01_CONTROL_PANEL!$C$5,$C$12,$E$12,$F$12)+27_SCENARIOS!$C$29)^(06_CONSTRUCTION!U4-02_PROJECT_INPUTS!$C$11)*IF(06_CONSTRUCTION!U4&gt;=06_CONSTRUCTION!$C$8,27_SCENARIOS!$C$30,1)</f>
        <v>1263.61757124824</v>
      </c>
      <c r="V25" s="32" t="n">
        <f aca="false">$B$12*(1+CHOOSE(01_CONTROL_PANEL!$C$5,$C$12,$E$12,$F$12)+27_SCENARIOS!$C$29)^(06_CONSTRUCTION!V4-02_PROJECT_INPUTS!$C$11)*IF(06_CONSTRUCTION!V4&gt;=06_CONSTRUCTION!$C$8,27_SCENARIOS!$C$30,1)</f>
        <v>1389.97932837306</v>
      </c>
      <c r="W25" s="32" t="n">
        <f aca="false">$B$12*(1+CHOOSE(01_CONTROL_PANEL!$C$5,$C$12,$E$12,$F$12)+27_SCENARIOS!$C$29)^(06_CONSTRUCTION!W4-02_PROJECT_INPUTS!$C$11)*IF(06_CONSTRUCTION!W4&gt;=06_CONSTRUCTION!$C$8,27_SCENARIOS!$C$30,1)</f>
        <v>1528.97726121037</v>
      </c>
      <c r="X25" s="32" t="n">
        <f aca="false">$B$12*(1+CHOOSE(01_CONTROL_PANEL!$C$5,$C$12,$E$12,$F$12)+27_SCENARIOS!$C$29)^(06_CONSTRUCTION!X4-02_PROJECT_INPUTS!$C$11)*IF(06_CONSTRUCTION!X4&gt;=06_CONSTRUCTION!$C$8,27_SCENARIOS!$C$30,1)</f>
        <v>1681.8749873314</v>
      </c>
      <c r="Y25" s="32" t="n">
        <f aca="false">$B$12*(1+CHOOSE(01_CONTROL_PANEL!$C$5,$C$12,$E$12,$F$12)+27_SCENARIOS!$C$29)^(06_CONSTRUCTION!Y4-02_PROJECT_INPUTS!$C$11)*IF(06_CONSTRUCTION!Y4&gt;=06_CONSTRUCTION!$C$8,27_SCENARIOS!$C$30,1)</f>
        <v>1850.06248606454</v>
      </c>
      <c r="Z25" s="32" t="n">
        <f aca="false">$B$12*(1+CHOOSE(01_CONTROL_PANEL!$C$5,$C$12,$E$12,$F$12)+27_SCENARIOS!$C$29)^(06_CONSTRUCTION!Z4-02_PROJECT_INPUTS!$C$11)*IF(06_CONSTRUCTION!Z4&gt;=06_CONSTRUCTION!$C$8,27_SCENARIOS!$C$30,1)</f>
        <v>2035.068734671</v>
      </c>
      <c r="AA25" s="32" t="n">
        <f aca="false">$B$12*(1+CHOOSE(01_CONTROL_PANEL!$C$5,$C$12,$E$12,$F$12)+27_SCENARIOS!$C$29)^(06_CONSTRUCTION!AA4-02_PROJECT_INPUTS!$C$11)*IF(06_CONSTRUCTION!AA4&gt;=06_CONSTRUCTION!$C$8,27_SCENARIOS!$C$30,1)</f>
        <v>2238.5756081381</v>
      </c>
      <c r="AB25" s="32" t="n">
        <f aca="false">$B$12*(1+CHOOSE(01_CONTROL_PANEL!$C$5,$C$12,$E$12,$F$12)+27_SCENARIOS!$C$29)^(06_CONSTRUCTION!AB4-02_PROJECT_INPUTS!$C$11)*IF(06_CONSTRUCTION!AB4&gt;=06_CONSTRUCTION!$C$8,27_SCENARIOS!$C$30,1)</f>
        <v>2462.43316895191</v>
      </c>
      <c r="AC25" s="32" t="n">
        <f aca="false">$B$12*(1+CHOOSE(01_CONTROL_PANEL!$C$5,$C$12,$E$12,$F$12)+27_SCENARIOS!$C$29)^(06_CONSTRUCTION!AC4-02_PROJECT_INPUTS!$C$11)*IF(06_CONSTRUCTION!AC4&gt;=06_CONSTRUCTION!$C$8,27_SCENARIOS!$C$30,1)</f>
        <v>2708.6764858471</v>
      </c>
      <c r="AD25" s="32" t="n">
        <f aca="false">$B$12*(1+CHOOSE(01_CONTROL_PANEL!$C$5,$C$12,$E$12,$F$12)+27_SCENARIOS!$C$29)^(06_CONSTRUCTION!AD4-02_PROJECT_INPUTS!$C$11)*IF(06_CONSTRUCTION!AD4&gt;=06_CONSTRUCTION!$C$8,27_SCENARIOS!$C$30,1)</f>
        <v>2979.54413443181</v>
      </c>
      <c r="AE25" s="32" t="n">
        <f aca="false">$B$12*(1+CHOOSE(01_CONTROL_PANEL!$C$5,$C$12,$E$12,$F$12)+27_SCENARIOS!$C$29)^(06_CONSTRUCTION!AE4-02_PROJECT_INPUTS!$C$11)*IF(06_CONSTRUCTION!AE4&gt;=06_CONSTRUCTION!$C$8,27_SCENARIOS!$C$30,1)</f>
        <v>3277.49854787499</v>
      </c>
      <c r="AF25" s="32" t="n">
        <f aca="false">$B$12*(1+CHOOSE(01_CONTROL_PANEL!$C$5,$C$12,$E$12,$F$12)+27_SCENARIOS!$C$29)^(06_CONSTRUCTION!AF4-02_PROJECT_INPUTS!$C$11)*IF(06_CONSTRUCTION!AF4&gt;=06_CONSTRUCTION!$C$8,27_SCENARIOS!$C$30,1)</f>
        <v>3605.24840266249</v>
      </c>
      <c r="AG25" s="32" t="n">
        <f aca="false">$B$12*(1+CHOOSE(01_CONTROL_PANEL!$C$5,$C$12,$E$12,$F$12)+27_SCENARIOS!$C$29)^(06_CONSTRUCTION!AG4-02_PROJECT_INPUTS!$C$11)*IF(06_CONSTRUCTION!AG4&gt;=06_CONSTRUCTION!$C$8,27_SCENARIOS!$C$30,1)</f>
        <v>3965.77324292874</v>
      </c>
      <c r="AH25" s="32" t="n">
        <f aca="false">$B$12*(1+CHOOSE(01_CONTROL_PANEL!$C$5,$C$12,$E$12,$F$12)+27_SCENARIOS!$C$29)^(06_CONSTRUCTION!AH4-02_PROJECT_INPUTS!$C$11)*IF(06_CONSTRUCTION!AH4&gt;=06_CONSTRUCTION!$C$8,27_SCENARIOS!$C$30,1)</f>
        <v>4362.35056722161</v>
      </c>
      <c r="AI25" s="32" t="n">
        <f aca="false">$B$12*(1+CHOOSE(01_CONTROL_PANEL!$C$5,$C$12,$E$12,$F$12)+27_SCENARIOS!$C$29)^(06_CONSTRUCTION!AI4-02_PROJECT_INPUTS!$C$11)*IF(06_CONSTRUCTION!AI4&gt;=06_CONSTRUCTION!$C$8,27_SCENARIOS!$C$30,1)</f>
        <v>4798.58562394377</v>
      </c>
      <c r="AJ25" s="32" t="n">
        <f aca="false">$B$12*(1+CHOOSE(01_CONTROL_PANEL!$C$5,$C$12,$E$12,$F$12)+27_SCENARIOS!$C$29)^(06_CONSTRUCTION!AJ4-02_PROJECT_INPUTS!$C$11)*IF(06_CONSTRUCTION!AJ4&gt;=06_CONSTRUCTION!$C$8,27_SCENARIOS!$C$30,1)</f>
        <v>5278.44418633815</v>
      </c>
      <c r="AK25" s="32" t="n">
        <f aca="false">$B$12*(1+CHOOSE(01_CONTROL_PANEL!$C$5,$C$12,$E$12,$F$12)+27_SCENARIOS!$C$29)^(06_CONSTRUCTION!AK4-02_PROJECT_INPUTS!$C$11)*IF(06_CONSTRUCTION!AK4&gt;=06_CONSTRUCTION!$C$8,27_SCENARIOS!$C$30,1)</f>
        <v>5806.28860497197</v>
      </c>
      <c r="AL25" s="32" t="n">
        <f aca="false">$B$12*(1+CHOOSE(01_CONTROL_PANEL!$C$5,$C$12,$E$12,$F$12)+27_SCENARIOS!$C$29)^(06_CONSTRUCTION!AL4-02_PROJECT_INPUTS!$C$11)*IF(06_CONSTRUCTION!AL4&gt;=06_CONSTRUCTION!$C$8,27_SCENARIOS!$C$30,1)</f>
        <v>6386.91746546917</v>
      </c>
      <c r="AM25" s="32" t="n">
        <f aca="false">$B$12*(1+CHOOSE(01_CONTROL_PANEL!$C$5,$C$12,$E$12,$F$12)+27_SCENARIOS!$C$29)^(06_CONSTRUCTION!AM4-02_PROJECT_INPUTS!$C$11)*IF(06_CONSTRUCTION!AM4&gt;=06_CONSTRUCTION!$C$8,27_SCENARIOS!$C$30,1)</f>
        <v>7025.60921201608</v>
      </c>
      <c r="AN25" s="32" t="n">
        <f aca="false">$B$12*(1+CHOOSE(01_CONTROL_PANEL!$C$5,$C$12,$E$12,$F$12)+27_SCENARIOS!$C$29)^(06_CONSTRUCTION!AN4-02_PROJECT_INPUTS!$C$11)*IF(06_CONSTRUCTION!AN4&gt;=06_CONSTRUCTION!$C$8,27_SCENARIOS!$C$30,1)</f>
        <v>7728.17013321769</v>
      </c>
      <c r="AO25" s="32" t="n">
        <f aca="false">$B$12*(1+CHOOSE(01_CONTROL_PANEL!$C$5,$C$12,$E$12,$F$12)+27_SCENARIOS!$C$29)^(06_CONSTRUCTION!AO4-02_PROJECT_INPUTS!$C$11)*IF(06_CONSTRUCTION!AO4&gt;=06_CONSTRUCTION!$C$8,27_SCENARIOS!$C$30,1)</f>
        <v>8500.98714653946</v>
      </c>
      <c r="AP25" s="32" t="n">
        <f aca="false">$B$12*(1+CHOOSE(01_CONTROL_PANEL!$C$5,$C$12,$E$12,$F$12)+27_SCENARIOS!$C$29)^(06_CONSTRUCTION!AP4-02_PROJECT_INPUTS!$C$11)*IF(06_CONSTRUCTION!AP4&gt;=06_CONSTRUCTION!$C$8,27_SCENARIOS!$C$30,1)</f>
        <v>9351.08586119341</v>
      </c>
      <c r="AQ25" s="32" t="n">
        <f aca="false">$B$12*(1+CHOOSE(01_CONTROL_PANEL!$C$5,$C$12,$E$12,$F$12)+27_SCENARIOS!$C$29)^(06_CONSTRUCTION!AQ4-02_PROJECT_INPUTS!$C$11)*IF(06_CONSTRUCTION!AQ4&gt;=06_CONSTRUCTION!$C$8,27_SCENARIOS!$C$30,1)</f>
        <v>10286.1944473127</v>
      </c>
      <c r="AR25" s="32" t="n">
        <f aca="false">$B$12*(1+CHOOSE(01_CONTROL_PANEL!$C$5,$C$12,$E$12,$F$12)+27_SCENARIOS!$C$29)^(06_CONSTRUCTION!AR4-02_PROJECT_INPUTS!$C$11)*IF(06_CONSTRUCTION!AR4&gt;=06_CONSTRUCTION!$C$8,27_SCENARIOS!$C$30,1)</f>
        <v>11314.813892044</v>
      </c>
    </row>
    <row r="26" customFormat="false" ht="15" hidden="false" customHeight="false" outlineLevel="0" collapsed="false">
      <c r="A26" s="8" t="s">
        <v>361</v>
      </c>
      <c r="B26" s="8" t="s">
        <v>181</v>
      </c>
      <c r="E26" s="32" t="n">
        <f aca="false">$B$13*(1+CHOOSE(01_CONTROL_PANEL!$C$5,$C$13,$E$13,$F$13)+27_SCENARIOS!$C$29)^(06_CONSTRUCTION!E4-02_PROJECT_INPUTS!$C$11)*IF(06_CONSTRUCTION!E4&gt;=06_CONSTRUCTION!$C$8,27_SCENARIOS!$C$30,1)</f>
        <v>468</v>
      </c>
      <c r="F26" s="32" t="n">
        <f aca="false">$B$13*(1+CHOOSE(01_CONTROL_PANEL!$C$5,$C$13,$E$13,$F$13)+27_SCENARIOS!$C$29)^(06_CONSTRUCTION!F4-02_PROJECT_INPUTS!$C$11)*IF(06_CONSTRUCTION!F4&gt;=06_CONSTRUCTION!$C$8,27_SCENARIOS!$C$30,1)</f>
        <v>486.72</v>
      </c>
      <c r="G26" s="32" t="n">
        <f aca="false">$B$13*(1+CHOOSE(01_CONTROL_PANEL!$C$5,$C$13,$E$13,$F$13)+27_SCENARIOS!$C$29)^(06_CONSTRUCTION!G4-02_PROJECT_INPUTS!$C$11)*IF(06_CONSTRUCTION!G4&gt;=06_CONSTRUCTION!$C$8,27_SCENARIOS!$C$30,1)</f>
        <v>506.1888</v>
      </c>
      <c r="H26" s="32" t="n">
        <f aca="false">$B$13*(1+CHOOSE(01_CONTROL_PANEL!$C$5,$C$13,$E$13,$F$13)+27_SCENARIOS!$C$29)^(06_CONSTRUCTION!H4-02_PROJECT_INPUTS!$C$11)*IF(06_CONSTRUCTION!H4&gt;=06_CONSTRUCTION!$C$8,27_SCENARIOS!$C$30,1)</f>
        <v>526.436352</v>
      </c>
      <c r="I26" s="32" t="n">
        <f aca="false">$B$13*(1+CHOOSE(01_CONTROL_PANEL!$C$5,$C$13,$E$13,$F$13)+27_SCENARIOS!$C$29)^(06_CONSTRUCTION!I4-02_PROJECT_INPUTS!$C$11)*IF(06_CONSTRUCTION!I4&gt;=06_CONSTRUCTION!$C$8,27_SCENARIOS!$C$30,1)</f>
        <v>547.49380608</v>
      </c>
      <c r="J26" s="32" t="n">
        <f aca="false">$B$13*(1+CHOOSE(01_CONTROL_PANEL!$C$5,$C$13,$E$13,$F$13)+27_SCENARIOS!$C$29)^(06_CONSTRUCTION!J4-02_PROJECT_INPUTS!$C$11)*IF(06_CONSTRUCTION!J4&gt;=06_CONSTRUCTION!$C$8,27_SCENARIOS!$C$30,1)</f>
        <v>569.3935583232</v>
      </c>
      <c r="K26" s="32" t="n">
        <f aca="false">$B$13*(1+CHOOSE(01_CONTROL_PANEL!$C$5,$C$13,$E$13,$F$13)+27_SCENARIOS!$C$29)^(06_CONSTRUCTION!K4-02_PROJECT_INPUTS!$C$11)*IF(06_CONSTRUCTION!K4&gt;=06_CONSTRUCTION!$C$8,27_SCENARIOS!$C$30,1)</f>
        <v>592.169300656128</v>
      </c>
      <c r="L26" s="32" t="n">
        <f aca="false">$B$13*(1+CHOOSE(01_CONTROL_PANEL!$C$5,$C$13,$E$13,$F$13)+27_SCENARIOS!$C$29)^(06_CONSTRUCTION!L4-02_PROJECT_INPUTS!$C$11)*IF(06_CONSTRUCTION!L4&gt;=06_CONSTRUCTION!$C$8,27_SCENARIOS!$C$30,1)</f>
        <v>615.856072682373</v>
      </c>
      <c r="M26" s="32" t="n">
        <f aca="false">$B$13*(1+CHOOSE(01_CONTROL_PANEL!$C$5,$C$13,$E$13,$F$13)+27_SCENARIOS!$C$29)^(06_CONSTRUCTION!M4-02_PROJECT_INPUTS!$C$11)*IF(06_CONSTRUCTION!M4&gt;=06_CONSTRUCTION!$C$8,27_SCENARIOS!$C$30,1)</f>
        <v>640.490315589668</v>
      </c>
      <c r="N26" s="32" t="n">
        <f aca="false">$B$13*(1+CHOOSE(01_CONTROL_PANEL!$C$5,$C$13,$E$13,$F$13)+27_SCENARIOS!$C$29)^(06_CONSTRUCTION!N4-02_PROJECT_INPUTS!$C$11)*IF(06_CONSTRUCTION!N4&gt;=06_CONSTRUCTION!$C$8,27_SCENARIOS!$C$30,1)</f>
        <v>666.109928213255</v>
      </c>
      <c r="O26" s="32" t="n">
        <f aca="false">$B$13*(1+CHOOSE(01_CONTROL_PANEL!$C$5,$C$13,$E$13,$F$13)+27_SCENARIOS!$C$29)^(06_CONSTRUCTION!O4-02_PROJECT_INPUTS!$C$11)*IF(06_CONSTRUCTION!O4&gt;=06_CONSTRUCTION!$C$8,27_SCENARIOS!$C$30,1)</f>
        <v>692.754325341785</v>
      </c>
      <c r="P26" s="32" t="n">
        <f aca="false">$B$13*(1+CHOOSE(01_CONTROL_PANEL!$C$5,$C$13,$E$13,$F$13)+27_SCENARIOS!$C$29)^(06_CONSTRUCTION!P4-02_PROJECT_INPUTS!$C$11)*IF(06_CONSTRUCTION!P4&gt;=06_CONSTRUCTION!$C$8,27_SCENARIOS!$C$30,1)</f>
        <v>720.464498355457</v>
      </c>
      <c r="Q26" s="32" t="n">
        <f aca="false">$B$13*(1+CHOOSE(01_CONTROL_PANEL!$C$5,$C$13,$E$13,$F$13)+27_SCENARIOS!$C$29)^(06_CONSTRUCTION!Q4-02_PROJECT_INPUTS!$C$11)*IF(06_CONSTRUCTION!Q4&gt;=06_CONSTRUCTION!$C$8,27_SCENARIOS!$C$30,1)</f>
        <v>749.283078289675</v>
      </c>
      <c r="R26" s="32" t="n">
        <f aca="false">$B$13*(1+CHOOSE(01_CONTROL_PANEL!$C$5,$C$13,$E$13,$F$13)+27_SCENARIOS!$C$29)^(06_CONSTRUCTION!R4-02_PROJECT_INPUTS!$C$11)*IF(06_CONSTRUCTION!R4&gt;=06_CONSTRUCTION!$C$8,27_SCENARIOS!$C$30,1)</f>
        <v>779.254401421262</v>
      </c>
      <c r="S26" s="32" t="n">
        <f aca="false">$B$13*(1+CHOOSE(01_CONTROL_PANEL!$C$5,$C$13,$E$13,$F$13)+27_SCENARIOS!$C$29)^(06_CONSTRUCTION!S4-02_PROJECT_INPUTS!$C$11)*IF(06_CONSTRUCTION!S4&gt;=06_CONSTRUCTION!$C$8,27_SCENARIOS!$C$30,1)</f>
        <v>810.424577478112</v>
      </c>
      <c r="T26" s="32" t="n">
        <f aca="false">$B$13*(1+CHOOSE(01_CONTROL_PANEL!$C$5,$C$13,$E$13,$F$13)+27_SCENARIOS!$C$29)^(06_CONSTRUCTION!T4-02_PROJECT_INPUTS!$C$11)*IF(06_CONSTRUCTION!T4&gt;=06_CONSTRUCTION!$C$8,27_SCENARIOS!$C$30,1)</f>
        <v>842.841560577237</v>
      </c>
      <c r="U26" s="32" t="n">
        <f aca="false">$B$13*(1+CHOOSE(01_CONTROL_PANEL!$C$5,$C$13,$E$13,$F$13)+27_SCENARIOS!$C$29)^(06_CONSTRUCTION!U4-02_PROJECT_INPUTS!$C$11)*IF(06_CONSTRUCTION!U4&gt;=06_CONSTRUCTION!$C$8,27_SCENARIOS!$C$30,1)</f>
        <v>876.555223000327</v>
      </c>
      <c r="V26" s="32" t="n">
        <f aca="false">$B$13*(1+CHOOSE(01_CONTROL_PANEL!$C$5,$C$13,$E$13,$F$13)+27_SCENARIOS!$C$29)^(06_CONSTRUCTION!V4-02_PROJECT_INPUTS!$C$11)*IF(06_CONSTRUCTION!V4&gt;=06_CONSTRUCTION!$C$8,27_SCENARIOS!$C$30,1)</f>
        <v>911.61743192034</v>
      </c>
      <c r="W26" s="32" t="n">
        <f aca="false">$B$13*(1+CHOOSE(01_CONTROL_PANEL!$C$5,$C$13,$E$13,$F$13)+27_SCENARIOS!$C$29)^(06_CONSTRUCTION!W4-02_PROJECT_INPUTS!$C$11)*IF(06_CONSTRUCTION!W4&gt;=06_CONSTRUCTION!$C$8,27_SCENARIOS!$C$30,1)</f>
        <v>948.082129197153</v>
      </c>
      <c r="X26" s="32" t="n">
        <f aca="false">$B$13*(1+CHOOSE(01_CONTROL_PANEL!$C$5,$C$13,$E$13,$F$13)+27_SCENARIOS!$C$29)^(06_CONSTRUCTION!X4-02_PROJECT_INPUTS!$C$11)*IF(06_CONSTRUCTION!X4&gt;=06_CONSTRUCTION!$C$8,27_SCENARIOS!$C$30,1)</f>
        <v>986.005414365039</v>
      </c>
      <c r="Y26" s="32" t="n">
        <f aca="false">$B$13*(1+CHOOSE(01_CONTROL_PANEL!$C$5,$C$13,$E$13,$F$13)+27_SCENARIOS!$C$29)^(06_CONSTRUCTION!Y4-02_PROJECT_INPUTS!$C$11)*IF(06_CONSTRUCTION!Y4&gt;=06_CONSTRUCTION!$C$8,27_SCENARIOS!$C$30,1)</f>
        <v>1025.44563093964</v>
      </c>
      <c r="Z26" s="32" t="n">
        <f aca="false">$B$13*(1+CHOOSE(01_CONTROL_PANEL!$C$5,$C$13,$E$13,$F$13)+27_SCENARIOS!$C$29)^(06_CONSTRUCTION!Z4-02_PROJECT_INPUTS!$C$11)*IF(06_CONSTRUCTION!Z4&gt;=06_CONSTRUCTION!$C$8,27_SCENARIOS!$C$30,1)</f>
        <v>1066.46345617723</v>
      </c>
      <c r="AA26" s="32" t="n">
        <f aca="false">$B$13*(1+CHOOSE(01_CONTROL_PANEL!$C$5,$C$13,$E$13,$F$13)+27_SCENARIOS!$C$29)^(06_CONSTRUCTION!AA4-02_PROJECT_INPUTS!$C$11)*IF(06_CONSTRUCTION!AA4&gt;=06_CONSTRUCTION!$C$8,27_SCENARIOS!$C$30,1)</f>
        <v>1109.12199442432</v>
      </c>
      <c r="AB26" s="32" t="n">
        <f aca="false">$B$13*(1+CHOOSE(01_CONTROL_PANEL!$C$5,$C$13,$E$13,$F$13)+27_SCENARIOS!$C$29)^(06_CONSTRUCTION!AB4-02_PROJECT_INPUTS!$C$11)*IF(06_CONSTRUCTION!AB4&gt;=06_CONSTRUCTION!$C$8,27_SCENARIOS!$C$30,1)</f>
        <v>1153.48687420129</v>
      </c>
      <c r="AC26" s="32" t="n">
        <f aca="false">$B$13*(1+CHOOSE(01_CONTROL_PANEL!$C$5,$C$13,$E$13,$F$13)+27_SCENARIOS!$C$29)^(06_CONSTRUCTION!AC4-02_PROJECT_INPUTS!$C$11)*IF(06_CONSTRUCTION!AC4&gt;=06_CONSTRUCTION!$C$8,27_SCENARIOS!$C$30,1)</f>
        <v>1199.62634916934</v>
      </c>
      <c r="AD26" s="32" t="n">
        <f aca="false">$B$13*(1+CHOOSE(01_CONTROL_PANEL!$C$5,$C$13,$E$13,$F$13)+27_SCENARIOS!$C$29)^(06_CONSTRUCTION!AD4-02_PROJECT_INPUTS!$C$11)*IF(06_CONSTRUCTION!AD4&gt;=06_CONSTRUCTION!$C$8,27_SCENARIOS!$C$30,1)</f>
        <v>1247.61140313611</v>
      </c>
      <c r="AE26" s="32" t="n">
        <f aca="false">$B$13*(1+CHOOSE(01_CONTROL_PANEL!$C$5,$C$13,$E$13,$F$13)+27_SCENARIOS!$C$29)^(06_CONSTRUCTION!AE4-02_PROJECT_INPUTS!$C$11)*IF(06_CONSTRUCTION!AE4&gt;=06_CONSTRUCTION!$C$8,27_SCENARIOS!$C$30,1)</f>
        <v>1297.51585926156</v>
      </c>
      <c r="AF26" s="32" t="n">
        <f aca="false">$B$13*(1+CHOOSE(01_CONTROL_PANEL!$C$5,$C$13,$E$13,$F$13)+27_SCENARIOS!$C$29)^(06_CONSTRUCTION!AF4-02_PROJECT_INPUTS!$C$11)*IF(06_CONSTRUCTION!AF4&gt;=06_CONSTRUCTION!$C$8,27_SCENARIOS!$C$30,1)</f>
        <v>1349.41649363202</v>
      </c>
      <c r="AG26" s="32" t="n">
        <f aca="false">$B$13*(1+CHOOSE(01_CONTROL_PANEL!$C$5,$C$13,$E$13,$F$13)+27_SCENARIOS!$C$29)^(06_CONSTRUCTION!AG4-02_PROJECT_INPUTS!$C$11)*IF(06_CONSTRUCTION!AG4&gt;=06_CONSTRUCTION!$C$8,27_SCENARIOS!$C$30,1)</f>
        <v>1403.3931533773</v>
      </c>
      <c r="AH26" s="32" t="n">
        <f aca="false">$B$13*(1+CHOOSE(01_CONTROL_PANEL!$C$5,$C$13,$E$13,$F$13)+27_SCENARIOS!$C$29)^(06_CONSTRUCTION!AH4-02_PROJECT_INPUTS!$C$11)*IF(06_CONSTRUCTION!AH4&gt;=06_CONSTRUCTION!$C$8,27_SCENARIOS!$C$30,1)</f>
        <v>1459.52887951239</v>
      </c>
      <c r="AI26" s="32" t="n">
        <f aca="false">$B$13*(1+CHOOSE(01_CONTROL_PANEL!$C$5,$C$13,$E$13,$F$13)+27_SCENARIOS!$C$29)^(06_CONSTRUCTION!AI4-02_PROJECT_INPUTS!$C$11)*IF(06_CONSTRUCTION!AI4&gt;=06_CONSTRUCTION!$C$8,27_SCENARIOS!$C$30,1)</f>
        <v>1517.91003469289</v>
      </c>
      <c r="AJ26" s="32" t="n">
        <f aca="false">$B$13*(1+CHOOSE(01_CONTROL_PANEL!$C$5,$C$13,$E$13,$F$13)+27_SCENARIOS!$C$29)^(06_CONSTRUCTION!AJ4-02_PROJECT_INPUTS!$C$11)*IF(06_CONSTRUCTION!AJ4&gt;=06_CONSTRUCTION!$C$8,27_SCENARIOS!$C$30,1)</f>
        <v>1578.62643608061</v>
      </c>
      <c r="AK26" s="32" t="n">
        <f aca="false">$B$13*(1+CHOOSE(01_CONTROL_PANEL!$C$5,$C$13,$E$13,$F$13)+27_SCENARIOS!$C$29)^(06_CONSTRUCTION!AK4-02_PROJECT_INPUTS!$C$11)*IF(06_CONSTRUCTION!AK4&gt;=06_CONSTRUCTION!$C$8,27_SCENARIOS!$C$30,1)</f>
        <v>1641.77149352383</v>
      </c>
      <c r="AL26" s="32" t="n">
        <f aca="false">$B$13*(1+CHOOSE(01_CONTROL_PANEL!$C$5,$C$13,$E$13,$F$13)+27_SCENARIOS!$C$29)^(06_CONSTRUCTION!AL4-02_PROJECT_INPUTS!$C$11)*IF(06_CONSTRUCTION!AL4&gt;=06_CONSTRUCTION!$C$8,27_SCENARIOS!$C$30,1)</f>
        <v>1707.44235326478</v>
      </c>
      <c r="AM26" s="32" t="n">
        <f aca="false">$B$13*(1+CHOOSE(01_CONTROL_PANEL!$C$5,$C$13,$E$13,$F$13)+27_SCENARIOS!$C$29)^(06_CONSTRUCTION!AM4-02_PROJECT_INPUTS!$C$11)*IF(06_CONSTRUCTION!AM4&gt;=06_CONSTRUCTION!$C$8,27_SCENARIOS!$C$30,1)</f>
        <v>1775.74004739537</v>
      </c>
      <c r="AN26" s="32" t="n">
        <f aca="false">$B$13*(1+CHOOSE(01_CONTROL_PANEL!$C$5,$C$13,$E$13,$F$13)+27_SCENARIOS!$C$29)^(06_CONSTRUCTION!AN4-02_PROJECT_INPUTS!$C$11)*IF(06_CONSTRUCTION!AN4&gt;=06_CONSTRUCTION!$C$8,27_SCENARIOS!$C$30,1)</f>
        <v>1846.76964929119</v>
      </c>
      <c r="AO26" s="32" t="n">
        <f aca="false">$B$13*(1+CHOOSE(01_CONTROL_PANEL!$C$5,$C$13,$E$13,$F$13)+27_SCENARIOS!$C$29)^(06_CONSTRUCTION!AO4-02_PROJECT_INPUTS!$C$11)*IF(06_CONSTRUCTION!AO4&gt;=06_CONSTRUCTION!$C$8,27_SCENARIOS!$C$30,1)</f>
        <v>1920.64043526284</v>
      </c>
      <c r="AP26" s="32" t="n">
        <f aca="false">$B$13*(1+CHOOSE(01_CONTROL_PANEL!$C$5,$C$13,$E$13,$F$13)+27_SCENARIOS!$C$29)^(06_CONSTRUCTION!AP4-02_PROJECT_INPUTS!$C$11)*IF(06_CONSTRUCTION!AP4&gt;=06_CONSTRUCTION!$C$8,27_SCENARIOS!$C$30,1)</f>
        <v>1997.46605267335</v>
      </c>
      <c r="AQ26" s="32" t="n">
        <f aca="false">$B$13*(1+CHOOSE(01_CONTROL_PANEL!$C$5,$C$13,$E$13,$F$13)+27_SCENARIOS!$C$29)^(06_CONSTRUCTION!AQ4-02_PROJECT_INPUTS!$C$11)*IF(06_CONSTRUCTION!AQ4&gt;=06_CONSTRUCTION!$C$8,27_SCENARIOS!$C$30,1)</f>
        <v>2077.36469478028</v>
      </c>
      <c r="AR26" s="32" t="n">
        <f aca="false">$B$13*(1+CHOOSE(01_CONTROL_PANEL!$C$5,$C$13,$E$13,$F$13)+27_SCENARIOS!$C$29)^(06_CONSTRUCTION!AR4-02_PROJECT_INPUTS!$C$11)*IF(06_CONSTRUCTION!AR4&gt;=06_CONSTRUCTION!$C$8,27_SCENARIOS!$C$30,1)</f>
        <v>2160.4592825715</v>
      </c>
    </row>
    <row r="27" customFormat="false" ht="15" hidden="false" customHeight="false" outlineLevel="0" collapsed="false">
      <c r="A27" s="4" t="s">
        <v>374</v>
      </c>
      <c r="B27" s="8" t="s">
        <v>181</v>
      </c>
      <c r="E27" s="41" t="n">
        <f aca="false">10_DEMAND!E21+10_DEMAND!E22+10_DEMAND!E23+10_DEMAND!E24+10_DEMAND!E25+10_DEMAND!E26</f>
        <v>7750</v>
      </c>
      <c r="F27" s="41" t="n">
        <f aca="false">10_DEMAND!F21+10_DEMAND!F22+10_DEMAND!F23+10_DEMAND!F24+10_DEMAND!F25+10_DEMAND!F26</f>
        <v>8228.71</v>
      </c>
      <c r="G27" s="41" t="n">
        <f aca="false">10_DEMAND!G21+10_DEMAND!G22+10_DEMAND!G23+10_DEMAND!G24+10_DEMAND!G25+10_DEMAND!G26</f>
        <v>8738.0281</v>
      </c>
      <c r="H27" s="41" t="n">
        <f aca="false">10_DEMAND!H21+10_DEMAND!H22+10_DEMAND!H23+10_DEMAND!H24+10_DEMAND!H25+10_DEMAND!H26</f>
        <v>9279.982753</v>
      </c>
      <c r="I27" s="41" t="n">
        <f aca="false">10_DEMAND!I21+10_DEMAND!I22+10_DEMAND!I23+10_DEMAND!I24+10_DEMAND!I25+10_DEMAND!I26</f>
        <v>9856.74209365</v>
      </c>
      <c r="J27" s="41" t="n">
        <f aca="false">10_DEMAND!J21+10_DEMAND!J22+10_DEMAND!J23+10_DEMAND!J24+10_DEMAND!J25+10_DEMAND!J26</f>
        <v>10470.6239647081</v>
      </c>
      <c r="K27" s="41" t="n">
        <f aca="false">10_DEMAND!K21+10_DEMAND!K22+10_DEMAND!K23+10_DEMAND!K24+10_DEMAND!K25+10_DEMAND!K26</f>
        <v>11124.1066959628</v>
      </c>
      <c r="L27" s="41" t="n">
        <f aca="false">10_DEMAND!L21+10_DEMAND!L22+10_DEMAND!L23+10_DEMAND!L24+10_DEMAND!L25+10_DEMAND!L26</f>
        <v>11819.8406947561</v>
      </c>
      <c r="M27" s="41" t="n">
        <f aca="false">10_DEMAND!M21+10_DEMAND!M22+10_DEMAND!M23+10_DEMAND!M24+10_DEMAND!M25+10_DEMAND!M26</f>
        <v>12560.6609121066</v>
      </c>
      <c r="N27" s="41" t="n">
        <f aca="false">10_DEMAND!N21+10_DEMAND!N22+10_DEMAND!N23+10_DEMAND!N24+10_DEMAND!N25+10_DEMAND!N26</f>
        <v>13349.6002537144</v>
      </c>
      <c r="O27" s="41" t="n">
        <f aca="false">10_DEMAND!O21+10_DEMAND!O22+10_DEMAND!O23+10_DEMAND!O24+10_DEMAND!O25+10_DEMAND!O26</f>
        <v>14189.9040108619</v>
      </c>
      <c r="P27" s="41" t="n">
        <f aca="false">10_DEMAND!P21+10_DEMAND!P22+10_DEMAND!P23+10_DEMAND!P24+10_DEMAND!P25+10_DEMAND!P26</f>
        <v>15085.0453924559</v>
      </c>
      <c r="Q27" s="41" t="n">
        <f aca="false">10_DEMAND!Q21+10_DEMAND!Q22+10_DEMAND!Q23+10_DEMAND!Q24+10_DEMAND!Q25+10_DEMAND!Q26</f>
        <v>16038.742246226</v>
      </c>
      <c r="R27" s="41" t="n">
        <f aca="false">10_DEMAND!R21+10_DEMAND!R22+10_DEMAND!R23+10_DEMAND!R24+10_DEMAND!R25+10_DEMAND!R26</f>
        <v>17054.9750644478</v>
      </c>
      <c r="S27" s="41" t="n">
        <f aca="false">10_DEMAND!S21+10_DEMAND!S22+10_DEMAND!S23+10_DEMAND!S24+10_DEMAND!S25+10_DEMAND!S26</f>
        <v>18138.0063775582</v>
      </c>
      <c r="T27" s="41" t="n">
        <f aca="false">10_DEMAND!T21+10_DEMAND!T22+10_DEMAND!T23+10_DEMAND!T24+10_DEMAND!T25+10_DEMAND!T26</f>
        <v>19292.4016477237</v>
      </c>
      <c r="U27" s="41" t="n">
        <f aca="false">10_DEMAND!U21+10_DEMAND!U22+10_DEMAND!U23+10_DEMAND!U24+10_DEMAND!U25+10_DEMAND!U26</f>
        <v>20523.0517838761</v>
      </c>
      <c r="V27" s="41" t="n">
        <f aca="false">10_DEMAND!V21+10_DEMAND!V22+10_DEMAND!V23+10_DEMAND!V24+10_DEMAND!V25+10_DEMAND!V26</f>
        <v>21835.1974100167</v>
      </c>
      <c r="W27" s="41" t="n">
        <f aca="false">10_DEMAND!W21+10_DEMAND!W22+10_DEMAND!W23+10_DEMAND!W24+10_DEMAND!W25+10_DEMAND!W26</f>
        <v>23234.4550297779</v>
      </c>
      <c r="X27" s="41" t="n">
        <f aca="false">10_DEMAND!X21+10_DEMAND!X22+10_DEMAND!X23+10_DEMAND!X24+10_DEMAND!X25+10_DEMAND!X26</f>
        <v>24726.8452424093</v>
      </c>
      <c r="Y27" s="41" t="n">
        <f aca="false">10_DEMAND!Y21+10_DEMAND!Y22+10_DEMAND!Y23+10_DEMAND!Y24+10_DEMAND!Y25+10_DEMAND!Y26</f>
        <v>26318.8231786073</v>
      </c>
      <c r="Z27" s="41" t="n">
        <f aca="false">10_DEMAND!Z21+10_DEMAND!Z22+10_DEMAND!Z23+10_DEMAND!Z24+10_DEMAND!Z25+10_DEMAND!Z26</f>
        <v>28017.3113390378</v>
      </c>
      <c r="AA27" s="41" t="n">
        <f aca="false">10_DEMAND!AA21+10_DEMAND!AA22+10_DEMAND!AA23+10_DEMAND!AA24+10_DEMAND!AA25+10_DEMAND!AA26</f>
        <v>29829.7350341132</v>
      </c>
      <c r="AB27" s="41" t="n">
        <f aca="false">10_DEMAND!AB21+10_DEMAND!AB22+10_DEMAND!AB23+10_DEMAND!AB24+10_DEMAND!AB25+10_DEMAND!AB26</f>
        <v>31764.0606406957</v>
      </c>
      <c r="AC27" s="41" t="n">
        <f aca="false">10_DEMAND!AC21+10_DEMAND!AC22+10_DEMAND!AC23+10_DEMAND!AC24+10_DEMAND!AC25+10_DEMAND!AC26</f>
        <v>33828.8369100438</v>
      </c>
      <c r="AD27" s="41" t="n">
        <f aca="false">10_DEMAND!AD21+10_DEMAND!AD22+10_DEMAND!AD23+10_DEMAND!AD24+10_DEMAND!AD25+10_DEMAND!AD26</f>
        <v>36033.2395816266</v>
      </c>
      <c r="AE27" s="41" t="n">
        <f aca="false">10_DEMAND!AE21+10_DEMAND!AE22+10_DEMAND!AE23+10_DEMAND!AE24+10_DEMAND!AE25+10_DEMAND!AE26</f>
        <v>38387.1195795678</v>
      </c>
      <c r="AF27" s="41" t="n">
        <f aca="false">10_DEMAND!AF21+10_DEMAND!AF22+10_DEMAND!AF23+10_DEMAND!AF24+10_DEMAND!AF25+10_DEMAND!AF26</f>
        <v>40901.0550926081</v>
      </c>
      <c r="AG27" s="41" t="n">
        <f aca="false">10_DEMAND!AG21+10_DEMAND!AG22+10_DEMAND!AG23+10_DEMAND!AG24+10_DEMAND!AG25+10_DEMAND!AG26</f>
        <v>43586.4078647792</v>
      </c>
      <c r="AH27" s="41" t="n">
        <f aca="false">10_DEMAND!AH21+10_DEMAND!AH22+10_DEMAND!AH23+10_DEMAND!AH24+10_DEMAND!AH25+10_DEMAND!AH26</f>
        <v>46455.3840526645</v>
      </c>
      <c r="AI27" s="41" t="n">
        <f aca="false">10_DEMAND!AI21+10_DEMAND!AI22+10_DEMAND!AI23+10_DEMAND!AI24+10_DEMAND!AI25+10_DEMAND!AI26</f>
        <v>49521.1000364049</v>
      </c>
      <c r="AJ27" s="41" t="n">
        <f aca="false">10_DEMAND!AJ21+10_DEMAND!AJ22+10_DEMAND!AJ23+10_DEMAND!AJ24+10_DEMAND!AJ25+10_DEMAND!AJ26</f>
        <v>52797.6536057313</v>
      </c>
      <c r="AK27" s="41" t="n">
        <f aca="false">10_DEMAND!AK21+10_DEMAND!AK22+10_DEMAND!AK23+10_DEMAND!AK24+10_DEMAND!AK25+10_DEMAND!AK26</f>
        <v>56300.200979535</v>
      </c>
      <c r="AL27" s="41" t="n">
        <f aca="false">10_DEMAND!AL21+10_DEMAND!AL22+10_DEMAND!AL23+10_DEMAND!AL24+10_DEMAND!AL25+10_DEMAND!AL26</f>
        <v>60045.0401581149</v>
      </c>
      <c r="AM27" s="41" t="n">
        <f aca="false">10_DEMAND!AM21+10_DEMAND!AM22+10_DEMAND!AM23+10_DEMAND!AM24+10_DEMAND!AM25+10_DEMAND!AM26</f>
        <v>64049.7011515809</v>
      </c>
      <c r="AN27" s="41" t="n">
        <f aca="false">10_DEMAND!AN21+10_DEMAND!AN22+10_DEMAND!AN23+10_DEMAND!AN24+10_DEMAND!AN25+10_DEMAND!AN26</f>
        <v>68333.0436762946</v>
      </c>
      <c r="AO27" s="41" t="n">
        <f aca="false">10_DEMAND!AO21+10_DEMAND!AO22+10_DEMAND!AO23+10_DEMAND!AO24+10_DEMAND!AO25+10_DEMAND!AO26</f>
        <v>72915.3629640776</v>
      </c>
      <c r="AP27" s="41" t="n">
        <f aca="false">10_DEMAND!AP21+10_DEMAND!AP22+10_DEMAND!AP23+10_DEMAND!AP24+10_DEMAND!AP25+10_DEMAND!AP26</f>
        <v>77818.5043866222</v>
      </c>
      <c r="AQ27" s="41" t="n">
        <f aca="false">10_DEMAND!AQ21+10_DEMAND!AQ22+10_DEMAND!AQ23+10_DEMAND!AQ24+10_DEMAND!AQ25+10_DEMAND!AQ26</f>
        <v>83065.9876605682</v>
      </c>
      <c r="AR27" s="41" t="n">
        <f aca="false">10_DEMAND!AR21+10_DEMAND!AR22+10_DEMAND!AR23+10_DEMAND!AR24+10_DEMAND!AR25+10_DEMAND!AR26</f>
        <v>88683.1414675555</v>
      </c>
    </row>
    <row r="28" customFormat="false" ht="15" hidden="false" customHeight="false" outlineLevel="0" collapsed="false">
      <c r="A28" s="8" t="s">
        <v>375</v>
      </c>
      <c r="B28" s="8" t="s">
        <v>181</v>
      </c>
      <c r="E28" s="32" t="n">
        <f aca="false">10_DEMAND!E27+10_DEMAND!$C$15</f>
        <v>8350</v>
      </c>
      <c r="F28" s="32" t="n">
        <f aca="false">10_DEMAND!F27+10_DEMAND!$C$15</f>
        <v>8828.71</v>
      </c>
      <c r="G28" s="32" t="n">
        <f aca="false">10_DEMAND!G27+10_DEMAND!$C$15</f>
        <v>9338.0281</v>
      </c>
      <c r="H28" s="32" t="n">
        <f aca="false">10_DEMAND!H27+10_DEMAND!$C$15</f>
        <v>9879.982753</v>
      </c>
      <c r="I28" s="32" t="n">
        <f aca="false">10_DEMAND!I27+10_DEMAND!$C$15</f>
        <v>10456.74209365</v>
      </c>
      <c r="J28" s="32" t="n">
        <f aca="false">10_DEMAND!J27+10_DEMAND!$C$15</f>
        <v>11070.6239647081</v>
      </c>
      <c r="K28" s="32" t="n">
        <f aca="false">10_DEMAND!K27+10_DEMAND!$C$15</f>
        <v>11724.1066959628</v>
      </c>
      <c r="L28" s="32" t="n">
        <f aca="false">10_DEMAND!L27+10_DEMAND!$C$15</f>
        <v>12419.8406947561</v>
      </c>
      <c r="M28" s="32" t="n">
        <f aca="false">10_DEMAND!M27+10_DEMAND!$C$15</f>
        <v>13160.6609121066</v>
      </c>
      <c r="N28" s="32" t="n">
        <f aca="false">10_DEMAND!N27+10_DEMAND!$C$15</f>
        <v>13949.6002537144</v>
      </c>
      <c r="O28" s="32" t="n">
        <f aca="false">10_DEMAND!O27+10_DEMAND!$C$15</f>
        <v>14789.9040108619</v>
      </c>
      <c r="P28" s="32" t="n">
        <f aca="false">10_DEMAND!P27+10_DEMAND!$C$15</f>
        <v>15685.0453924559</v>
      </c>
      <c r="Q28" s="32" t="n">
        <f aca="false">10_DEMAND!Q27+10_DEMAND!$C$15</f>
        <v>16638.742246226</v>
      </c>
      <c r="R28" s="32" t="n">
        <f aca="false">10_DEMAND!R27+10_DEMAND!$C$15</f>
        <v>17654.9750644478</v>
      </c>
      <c r="S28" s="32" t="n">
        <f aca="false">10_DEMAND!S27+10_DEMAND!$C$15</f>
        <v>18738.0063775582</v>
      </c>
      <c r="T28" s="32" t="n">
        <f aca="false">10_DEMAND!T27+10_DEMAND!$C$15</f>
        <v>19892.4016477237</v>
      </c>
      <c r="U28" s="32" t="n">
        <f aca="false">10_DEMAND!U27+10_DEMAND!$C$15</f>
        <v>21123.0517838761</v>
      </c>
      <c r="V28" s="32" t="n">
        <f aca="false">10_DEMAND!V27+10_DEMAND!$C$15</f>
        <v>22435.1974100167</v>
      </c>
      <c r="W28" s="32" t="n">
        <f aca="false">10_DEMAND!W27+10_DEMAND!$C$15</f>
        <v>23834.4550297779</v>
      </c>
      <c r="X28" s="32" t="n">
        <f aca="false">10_DEMAND!X27+10_DEMAND!$C$15</f>
        <v>25326.8452424093</v>
      </c>
      <c r="Y28" s="32" t="n">
        <f aca="false">10_DEMAND!Y27+10_DEMAND!$C$15</f>
        <v>26918.8231786073</v>
      </c>
      <c r="Z28" s="32" t="n">
        <f aca="false">10_DEMAND!Z27+10_DEMAND!$C$15</f>
        <v>28617.3113390378</v>
      </c>
      <c r="AA28" s="32" t="n">
        <f aca="false">10_DEMAND!AA27+10_DEMAND!$C$15</f>
        <v>30429.7350341132</v>
      </c>
      <c r="AB28" s="32" t="n">
        <f aca="false">10_DEMAND!AB27+10_DEMAND!$C$15</f>
        <v>32364.0606406957</v>
      </c>
      <c r="AC28" s="32" t="n">
        <f aca="false">10_DEMAND!AC27+10_DEMAND!$C$15</f>
        <v>34428.8369100438</v>
      </c>
      <c r="AD28" s="32" t="n">
        <f aca="false">10_DEMAND!AD27+10_DEMAND!$C$15</f>
        <v>36633.2395816266</v>
      </c>
      <c r="AE28" s="32" t="n">
        <f aca="false">10_DEMAND!AE27+10_DEMAND!$C$15</f>
        <v>38987.1195795678</v>
      </c>
      <c r="AF28" s="32" t="n">
        <f aca="false">10_DEMAND!AF27+10_DEMAND!$C$15</f>
        <v>41501.0550926081</v>
      </c>
      <c r="AG28" s="32" t="n">
        <f aca="false">10_DEMAND!AG27+10_DEMAND!$C$15</f>
        <v>44186.4078647792</v>
      </c>
      <c r="AH28" s="32" t="n">
        <f aca="false">10_DEMAND!AH27+10_DEMAND!$C$15</f>
        <v>47055.3840526645</v>
      </c>
      <c r="AI28" s="32" t="n">
        <f aca="false">10_DEMAND!AI27+10_DEMAND!$C$15</f>
        <v>50121.1000364049</v>
      </c>
      <c r="AJ28" s="32" t="n">
        <f aca="false">10_DEMAND!AJ27+10_DEMAND!$C$15</f>
        <v>53397.6536057313</v>
      </c>
      <c r="AK28" s="32" t="n">
        <f aca="false">10_DEMAND!AK27+10_DEMAND!$C$15</f>
        <v>56900.200979535</v>
      </c>
      <c r="AL28" s="32" t="n">
        <f aca="false">10_DEMAND!AL27+10_DEMAND!$C$15</f>
        <v>60645.0401581149</v>
      </c>
      <c r="AM28" s="32" t="n">
        <f aca="false">10_DEMAND!AM27+10_DEMAND!$C$15</f>
        <v>64649.7011515809</v>
      </c>
      <c r="AN28" s="32" t="n">
        <f aca="false">10_DEMAND!AN27+10_DEMAND!$C$15</f>
        <v>68933.0436762946</v>
      </c>
      <c r="AO28" s="32" t="n">
        <f aca="false">10_DEMAND!AO27+10_DEMAND!$C$15</f>
        <v>73515.3629640776</v>
      </c>
      <c r="AP28" s="32" t="n">
        <f aca="false">10_DEMAND!AP27+10_DEMAND!$C$15</f>
        <v>78418.5043866222</v>
      </c>
      <c r="AQ28" s="32" t="n">
        <f aca="false">10_DEMAND!AQ27+10_DEMAND!$C$15</f>
        <v>83665.9876605682</v>
      </c>
      <c r="AR28" s="32" t="n">
        <f aca="false">10_DEMAND!AR27+10_DEMAND!$C$15</f>
        <v>89283.1414675555</v>
      </c>
    </row>
    <row r="29" customFormat="false" ht="15" hidden="false" customHeight="false" outlineLevel="0" collapsed="false">
      <c r="A29" s="8" t="s">
        <v>376</v>
      </c>
      <c r="B29" s="8" t="s">
        <v>181</v>
      </c>
      <c r="E29" s="32" t="n">
        <f aca="false">10_DEMAND!E21*10_DEMAND!$G$8+10_DEMAND!E22*10_DEMAND!$G$9+10_DEMAND!E23*10_DEMAND!$G$10+10_DEMAND!E24*10_DEMAND!$G$11+10_DEMAND!E25*10_DEMAND!$G$12+10_DEMAND!E26*10_DEMAND!$G$13+10_DEMAND!$C$16</f>
        <v>6587.41</v>
      </c>
      <c r="F29" s="32" t="n">
        <f aca="false">10_DEMAND!F21*10_DEMAND!$G$8+10_DEMAND!F22*10_DEMAND!$G$9+10_DEMAND!F23*10_DEMAND!$G$10+10_DEMAND!F24*10_DEMAND!$G$11+10_DEMAND!F25*10_DEMAND!$G$12+10_DEMAND!F26*10_DEMAND!$G$13+10_DEMAND!$C$16</f>
        <v>6990.1731</v>
      </c>
      <c r="G29" s="32" t="n">
        <f aca="false">10_DEMAND!G21*10_DEMAND!$G$8+10_DEMAND!G22*10_DEMAND!$G$9+10_DEMAND!G23*10_DEMAND!$G$10+10_DEMAND!G24*10_DEMAND!$G$11+10_DEMAND!G25*10_DEMAND!$G$12+10_DEMAND!G26*10_DEMAND!$G$13+10_DEMAND!$C$16</f>
        <v>7418.341051</v>
      </c>
      <c r="H29" s="32" t="n">
        <f aca="false">10_DEMAND!H21*10_DEMAND!$G$8+10_DEMAND!H22*10_DEMAND!$G$9+10_DEMAND!H23*10_DEMAND!$G$10+10_DEMAND!H24*10_DEMAND!$G$11+10_DEMAND!H25*10_DEMAND!$G$12+10_DEMAND!H26*10_DEMAND!$G$13+10_DEMAND!$C$16</f>
        <v>7873.57024191</v>
      </c>
      <c r="I29" s="32" t="n">
        <f aca="false">10_DEMAND!I21*10_DEMAND!$G$8+10_DEMAND!I22*10_DEMAND!$G$9+10_DEMAND!I23*10_DEMAND!$G$10+10_DEMAND!I24*10_DEMAND!$G$11+10_DEMAND!I25*10_DEMAND!$G$12+10_DEMAND!I26*10_DEMAND!$G$13+10_DEMAND!$C$16</f>
        <v>8357.6290419811</v>
      </c>
      <c r="J29" s="32" t="n">
        <f aca="false">10_DEMAND!J21*10_DEMAND!$G$8+10_DEMAND!J22*10_DEMAND!$G$9+10_DEMAND!J23*10_DEMAND!$G$10+10_DEMAND!J24*10_DEMAND!$G$11+10_DEMAND!J25*10_DEMAND!$G$12+10_DEMAND!J26*10_DEMAND!$G$13+10_DEMAND!$C$16</f>
        <v>8872.40568150396</v>
      </c>
      <c r="K29" s="32" t="n">
        <f aca="false">10_DEMAND!K21*10_DEMAND!$G$8+10_DEMAND!K22*10_DEMAND!$G$9+10_DEMAND!K23*10_DEMAND!$G$10+10_DEMAND!K24*10_DEMAND!$G$11+10_DEMAND!K25*10_DEMAND!$G$12+10_DEMAND!K26*10_DEMAND!$G$13+10_DEMAND!$C$16</f>
        <v>9419.91671211814</v>
      </c>
      <c r="L29" s="32" t="n">
        <f aca="false">10_DEMAND!L21*10_DEMAND!$G$8+10_DEMAND!L22*10_DEMAND!$G$9+10_DEMAND!L23*10_DEMAND!$G$10+10_DEMAND!L24*10_DEMAND!$G$11+10_DEMAND!L25*10_DEMAND!$G$12+10_DEMAND!L26*10_DEMAND!$G$13+10_DEMAND!$C$16</f>
        <v>10002.3160914052</v>
      </c>
      <c r="M29" s="32" t="n">
        <f aca="false">10_DEMAND!M21*10_DEMAND!$G$8+10_DEMAND!M22*10_DEMAND!$G$9+10_DEMAND!M23*10_DEMAND!$G$10+10_DEMAND!M24*10_DEMAND!$G$11+10_DEMAND!M25*10_DEMAND!$G$12+10_DEMAND!M26*10_DEMAND!$G$13+10_DEMAND!$C$16</f>
        <v>10621.9049400473</v>
      </c>
      <c r="N29" s="32" t="n">
        <f aca="false">10_DEMAND!N21*10_DEMAND!$G$8+10_DEMAND!N22*10_DEMAND!$G$9+10_DEMAND!N23*10_DEMAND!$G$10+10_DEMAND!N24*10_DEMAND!$G$11+10_DEMAND!N25*10_DEMAND!$G$12+10_DEMAND!N26*10_DEMAND!$G$13+10_DEMAND!$C$16</f>
        <v>11281.142023749</v>
      </c>
      <c r="O29" s="32" t="n">
        <f aca="false">10_DEMAND!O21*10_DEMAND!$G$8+10_DEMAND!O22*10_DEMAND!$G$9+10_DEMAND!O23*10_DEMAND!$G$10+10_DEMAND!O24*10_DEMAND!$G$11+10_DEMAND!O25*10_DEMAND!$G$12+10_DEMAND!O26*10_DEMAND!$G$13+10_DEMAND!$C$16</f>
        <v>11982.6550163635</v>
      </c>
      <c r="P29" s="32" t="n">
        <f aca="false">10_DEMAND!P21*10_DEMAND!$G$8+10_DEMAND!P22*10_DEMAND!$G$9+10_DEMAND!P23*10_DEMAND!$G$10+10_DEMAND!P24*10_DEMAND!$G$11+10_DEMAND!P25*10_DEMAND!$G$12+10_DEMAND!P26*10_DEMAND!$G$13+10_DEMAND!$C$16</f>
        <v>12729.2526052753</v>
      </c>
      <c r="Q29" s="32" t="n">
        <f aca="false">10_DEMAND!Q21*10_DEMAND!$G$8+10_DEMAND!Q22*10_DEMAND!$G$9+10_DEMAND!Q23*10_DEMAND!$G$10+10_DEMAND!Q24*10_DEMAND!$G$11+10_DEMAND!Q25*10_DEMAND!$G$12+10_DEMAND!Q26*10_DEMAND!$G$13+10_DEMAND!$C$16</f>
        <v>13523.9375050891</v>
      </c>
      <c r="R29" s="32" t="n">
        <f aca="false">10_DEMAND!R21*10_DEMAND!$G$8+10_DEMAND!R22*10_DEMAND!$G$9+10_DEMAND!R23*10_DEMAND!$G$10+10_DEMAND!R24*10_DEMAND!$G$11+10_DEMAND!R25*10_DEMAND!$G$12+10_DEMAND!R26*10_DEMAND!$G$13+10_DEMAND!$C$16</f>
        <v>14369.920451103</v>
      </c>
      <c r="S29" s="32" t="n">
        <f aca="false">10_DEMAND!S21*10_DEMAND!$G$8+10_DEMAND!S22*10_DEMAND!$G$9+10_DEMAND!S23*10_DEMAND!$G$10+10_DEMAND!S24*10_DEMAND!$G$11+10_DEMAND!S25*10_DEMAND!$G$12+10_DEMAND!S26*10_DEMAND!$G$13+10_DEMAND!$C$16</f>
        <v>15270.6352499385</v>
      </c>
      <c r="T29" s="32" t="n">
        <f aca="false">10_DEMAND!T21*10_DEMAND!$G$8+10_DEMAND!T22*10_DEMAND!$G$9+10_DEMAND!T23*10_DEMAND!$G$10+10_DEMAND!T24*10_DEMAND!$G$11+10_DEMAND!T25*10_DEMAND!$G$12+10_DEMAND!T26*10_DEMAND!$G$13+10_DEMAND!$C$16</f>
        <v>16229.7549711008</v>
      </c>
      <c r="U29" s="32" t="n">
        <f aca="false">10_DEMAND!U21*10_DEMAND!$G$8+10_DEMAND!U22*10_DEMAND!$G$9+10_DEMAND!U23*10_DEMAND!$G$10+10_DEMAND!U24*10_DEMAND!$G$11+10_DEMAND!U25*10_DEMAND!$G$12+10_DEMAND!U26*10_DEMAND!$G$13+10_DEMAND!$C$16</f>
        <v>17251.2093701965</v>
      </c>
      <c r="V29" s="32" t="n">
        <f aca="false">10_DEMAND!V21*10_DEMAND!$G$8+10_DEMAND!V22*10_DEMAND!$G$9+10_DEMAND!V23*10_DEMAND!$G$10+10_DEMAND!V24*10_DEMAND!$G$11+10_DEMAND!V25*10_DEMAND!$G$12+10_DEMAND!V26*10_DEMAND!$G$13+10_DEMAND!$C$16</f>
        <v>18339.2036420894</v>
      </c>
      <c r="W29" s="32" t="n">
        <f aca="false">10_DEMAND!W21*10_DEMAND!$G$8+10_DEMAND!W22*10_DEMAND!$G$9+10_DEMAND!W23*10_DEMAND!$G$10+10_DEMAND!W24*10_DEMAND!$G$11+10_DEMAND!W25*10_DEMAND!$G$12+10_DEMAND!W26*10_DEMAND!$G$13+10_DEMAND!$C$16</f>
        <v>19498.2386104909</v>
      </c>
      <c r="X29" s="32" t="n">
        <f aca="false">10_DEMAND!X21*10_DEMAND!$G$8+10_DEMAND!X22*10_DEMAND!$G$9+10_DEMAND!X23*10_DEMAND!$G$10+10_DEMAND!X24*10_DEMAND!$G$11+10_DEMAND!X25*10_DEMAND!$G$12+10_DEMAND!X26*10_DEMAND!$G$13+10_DEMAND!$C$16</f>
        <v>20733.1324694037</v>
      </c>
      <c r="Y29" s="32" t="n">
        <f aca="false">10_DEMAND!Y21*10_DEMAND!$G$8+10_DEMAND!Y22*10_DEMAND!$G$9+10_DEMAND!Y23*10_DEMAND!$G$10+10_DEMAND!Y24*10_DEMAND!$G$11+10_DEMAND!Y25*10_DEMAND!$G$12+10_DEMAND!Y26*10_DEMAND!$G$13+10_DEMAND!$C$16</f>
        <v>22049.0442015466</v>
      </c>
      <c r="Z29" s="32" t="n">
        <f aca="false">10_DEMAND!Z21*10_DEMAND!$G$8+10_DEMAND!Z22*10_DEMAND!$G$9+10_DEMAND!Z23*10_DEMAND!$G$10+10_DEMAND!Z24*10_DEMAND!$G$11+10_DEMAND!Z25*10_DEMAND!$G$12+10_DEMAND!Z26*10_DEMAND!$G$13+10_DEMAND!$C$16</f>
        <v>23451.4988094436</v>
      </c>
      <c r="AA29" s="32" t="n">
        <f aca="false">10_DEMAND!AA21*10_DEMAND!$G$8+10_DEMAND!AA22*10_DEMAND!$G$9+10_DEMAND!AA23*10_DEMAND!$G$10+10_DEMAND!AA24*10_DEMAND!$G$11+10_DEMAND!AA25*10_DEMAND!$G$12+10_DEMAND!AA26*10_DEMAND!$G$13+10_DEMAND!$C$16</f>
        <v>24946.4145063433</v>
      </c>
      <c r="AB29" s="32" t="n">
        <f aca="false">10_DEMAND!AB21*10_DEMAND!$G$8+10_DEMAND!AB22*10_DEMAND!$G$9+10_DEMAND!AB23*10_DEMAND!$G$10+10_DEMAND!AB24*10_DEMAND!$G$11+10_DEMAND!AB25*10_DEMAND!$G$12+10_DEMAND!AB26*10_DEMAND!$G$13+10_DEMAND!$C$16</f>
        <v>26540.1320266304</v>
      </c>
      <c r="AC29" s="32" t="n">
        <f aca="false">10_DEMAND!AC21*10_DEMAND!$G$8+10_DEMAND!AC22*10_DEMAND!$G$9+10_DEMAND!AC23*10_DEMAND!$G$10+10_DEMAND!AC24*10_DEMAND!$G$11+10_DEMAND!AC25*10_DEMAND!$G$12+10_DEMAND!AC26*10_DEMAND!$G$13+10_DEMAND!$C$16</f>
        <v>28239.4462289874</v>
      </c>
      <c r="AD29" s="32" t="n">
        <f aca="false">10_DEMAND!AD21*10_DEMAND!$G$8+10_DEMAND!AD22*10_DEMAND!$G$9+10_DEMAND!AD23*10_DEMAND!$G$10+10_DEMAND!AD24*10_DEMAND!$G$11+10_DEMAND!AD25*10_DEMAND!$G$12+10_DEMAND!AD26*10_DEMAND!$G$13+10_DEMAND!$C$16</f>
        <v>30051.6401803658</v>
      </c>
      <c r="AE29" s="32" t="n">
        <f aca="false">10_DEMAND!AE21*10_DEMAND!$G$8+10_DEMAND!AE22*10_DEMAND!$G$9+10_DEMAND!AE23*10_DEMAND!$G$10+10_DEMAND!AE24*10_DEMAND!$G$11+10_DEMAND!AE25*10_DEMAND!$G$12+10_DEMAND!AE26*10_DEMAND!$G$13+10_DEMAND!$C$16</f>
        <v>31984.521924944</v>
      </c>
      <c r="AF29" s="32" t="n">
        <f aca="false">10_DEMAND!AF21*10_DEMAND!$G$8+10_DEMAND!AF22*10_DEMAND!$G$9+10_DEMAND!AF23*10_DEMAND!$G$10+10_DEMAND!AF24*10_DEMAND!$G$11+10_DEMAND!AF25*10_DEMAND!$G$12+10_DEMAND!AF26*10_DEMAND!$G$13+10_DEMAND!$C$16</f>
        <v>34046.464159796</v>
      </c>
      <c r="AG29" s="32" t="n">
        <f aca="false">10_DEMAND!AG21*10_DEMAND!$G$8+10_DEMAND!AG22*10_DEMAND!$G$9+10_DEMAND!AG23*10_DEMAND!$G$10+10_DEMAND!AG24*10_DEMAND!$G$11+10_DEMAND!AG25*10_DEMAND!$G$12+10_DEMAND!AG26*10_DEMAND!$G$13+10_DEMAND!$C$16</f>
        <v>36246.4470581113</v>
      </c>
      <c r="AH29" s="32" t="n">
        <f aca="false">10_DEMAND!AH21*10_DEMAND!$G$8+10_DEMAND!AH22*10_DEMAND!$G$9+10_DEMAND!AH23*10_DEMAND!$G$10+10_DEMAND!AH24*10_DEMAND!$G$11+10_DEMAND!AH25*10_DEMAND!$G$12+10_DEMAND!AH26*10_DEMAND!$G$13+10_DEMAND!$C$16</f>
        <v>38594.1045016316</v>
      </c>
      <c r="AI29" s="32" t="n">
        <f aca="false">10_DEMAND!AI21*10_DEMAND!$G$8+10_DEMAND!AI22*10_DEMAND!$G$9+10_DEMAND!AI23*10_DEMAND!$G$10+10_DEMAND!AI24*10_DEMAND!$G$11+10_DEMAND!AI25*10_DEMAND!$G$12+10_DEMAND!AI26*10_DEMAND!$G$13+10_DEMAND!$C$16</f>
        <v>41099.7740066641</v>
      </c>
      <c r="AJ29" s="32" t="n">
        <f aca="false">10_DEMAND!AJ21*10_DEMAND!$G$8+10_DEMAND!AJ22*10_DEMAND!$G$9+10_DEMAND!AJ23*10_DEMAND!$G$10+10_DEMAND!AJ24*10_DEMAND!$G$11+10_DEMAND!AJ25*10_DEMAND!$G$12+10_DEMAND!AJ26*10_DEMAND!$G$13+10_DEMAND!$C$16</f>
        <v>43774.5506527603</v>
      </c>
      <c r="AK29" s="32" t="n">
        <f aca="false">10_DEMAND!AK21*10_DEMAND!$G$8+10_DEMAND!AK22*10_DEMAND!$G$9+10_DEMAND!AK23*10_DEMAND!$G$10+10_DEMAND!AK24*10_DEMAND!$G$11+10_DEMAND!AK25*10_DEMAND!$G$12+10_DEMAND!AK26*10_DEMAND!$G$13+10_DEMAND!$C$16</f>
        <v>46630.3453501145</v>
      </c>
      <c r="AL29" s="32" t="n">
        <f aca="false">10_DEMAND!AL21*10_DEMAND!$G$8+10_DEMAND!AL22*10_DEMAND!$G$9+10_DEMAND!AL23*10_DEMAND!$G$10+10_DEMAND!AL24*10_DEMAND!$G$11+10_DEMAND!AL25*10_DEMAND!$G$12+10_DEMAND!AL26*10_DEMAND!$G$13+10_DEMAND!$C$16</f>
        <v>49679.9478111282</v>
      </c>
      <c r="AM29" s="32" t="n">
        <f aca="false">10_DEMAND!AM21*10_DEMAND!$G$8+10_DEMAND!AM22*10_DEMAND!$G$9+10_DEMAND!AM23*10_DEMAND!$G$10+10_DEMAND!AM24*10_DEMAND!$G$11+10_DEMAND!AM25*10_DEMAND!$G$12+10_DEMAND!AM26*10_DEMAND!$G$13+10_DEMAND!$C$16</f>
        <v>52937.0946236484</v>
      </c>
      <c r="AN29" s="32" t="n">
        <f aca="false">10_DEMAND!AN21*10_DEMAND!$G$8+10_DEMAND!AN22*10_DEMAND!$G$9+10_DEMAND!AN23*10_DEMAND!$G$10+10_DEMAND!AN24*10_DEMAND!$G$11+10_DEMAND!AN25*10_DEMAND!$G$12+10_DEMAND!AN26*10_DEMAND!$G$13+10_DEMAND!$C$16</f>
        <v>56416.5428583494</v>
      </c>
      <c r="AO29" s="32" t="n">
        <f aca="false">10_DEMAND!AO21*10_DEMAND!$G$8+10_DEMAND!AO22*10_DEMAND!$G$9+10_DEMAND!AO23*10_DEMAND!$G$10+10_DEMAND!AO24*10_DEMAND!$G$11+10_DEMAND!AO25*10_DEMAND!$G$12+10_DEMAND!AO26*10_DEMAND!$G$13+10_DEMAND!$C$16</f>
        <v>60134.1496808786</v>
      </c>
      <c r="AP29" s="32" t="n">
        <f aca="false">10_DEMAND!AP21*10_DEMAND!$G$8+10_DEMAND!AP22*10_DEMAND!$G$9+10_DEMAND!AP23*10_DEMAND!$G$10+10_DEMAND!AP24*10_DEMAND!$G$11+10_DEMAND!AP25*10_DEMAND!$G$12+10_DEMAND!AP26*10_DEMAND!$G$13+10_DEMAND!$C$16</f>
        <v>64106.9584810054</v>
      </c>
      <c r="AQ29" s="32" t="n">
        <f aca="false">10_DEMAND!AQ21*10_DEMAND!$G$8+10_DEMAND!AQ22*10_DEMAND!$G$9+10_DEMAND!AQ23*10_DEMAND!$G$10+10_DEMAND!AQ24*10_DEMAND!$G$11+10_DEMAND!AQ25*10_DEMAND!$G$12+10_DEMAND!AQ26*10_DEMAND!$G$13+10_DEMAND!$C$16</f>
        <v>68353.2920764405</v>
      </c>
      <c r="AR29" s="32" t="n">
        <f aca="false">10_DEMAND!AR21*10_DEMAND!$G$8+10_DEMAND!AR22*10_DEMAND!$G$9+10_DEMAND!AR23*10_DEMAND!$G$10+10_DEMAND!AR24*10_DEMAND!$G$11+10_DEMAND!AR25*10_DEMAND!$G$12+10_DEMAND!AR26*10_DEMAND!$G$13+10_DEMAND!$C$16</f>
        <v>72892.8535985735</v>
      </c>
    </row>
    <row r="30" customFormat="false" ht="15" hidden="false" customHeight="false" outlineLevel="0" collapsed="false">
      <c r="A30" s="8" t="s">
        <v>377</v>
      </c>
      <c r="B30" s="8" t="s">
        <v>181</v>
      </c>
      <c r="E30" s="32" t="n">
        <f aca="false">10_DEMAND!E27/(1-12_UTILITY!$C$11-12_UTILITY!$C$12)</f>
        <v>9935.89743589744</v>
      </c>
      <c r="F30" s="32" t="n">
        <f aca="false">10_DEMAND!F27/(1-12_UTILITY!$C$11-12_UTILITY!$C$12)</f>
        <v>10549.6282051282</v>
      </c>
      <c r="G30" s="32" t="n">
        <f aca="false">10_DEMAND!G27/(1-12_UTILITY!$C$11-12_UTILITY!$C$12)</f>
        <v>11202.6001282051</v>
      </c>
      <c r="H30" s="32" t="n">
        <f aca="false">10_DEMAND!H27/(1-12_UTILITY!$C$11-12_UTILITY!$C$12)</f>
        <v>11897.4137858974</v>
      </c>
      <c r="I30" s="32" t="n">
        <f aca="false">10_DEMAND!I27/(1-12_UTILITY!$C$11-12_UTILITY!$C$12)</f>
        <v>12636.8488380128</v>
      </c>
      <c r="J30" s="32" t="n">
        <f aca="false">10_DEMAND!J27/(1-12_UTILITY!$C$11-12_UTILITY!$C$12)</f>
        <v>13423.8768778309</v>
      </c>
      <c r="K30" s="32" t="n">
        <f aca="false">10_DEMAND!K27/(1-12_UTILITY!$C$11-12_UTILITY!$C$12)</f>
        <v>14261.6752512344</v>
      </c>
      <c r="L30" s="32" t="n">
        <f aca="false">10_DEMAND!L27/(1-12_UTILITY!$C$11-12_UTILITY!$C$12)</f>
        <v>15153.6419163539</v>
      </c>
      <c r="M30" s="32" t="n">
        <f aca="false">10_DEMAND!M27/(1-12_UTILITY!$C$11-12_UTILITY!$C$12)</f>
        <v>16103.4114257777</v>
      </c>
      <c r="N30" s="32" t="n">
        <f aca="false">10_DEMAND!N27/(1-12_UTILITY!$C$11-12_UTILITY!$C$12)</f>
        <v>17114.8721201467</v>
      </c>
      <c r="O30" s="32" t="n">
        <f aca="false">10_DEMAND!O27/(1-12_UTILITY!$C$11-12_UTILITY!$C$12)</f>
        <v>18192.1846293101</v>
      </c>
      <c r="P30" s="32" t="n">
        <f aca="false">10_DEMAND!P27/(1-12_UTILITY!$C$11-12_UTILITY!$C$12)</f>
        <v>19339.8017851999</v>
      </c>
      <c r="Q30" s="32" t="n">
        <f aca="false">10_DEMAND!Q27/(1-12_UTILITY!$C$11-12_UTILITY!$C$12)</f>
        <v>20562.4900592641</v>
      </c>
      <c r="R30" s="32" t="n">
        <f aca="false">10_DEMAND!R27/(1-12_UTILITY!$C$11-12_UTILITY!$C$12)</f>
        <v>21865.3526467279</v>
      </c>
      <c r="S30" s="32" t="n">
        <f aca="false">10_DEMAND!S27/(1-12_UTILITY!$C$11-12_UTILITY!$C$12)</f>
        <v>23253.8543302028</v>
      </c>
      <c r="T30" s="32" t="n">
        <f aca="false">10_DEMAND!T27/(1-12_UTILITY!$C$11-12_UTILITY!$C$12)</f>
        <v>24733.8482663124</v>
      </c>
      <c r="U30" s="32" t="n">
        <f aca="false">10_DEMAND!U27/(1-12_UTILITY!$C$11-12_UTILITY!$C$12)</f>
        <v>26311.6048511232</v>
      </c>
      <c r="V30" s="32" t="n">
        <f aca="false">10_DEMAND!V27/(1-12_UTILITY!$C$11-12_UTILITY!$C$12)</f>
        <v>27993.8428333547</v>
      </c>
      <c r="W30" s="32" t="n">
        <f aca="false">10_DEMAND!W27/(1-12_UTILITY!$C$11-12_UTILITY!$C$12)</f>
        <v>29787.7628586896</v>
      </c>
      <c r="X30" s="32" t="n">
        <f aca="false">10_DEMAND!X27/(1-12_UTILITY!$C$11-12_UTILITY!$C$12)</f>
        <v>31701.0836441145</v>
      </c>
      <c r="Y30" s="32" t="n">
        <f aca="false">10_DEMAND!Y27/(1-12_UTILITY!$C$11-12_UTILITY!$C$12)</f>
        <v>33742.0809982144</v>
      </c>
      <c r="Z30" s="32" t="n">
        <f aca="false">10_DEMAND!Z27/(1-12_UTILITY!$C$11-12_UTILITY!$C$12)</f>
        <v>35919.6299218434</v>
      </c>
      <c r="AA30" s="32" t="n">
        <f aca="false">10_DEMAND!AA27/(1-12_UTILITY!$C$11-12_UTILITY!$C$12)</f>
        <v>38243.2500437348</v>
      </c>
      <c r="AB30" s="32" t="n">
        <f aca="false">10_DEMAND!AB27/(1-12_UTILITY!$C$11-12_UTILITY!$C$12)</f>
        <v>40723.1546675585</v>
      </c>
      <c r="AC30" s="32" t="n">
        <f aca="false">10_DEMAND!AC27/(1-12_UTILITY!$C$11-12_UTILITY!$C$12)</f>
        <v>43370.3037308254</v>
      </c>
      <c r="AD30" s="32" t="n">
        <f aca="false">10_DEMAND!AD27/(1-12_UTILITY!$C$11-12_UTILITY!$C$12)</f>
        <v>46196.4610020854</v>
      </c>
      <c r="AE30" s="32" t="n">
        <f aca="false">10_DEMAND!AE27/(1-12_UTILITY!$C$11-12_UTILITY!$C$12)</f>
        <v>49214.2558712408</v>
      </c>
      <c r="AF30" s="32" t="n">
        <f aca="false">10_DEMAND!AF27/(1-12_UTILITY!$C$11-12_UTILITY!$C$12)</f>
        <v>52437.2501187284</v>
      </c>
      <c r="AG30" s="32" t="n">
        <f aca="false">10_DEMAND!AG27/(1-12_UTILITY!$C$11-12_UTILITY!$C$12)</f>
        <v>55880.0100830502</v>
      </c>
      <c r="AH30" s="32" t="n">
        <f aca="false">10_DEMAND!AH27/(1-12_UTILITY!$C$11-12_UTILITY!$C$12)</f>
        <v>59558.1846829032</v>
      </c>
      <c r="AI30" s="32" t="n">
        <f aca="false">10_DEMAND!AI27/(1-12_UTILITY!$C$11-12_UTILITY!$C$12)</f>
        <v>63488.5897902627</v>
      </c>
      <c r="AJ30" s="32" t="n">
        <f aca="false">10_DEMAND!AJ27/(1-12_UTILITY!$C$11-12_UTILITY!$C$12)</f>
        <v>67689.2994945273</v>
      </c>
      <c r="AK30" s="32" t="n">
        <f aca="false">10_DEMAND!AK27/(1-12_UTILITY!$C$11-12_UTILITY!$C$12)</f>
        <v>72179.7448455577</v>
      </c>
      <c r="AL30" s="32" t="n">
        <f aca="false">10_DEMAND!AL27/(1-12_UTILITY!$C$11-12_UTILITY!$C$12)</f>
        <v>76980.820715532</v>
      </c>
      <c r="AM30" s="32" t="n">
        <f aca="false">10_DEMAND!AM27/(1-12_UTILITY!$C$11-12_UTILITY!$C$12)</f>
        <v>82115.0014763858</v>
      </c>
      <c r="AN30" s="32" t="n">
        <f aca="false">10_DEMAND!AN27/(1-12_UTILITY!$C$11-12_UTILITY!$C$12)</f>
        <v>87606.4662516598</v>
      </c>
      <c r="AO30" s="32" t="n">
        <f aca="false">10_DEMAND!AO27/(1-12_UTILITY!$C$11-12_UTILITY!$C$12)</f>
        <v>93481.2345693302</v>
      </c>
      <c r="AP30" s="32" t="n">
        <f aca="false">10_DEMAND!AP27/(1-12_UTILITY!$C$11-12_UTILITY!$C$12)</f>
        <v>99767.3133161823</v>
      </c>
      <c r="AQ30" s="32" t="n">
        <f aca="false">10_DEMAND!AQ27/(1-12_UTILITY!$C$11-12_UTILITY!$C$12)</f>
        <v>106494.855975087</v>
      </c>
      <c r="AR30" s="32" t="n">
        <f aca="false">10_DEMAND!AR27/(1-12_UTILITY!$C$11-12_UTILITY!$C$12)</f>
        <v>113696.335214815</v>
      </c>
    </row>
    <row r="31" customFormat="false" ht="15" hidden="false" customHeight="false" outlineLevel="0" collapsed="false">
      <c r="A31" s="8" t="s">
        <v>378</v>
      </c>
      <c r="B31" s="8" t="s">
        <v>181</v>
      </c>
      <c r="E31" s="32" t="n">
        <f aca="false">10_DEMAND!$C$17*(1+10_DEMAND!$C$18)^(06_CONSTRUCTION!E4-02_PROJECT_INPUTS!$C$11)</f>
        <v>8987</v>
      </c>
      <c r="F31" s="32" t="n">
        <f aca="false">10_DEMAND!$C$17*(1+10_DEMAND!$C$18)^(06_CONSTRUCTION!F4-02_PROJECT_INPUTS!$C$11)</f>
        <v>9391.415</v>
      </c>
      <c r="G31" s="32" t="n">
        <f aca="false">10_DEMAND!$C$17*(1+10_DEMAND!$C$18)^(06_CONSTRUCTION!G4-02_PROJECT_INPUTS!$C$11)</f>
        <v>9814.028675</v>
      </c>
      <c r="H31" s="32" t="n">
        <f aca="false">10_DEMAND!$C$17*(1+10_DEMAND!$C$18)^(06_CONSTRUCTION!H4-02_PROJECT_INPUTS!$C$11)</f>
        <v>10255.659965375</v>
      </c>
      <c r="I31" s="32" t="n">
        <f aca="false">10_DEMAND!$C$17*(1+10_DEMAND!$C$18)^(06_CONSTRUCTION!I4-02_PROJECT_INPUTS!$C$11)</f>
        <v>10717.1646638169</v>
      </c>
      <c r="J31" s="32" t="n">
        <f aca="false">10_DEMAND!$C$17*(1+10_DEMAND!$C$18)^(06_CONSTRUCTION!J4-02_PROJECT_INPUTS!$C$11)</f>
        <v>11199.4370736886</v>
      </c>
      <c r="K31" s="32" t="n">
        <f aca="false">10_DEMAND!$C$17*(1+10_DEMAND!$C$18)^(06_CONSTRUCTION!K4-02_PROJECT_INPUTS!$C$11)</f>
        <v>11703.4117420046</v>
      </c>
      <c r="L31" s="32" t="n">
        <f aca="false">10_DEMAND!$C$17*(1+10_DEMAND!$C$18)^(06_CONSTRUCTION!L4-02_PROJECT_INPUTS!$C$11)</f>
        <v>12230.0652703948</v>
      </c>
      <c r="M31" s="32" t="n">
        <f aca="false">10_DEMAND!$C$17*(1+10_DEMAND!$C$18)^(06_CONSTRUCTION!M4-02_PROJECT_INPUTS!$C$11)</f>
        <v>12780.4182075626</v>
      </c>
      <c r="N31" s="32" t="n">
        <f aca="false">10_DEMAND!$C$17*(1+10_DEMAND!$C$18)^(06_CONSTRUCTION!N4-02_PROJECT_INPUTS!$C$11)</f>
        <v>13355.5370269029</v>
      </c>
      <c r="O31" s="32" t="n">
        <f aca="false">10_DEMAND!$C$17*(1+10_DEMAND!$C$18)^(06_CONSTRUCTION!O4-02_PROJECT_INPUTS!$C$11)</f>
        <v>13956.5361931135</v>
      </c>
      <c r="P31" s="32" t="n">
        <f aca="false">10_DEMAND!$C$17*(1+10_DEMAND!$C$18)^(06_CONSTRUCTION!P4-02_PROJECT_INPUTS!$C$11)</f>
        <v>14584.5803218036</v>
      </c>
      <c r="Q31" s="32" t="n">
        <f aca="false">10_DEMAND!$C$17*(1+10_DEMAND!$C$18)^(06_CONSTRUCTION!Q4-02_PROJECT_INPUTS!$C$11)</f>
        <v>15240.8864362848</v>
      </c>
      <c r="R31" s="32" t="n">
        <f aca="false">10_DEMAND!$C$17*(1+10_DEMAND!$C$18)^(06_CONSTRUCTION!R4-02_PROJECT_INPUTS!$C$11)</f>
        <v>15926.7263259176</v>
      </c>
      <c r="S31" s="32" t="n">
        <f aca="false">10_DEMAND!$C$17*(1+10_DEMAND!$C$18)^(06_CONSTRUCTION!S4-02_PROJECT_INPUTS!$C$11)</f>
        <v>16643.4290105839</v>
      </c>
      <c r="T31" s="32" t="n">
        <f aca="false">10_DEMAND!$C$17*(1+10_DEMAND!$C$18)^(06_CONSTRUCTION!T4-02_PROJECT_INPUTS!$C$11)</f>
        <v>17392.3833160602</v>
      </c>
      <c r="U31" s="32" t="n">
        <f aca="false">10_DEMAND!$C$17*(1+10_DEMAND!$C$18)^(06_CONSTRUCTION!U4-02_PROJECT_INPUTS!$C$11)</f>
        <v>18175.0405652829</v>
      </c>
      <c r="V31" s="32" t="n">
        <f aca="false">10_DEMAND!$C$17*(1+10_DEMAND!$C$18)^(06_CONSTRUCTION!V4-02_PROJECT_INPUTS!$C$11)</f>
        <v>18992.9173907206</v>
      </c>
      <c r="W31" s="32" t="n">
        <f aca="false">10_DEMAND!$C$17*(1+10_DEMAND!$C$18)^(06_CONSTRUCTION!W4-02_PROJECT_INPUTS!$C$11)</f>
        <v>19847.5986733031</v>
      </c>
      <c r="X31" s="32" t="n">
        <f aca="false">10_DEMAND!$C$17*(1+10_DEMAND!$C$18)^(06_CONSTRUCTION!X4-02_PROJECT_INPUTS!$C$11)</f>
        <v>20740.7406136017</v>
      </c>
      <c r="Y31" s="32" t="n">
        <f aca="false">10_DEMAND!$C$17*(1+10_DEMAND!$C$18)^(06_CONSTRUCTION!Y4-02_PROJECT_INPUTS!$C$11)</f>
        <v>21674.0739412138</v>
      </c>
      <c r="Z31" s="32" t="n">
        <f aca="false">10_DEMAND!$C$17*(1+10_DEMAND!$C$18)^(06_CONSTRUCTION!Z4-02_PROJECT_INPUTS!$C$11)</f>
        <v>22649.4072685684</v>
      </c>
      <c r="AA31" s="32" t="n">
        <f aca="false">10_DEMAND!$C$17*(1+10_DEMAND!$C$18)^(06_CONSTRUCTION!AA4-02_PROJECT_INPUTS!$C$11)</f>
        <v>23668.630595654</v>
      </c>
      <c r="AB31" s="32" t="n">
        <f aca="false">10_DEMAND!$C$17*(1+10_DEMAND!$C$18)^(06_CONSTRUCTION!AB4-02_PROJECT_INPUTS!$C$11)</f>
        <v>24733.7189724584</v>
      </c>
      <c r="AC31" s="32" t="n">
        <f aca="false">10_DEMAND!$C$17*(1+10_DEMAND!$C$18)^(06_CONSTRUCTION!AC4-02_PROJECT_INPUTS!$C$11)</f>
        <v>25846.736326219</v>
      </c>
      <c r="AD31" s="32" t="n">
        <f aca="false">10_DEMAND!$C$17*(1+10_DEMAND!$C$18)^(06_CONSTRUCTION!AD4-02_PROJECT_INPUTS!$C$11)</f>
        <v>27009.8394608989</v>
      </c>
      <c r="AE31" s="32" t="n">
        <f aca="false">10_DEMAND!$C$17*(1+10_DEMAND!$C$18)^(06_CONSTRUCTION!AE4-02_PROJECT_INPUTS!$C$11)</f>
        <v>28225.2822366393</v>
      </c>
      <c r="AF31" s="32" t="n">
        <f aca="false">10_DEMAND!$C$17*(1+10_DEMAND!$C$18)^(06_CONSTRUCTION!AF4-02_PROJECT_INPUTS!$C$11)</f>
        <v>29495.4199372881</v>
      </c>
      <c r="AG31" s="32" t="n">
        <f aca="false">10_DEMAND!$C$17*(1+10_DEMAND!$C$18)^(06_CONSTRUCTION!AG4-02_PROJECT_INPUTS!$C$11)</f>
        <v>30822.713834466</v>
      </c>
      <c r="AH31" s="32" t="n">
        <f aca="false">10_DEMAND!$C$17*(1+10_DEMAND!$C$18)^(06_CONSTRUCTION!AH4-02_PROJECT_INPUTS!$C$11)</f>
        <v>32209.735957017</v>
      </c>
      <c r="AI31" s="32" t="n">
        <f aca="false">10_DEMAND!$C$17*(1+10_DEMAND!$C$18)^(06_CONSTRUCTION!AI4-02_PROJECT_INPUTS!$C$11)</f>
        <v>33659.1740750828</v>
      </c>
      <c r="AJ31" s="32" t="n">
        <f aca="false">10_DEMAND!$C$17*(1+10_DEMAND!$C$18)^(06_CONSTRUCTION!AJ4-02_PROJECT_INPUTS!$C$11)</f>
        <v>35173.8369084615</v>
      </c>
      <c r="AK31" s="32" t="n">
        <f aca="false">10_DEMAND!$C$17*(1+10_DEMAND!$C$18)^(06_CONSTRUCTION!AK4-02_PROJECT_INPUTS!$C$11)</f>
        <v>36756.6595693423</v>
      </c>
      <c r="AL31" s="32" t="n">
        <f aca="false">10_DEMAND!$C$17*(1+10_DEMAND!$C$18)^(06_CONSTRUCTION!AL4-02_PROJECT_INPUTS!$C$11)</f>
        <v>38410.7092499627</v>
      </c>
      <c r="AM31" s="32" t="n">
        <f aca="false">10_DEMAND!$C$17*(1+10_DEMAND!$C$18)^(06_CONSTRUCTION!AM4-02_PROJECT_INPUTS!$C$11)</f>
        <v>40139.191166211</v>
      </c>
      <c r="AN31" s="32" t="n">
        <f aca="false">10_DEMAND!$C$17*(1+10_DEMAND!$C$18)^(06_CONSTRUCTION!AN4-02_PROJECT_INPUTS!$C$11)</f>
        <v>41945.4547686905</v>
      </c>
      <c r="AO31" s="32" t="n">
        <f aca="false">10_DEMAND!$C$17*(1+10_DEMAND!$C$18)^(06_CONSTRUCTION!AO4-02_PROJECT_INPUTS!$C$11)</f>
        <v>43833.0002332815</v>
      </c>
      <c r="AP31" s="32" t="n">
        <f aca="false">10_DEMAND!$C$17*(1+10_DEMAND!$C$18)^(06_CONSTRUCTION!AP4-02_PROJECT_INPUTS!$C$11)</f>
        <v>45805.4852437792</v>
      </c>
      <c r="AQ31" s="32" t="n">
        <f aca="false">10_DEMAND!$C$17*(1+10_DEMAND!$C$18)^(06_CONSTRUCTION!AQ4-02_PROJECT_INPUTS!$C$11)</f>
        <v>47866.7320797493</v>
      </c>
      <c r="AR31" s="32" t="n">
        <f aca="false">10_DEMAND!$C$17*(1+10_DEMAND!$C$18)^(06_CONSTRUCTION!AR4-02_PROJECT_INPUTS!$C$11)</f>
        <v>50020.735023338</v>
      </c>
    </row>
    <row r="32" customFormat="false" ht="15" hidden="false" customHeight="false" outlineLevel="0" collapsed="false">
      <c r="A32" s="8" t="s">
        <v>379</v>
      </c>
      <c r="B32" s="8" t="s">
        <v>181</v>
      </c>
      <c r="E32" s="32" t="n">
        <f aca="false">MAX(0,10_DEMAND!E30-10_DEMAND!E31)</f>
        <v>948.897435897436</v>
      </c>
      <c r="F32" s="32" t="n">
        <f aca="false">MAX(0,10_DEMAND!F30-10_DEMAND!F31)</f>
        <v>1158.21320512821</v>
      </c>
      <c r="G32" s="32" t="n">
        <f aca="false">MAX(0,10_DEMAND!G30-10_DEMAND!G31)</f>
        <v>1388.57145320513</v>
      </c>
      <c r="H32" s="32" t="n">
        <f aca="false">MAX(0,10_DEMAND!H30-10_DEMAND!H31)</f>
        <v>1641.75382052244</v>
      </c>
      <c r="I32" s="32" t="n">
        <f aca="false">MAX(0,10_DEMAND!I30-10_DEMAND!I31)</f>
        <v>1919.68417419595</v>
      </c>
      <c r="J32" s="32" t="n">
        <f aca="false">MAX(0,10_DEMAND!J30-10_DEMAND!J31)</f>
        <v>2224.43980414227</v>
      </c>
      <c r="K32" s="32" t="n">
        <f aca="false">MAX(0,10_DEMAND!K30-10_DEMAND!K31)</f>
        <v>2558.26350922977</v>
      </c>
      <c r="L32" s="32" t="n">
        <f aca="false">MAX(0,10_DEMAND!L30-10_DEMAND!L31)</f>
        <v>2923.57664595911</v>
      </c>
      <c r="M32" s="32" t="n">
        <f aca="false">MAX(0,10_DEMAND!M30-10_DEMAND!M31)</f>
        <v>3322.99321821508</v>
      </c>
      <c r="N32" s="32" t="n">
        <f aca="false">MAX(0,10_DEMAND!N30-10_DEMAND!N31)</f>
        <v>3759.3350932438</v>
      </c>
      <c r="O32" s="32" t="n">
        <f aca="false">MAX(0,10_DEMAND!O30-10_DEMAND!O31)</f>
        <v>4235.64843619659</v>
      </c>
      <c r="P32" s="32" t="n">
        <f aca="false">MAX(0,10_DEMAND!P30-10_DEMAND!P31)</f>
        <v>4755.22146339626</v>
      </c>
      <c r="Q32" s="32" t="n">
        <f aca="false">MAX(0,10_DEMAND!Q30-10_DEMAND!Q31)</f>
        <v>5321.60362297934</v>
      </c>
      <c r="R32" s="32" t="n">
        <f aca="false">MAX(0,10_DEMAND!R30-10_DEMAND!R31)</f>
        <v>5938.62632081029</v>
      </c>
      <c r="S32" s="32" t="n">
        <f aca="false">MAX(0,10_DEMAND!S30-10_DEMAND!S31)</f>
        <v>6610.42531961888</v>
      </c>
      <c r="T32" s="32" t="n">
        <f aca="false">MAX(0,10_DEMAND!T30-10_DEMAND!T31)</f>
        <v>7341.46495025224</v>
      </c>
      <c r="U32" s="32" t="n">
        <f aca="false">MAX(0,10_DEMAND!U30-10_DEMAND!U31)</f>
        <v>8136.56428584033</v>
      </c>
      <c r="V32" s="32" t="n">
        <f aca="false">MAX(0,10_DEMAND!V30-10_DEMAND!V31)</f>
        <v>9000.9254426341</v>
      </c>
      <c r="W32" s="32" t="n">
        <f aca="false">MAX(0,10_DEMAND!W30-10_DEMAND!W31)</f>
        <v>9940.16418538654</v>
      </c>
      <c r="X32" s="32" t="n">
        <f aca="false">MAX(0,10_DEMAND!X30-10_DEMAND!X31)</f>
        <v>10960.3430305128</v>
      </c>
      <c r="Y32" s="32" t="n">
        <f aca="false">MAX(0,10_DEMAND!Y30-10_DEMAND!Y31)</f>
        <v>12068.0070570007</v>
      </c>
      <c r="Z32" s="32" t="n">
        <f aca="false">MAX(0,10_DEMAND!Z30-10_DEMAND!Z31)</f>
        <v>13270.222653275</v>
      </c>
      <c r="AA32" s="32" t="n">
        <f aca="false">MAX(0,10_DEMAND!AA30-10_DEMAND!AA31)</f>
        <v>14574.6194480809</v>
      </c>
      <c r="AB32" s="32" t="n">
        <f aca="false">MAX(0,10_DEMAND!AB30-10_DEMAND!AB31)</f>
        <v>15989.4356951001</v>
      </c>
      <c r="AC32" s="32" t="n">
        <f aca="false">MAX(0,10_DEMAND!AC30-10_DEMAND!AC31)</f>
        <v>17523.5674046063</v>
      </c>
      <c r="AD32" s="32" t="n">
        <f aca="false">MAX(0,10_DEMAND!AD30-10_DEMAND!AD31)</f>
        <v>19186.6215411865</v>
      </c>
      <c r="AE32" s="32" t="n">
        <f aca="false">MAX(0,10_DEMAND!AE30-10_DEMAND!AE31)</f>
        <v>20988.9736346015</v>
      </c>
      <c r="AF32" s="32" t="n">
        <f aca="false">MAX(0,10_DEMAND!AF30-10_DEMAND!AF31)</f>
        <v>22941.8301814403</v>
      </c>
      <c r="AG32" s="32" t="n">
        <f aca="false">MAX(0,10_DEMAND!AG30-10_DEMAND!AG31)</f>
        <v>25057.2962485842</v>
      </c>
      <c r="AH32" s="32" t="n">
        <f aca="false">MAX(0,10_DEMAND!AH30-10_DEMAND!AH31)</f>
        <v>27348.4487258861</v>
      </c>
      <c r="AI32" s="32" t="n">
        <f aca="false">MAX(0,10_DEMAND!AI30-10_DEMAND!AI31)</f>
        <v>29829.4157151799</v>
      </c>
      <c r="AJ32" s="32" t="n">
        <f aca="false">MAX(0,10_DEMAND!AJ30-10_DEMAND!AJ31)</f>
        <v>32515.4625860659</v>
      </c>
      <c r="AK32" s="32" t="n">
        <f aca="false">MAX(0,10_DEMAND!AK30-10_DEMAND!AK31)</f>
        <v>35423.0852762155</v>
      </c>
      <c r="AL32" s="32" t="n">
        <f aca="false">MAX(0,10_DEMAND!AL30-10_DEMAND!AL31)</f>
        <v>38570.1114655693</v>
      </c>
      <c r="AM32" s="32" t="n">
        <f aca="false">MAX(0,10_DEMAND!AM30-10_DEMAND!AM31)</f>
        <v>41975.8103101748</v>
      </c>
      <c r="AN32" s="32" t="n">
        <f aca="false">MAX(0,10_DEMAND!AN30-10_DEMAND!AN31)</f>
        <v>45661.0114829693</v>
      </c>
      <c r="AO32" s="32" t="n">
        <f aca="false">MAX(0,10_DEMAND!AO30-10_DEMAND!AO31)</f>
        <v>49648.2343360487</v>
      </c>
      <c r="AP32" s="32" t="n">
        <f aca="false">MAX(0,10_DEMAND!AP30-10_DEMAND!AP31)</f>
        <v>53961.8280724031</v>
      </c>
      <c r="AQ32" s="32" t="n">
        <f aca="false">MAX(0,10_DEMAND!AQ30-10_DEMAND!AQ31)</f>
        <v>58628.1238953382</v>
      </c>
      <c r="AR32" s="32" t="n">
        <f aca="false">MAX(0,10_DEMAND!AR30-10_DEMAND!AR31)</f>
        <v>63675.6001914768</v>
      </c>
    </row>
    <row r="33" customFormat="false" ht="15" hidden="false" customHeight="false" outlineLevel="0" collapsed="false">
      <c r="A33" s="8" t="s">
        <v>380</v>
      </c>
      <c r="B33" s="8" t="s">
        <v>181</v>
      </c>
      <c r="E33" s="32" t="n">
        <f aca="false">10_DEMAND!E32+10_DEMAND!$C$19+10_DEMAND!$C$16</f>
        <v>1448.89743589744</v>
      </c>
      <c r="F33" s="32" t="n">
        <f aca="false">10_DEMAND!F32+10_DEMAND!$C$19+10_DEMAND!$C$16</f>
        <v>1658.21320512821</v>
      </c>
      <c r="G33" s="32" t="n">
        <f aca="false">10_DEMAND!G32+10_DEMAND!$C$19+10_DEMAND!$C$16</f>
        <v>1888.57145320513</v>
      </c>
      <c r="H33" s="32" t="n">
        <f aca="false">10_DEMAND!H32+10_DEMAND!$C$19+10_DEMAND!$C$16</f>
        <v>2141.75382052244</v>
      </c>
      <c r="I33" s="32" t="n">
        <f aca="false">10_DEMAND!I32+10_DEMAND!$C$19+10_DEMAND!$C$16</f>
        <v>2419.68417419595</v>
      </c>
      <c r="J33" s="32" t="n">
        <f aca="false">10_DEMAND!J32+10_DEMAND!$C$19+10_DEMAND!$C$16</f>
        <v>2724.43980414227</v>
      </c>
      <c r="K33" s="32" t="n">
        <f aca="false">10_DEMAND!K32+10_DEMAND!$C$19+10_DEMAND!$C$16</f>
        <v>3058.26350922977</v>
      </c>
      <c r="L33" s="32" t="n">
        <f aca="false">10_DEMAND!L32+10_DEMAND!$C$19+10_DEMAND!$C$16</f>
        <v>3423.57664595911</v>
      </c>
      <c r="M33" s="32" t="n">
        <f aca="false">10_DEMAND!M32+10_DEMAND!$C$19+10_DEMAND!$C$16</f>
        <v>3822.99321821508</v>
      </c>
      <c r="N33" s="32" t="n">
        <f aca="false">10_DEMAND!N32+10_DEMAND!$C$19+10_DEMAND!$C$16</f>
        <v>4259.3350932438</v>
      </c>
      <c r="O33" s="32" t="n">
        <f aca="false">10_DEMAND!O32+10_DEMAND!$C$19+10_DEMAND!$C$16</f>
        <v>4735.64843619659</v>
      </c>
      <c r="P33" s="32" t="n">
        <f aca="false">10_DEMAND!P32+10_DEMAND!$C$19+10_DEMAND!$C$16</f>
        <v>5255.22146339626</v>
      </c>
      <c r="Q33" s="32" t="n">
        <f aca="false">10_DEMAND!Q32+10_DEMAND!$C$19+10_DEMAND!$C$16</f>
        <v>5821.60362297934</v>
      </c>
      <c r="R33" s="32" t="n">
        <f aca="false">10_DEMAND!R32+10_DEMAND!$C$19+10_DEMAND!$C$16</f>
        <v>6438.62632081029</v>
      </c>
      <c r="S33" s="32" t="n">
        <f aca="false">10_DEMAND!S32+10_DEMAND!$C$19+10_DEMAND!$C$16</f>
        <v>7110.42531961888</v>
      </c>
      <c r="T33" s="32" t="n">
        <f aca="false">10_DEMAND!T32+10_DEMAND!$C$19+10_DEMAND!$C$16</f>
        <v>7841.46495025224</v>
      </c>
      <c r="U33" s="32" t="n">
        <f aca="false">10_DEMAND!U32+10_DEMAND!$C$19+10_DEMAND!$C$16</f>
        <v>8636.56428584033</v>
      </c>
      <c r="V33" s="32" t="n">
        <f aca="false">10_DEMAND!V32+10_DEMAND!$C$19+10_DEMAND!$C$16</f>
        <v>9500.9254426341</v>
      </c>
      <c r="W33" s="32" t="n">
        <f aca="false">10_DEMAND!W32+10_DEMAND!$C$19+10_DEMAND!$C$16</f>
        <v>10440.1641853865</v>
      </c>
      <c r="X33" s="32" t="n">
        <f aca="false">10_DEMAND!X32+10_DEMAND!$C$19+10_DEMAND!$C$16</f>
        <v>11460.3430305128</v>
      </c>
      <c r="Y33" s="32" t="n">
        <f aca="false">10_DEMAND!Y32+10_DEMAND!$C$19+10_DEMAND!$C$16</f>
        <v>12568.0070570007</v>
      </c>
      <c r="Z33" s="32" t="n">
        <f aca="false">10_DEMAND!Z32+10_DEMAND!$C$19+10_DEMAND!$C$16</f>
        <v>13770.222653275</v>
      </c>
      <c r="AA33" s="32" t="n">
        <f aca="false">10_DEMAND!AA32+10_DEMAND!$C$19+10_DEMAND!$C$16</f>
        <v>15074.6194480809</v>
      </c>
      <c r="AB33" s="32" t="n">
        <f aca="false">10_DEMAND!AB32+10_DEMAND!$C$19+10_DEMAND!$C$16</f>
        <v>16489.4356951001</v>
      </c>
      <c r="AC33" s="32" t="n">
        <f aca="false">10_DEMAND!AC32+10_DEMAND!$C$19+10_DEMAND!$C$16</f>
        <v>18023.5674046063</v>
      </c>
      <c r="AD33" s="32" t="n">
        <f aca="false">10_DEMAND!AD32+10_DEMAND!$C$19+10_DEMAND!$C$16</f>
        <v>19686.6215411865</v>
      </c>
      <c r="AE33" s="32" t="n">
        <f aca="false">10_DEMAND!AE32+10_DEMAND!$C$19+10_DEMAND!$C$16</f>
        <v>21488.9736346015</v>
      </c>
      <c r="AF33" s="32" t="n">
        <f aca="false">10_DEMAND!AF32+10_DEMAND!$C$19+10_DEMAND!$C$16</f>
        <v>23441.8301814403</v>
      </c>
      <c r="AG33" s="32" t="n">
        <f aca="false">10_DEMAND!AG32+10_DEMAND!$C$19+10_DEMAND!$C$16</f>
        <v>25557.2962485842</v>
      </c>
      <c r="AH33" s="32" t="n">
        <f aca="false">10_DEMAND!AH32+10_DEMAND!$C$19+10_DEMAND!$C$16</f>
        <v>27848.4487258861</v>
      </c>
      <c r="AI33" s="32" t="n">
        <f aca="false">10_DEMAND!AI32+10_DEMAND!$C$19+10_DEMAND!$C$16</f>
        <v>30329.4157151799</v>
      </c>
      <c r="AJ33" s="32" t="n">
        <f aca="false">10_DEMAND!AJ32+10_DEMAND!$C$19+10_DEMAND!$C$16</f>
        <v>33015.4625860659</v>
      </c>
      <c r="AK33" s="32" t="n">
        <f aca="false">10_DEMAND!AK32+10_DEMAND!$C$19+10_DEMAND!$C$16</f>
        <v>35923.0852762155</v>
      </c>
      <c r="AL33" s="32" t="n">
        <f aca="false">10_DEMAND!AL32+10_DEMAND!$C$19+10_DEMAND!$C$16</f>
        <v>39070.1114655693</v>
      </c>
      <c r="AM33" s="32" t="n">
        <f aca="false">10_DEMAND!AM32+10_DEMAND!$C$19+10_DEMAND!$C$16</f>
        <v>42475.8103101748</v>
      </c>
      <c r="AN33" s="32" t="n">
        <f aca="false">10_DEMAND!AN32+10_DEMAND!$C$19+10_DEMAND!$C$16</f>
        <v>46161.0114829693</v>
      </c>
      <c r="AO33" s="32" t="n">
        <f aca="false">10_DEMAND!AO32+10_DEMAND!$C$19+10_DEMAND!$C$16</f>
        <v>50148.2343360487</v>
      </c>
      <c r="AP33" s="32" t="n">
        <f aca="false">10_DEMAND!AP32+10_DEMAND!$C$19+10_DEMAND!$C$16</f>
        <v>54461.8280724031</v>
      </c>
      <c r="AQ33" s="32" t="n">
        <f aca="false">10_DEMAND!AQ32+10_DEMAND!$C$19+10_DEMAND!$C$16</f>
        <v>59128.1238953382</v>
      </c>
      <c r="AR33" s="32" t="n">
        <f aca="false">10_DEMAND!AR32+10_DEMAND!$C$19+10_DEMAND!$C$16</f>
        <v>64175.6001914768</v>
      </c>
    </row>
    <row r="34" customFormat="false" ht="15" hidden="false" customHeight="false" outlineLevel="0" collapsed="false">
      <c r="A34" s="8" t="s">
        <v>381</v>
      </c>
      <c r="B34" s="8" t="s">
        <v>181</v>
      </c>
      <c r="E34" s="32" t="n">
        <f aca="false">06_CONSTRUCTION!E14*03_HYDROLOGY!$C$33</f>
        <v>0</v>
      </c>
      <c r="F34" s="32" t="n">
        <f aca="false">06_CONSTRUCTION!F14*03_HYDROLOGY!$C$33</f>
        <v>0</v>
      </c>
      <c r="G34" s="32" t="n">
        <f aca="false">06_CONSTRUCTION!G14*03_HYDROLOGY!$C$33</f>
        <v>0</v>
      </c>
      <c r="H34" s="32" t="n">
        <f aca="false">06_CONSTRUCTION!H14*03_HYDROLOGY!$C$33</f>
        <v>0</v>
      </c>
      <c r="I34" s="32" t="n">
        <f aca="false">06_CONSTRUCTION!I14*03_HYDROLOGY!$C$33</f>
        <v>0</v>
      </c>
      <c r="J34" s="32" t="n">
        <f aca="false">06_CONSTRUCTION!J14*03_HYDROLOGY!$C$33</f>
        <v>1665.87182477724</v>
      </c>
      <c r="K34" s="32" t="n">
        <f aca="false">06_CONSTRUCTION!K14*03_HYDROLOGY!$C$33</f>
        <v>1665.87182477724</v>
      </c>
      <c r="L34" s="32" t="n">
        <f aca="false">06_CONSTRUCTION!L14*03_HYDROLOGY!$C$33</f>
        <v>1665.87182477724</v>
      </c>
      <c r="M34" s="32" t="n">
        <f aca="false">06_CONSTRUCTION!M14*03_HYDROLOGY!$C$33</f>
        <v>1665.87182477724</v>
      </c>
      <c r="N34" s="32" t="n">
        <f aca="false">06_CONSTRUCTION!N14*03_HYDROLOGY!$C$33</f>
        <v>1665.87182477724</v>
      </c>
      <c r="O34" s="32" t="n">
        <f aca="false">06_CONSTRUCTION!O14*03_HYDROLOGY!$C$33</f>
        <v>1665.87182477724</v>
      </c>
      <c r="P34" s="32" t="n">
        <f aca="false">06_CONSTRUCTION!P14*03_HYDROLOGY!$C$33</f>
        <v>1665.87182477724</v>
      </c>
      <c r="Q34" s="32" t="n">
        <f aca="false">06_CONSTRUCTION!Q14*03_HYDROLOGY!$C$33</f>
        <v>1665.87182477724</v>
      </c>
      <c r="R34" s="32" t="n">
        <f aca="false">06_CONSTRUCTION!R14*03_HYDROLOGY!$C$33</f>
        <v>1665.87182477724</v>
      </c>
      <c r="S34" s="32" t="n">
        <f aca="false">06_CONSTRUCTION!S14*03_HYDROLOGY!$C$33</f>
        <v>1665.87182477724</v>
      </c>
      <c r="T34" s="32" t="n">
        <f aca="false">06_CONSTRUCTION!T14*03_HYDROLOGY!$C$33</f>
        <v>1665.87182477724</v>
      </c>
      <c r="U34" s="32" t="n">
        <f aca="false">06_CONSTRUCTION!U14*03_HYDROLOGY!$C$33</f>
        <v>1665.87182477724</v>
      </c>
      <c r="V34" s="32" t="n">
        <f aca="false">06_CONSTRUCTION!V14*03_HYDROLOGY!$C$33</f>
        <v>1665.87182477724</v>
      </c>
      <c r="W34" s="32" t="n">
        <f aca="false">06_CONSTRUCTION!W14*03_HYDROLOGY!$C$33</f>
        <v>1665.87182477724</v>
      </c>
      <c r="X34" s="32" t="n">
        <f aca="false">06_CONSTRUCTION!X14*03_HYDROLOGY!$C$33</f>
        <v>1665.87182477724</v>
      </c>
      <c r="Y34" s="32" t="n">
        <f aca="false">06_CONSTRUCTION!Y14*03_HYDROLOGY!$C$33</f>
        <v>1665.87182477724</v>
      </c>
      <c r="Z34" s="32" t="n">
        <f aca="false">06_CONSTRUCTION!Z14*03_HYDROLOGY!$C$33</f>
        <v>1665.87182477724</v>
      </c>
      <c r="AA34" s="32" t="n">
        <f aca="false">06_CONSTRUCTION!AA14*03_HYDROLOGY!$C$33</f>
        <v>1665.87182477724</v>
      </c>
      <c r="AB34" s="32" t="n">
        <f aca="false">06_CONSTRUCTION!AB14*03_HYDROLOGY!$C$33</f>
        <v>1665.87182477724</v>
      </c>
      <c r="AC34" s="32" t="n">
        <f aca="false">06_CONSTRUCTION!AC14*03_HYDROLOGY!$C$33</f>
        <v>1665.87182477724</v>
      </c>
      <c r="AD34" s="32" t="n">
        <f aca="false">06_CONSTRUCTION!AD14*03_HYDROLOGY!$C$33</f>
        <v>1665.87182477724</v>
      </c>
      <c r="AE34" s="32" t="n">
        <f aca="false">06_CONSTRUCTION!AE14*03_HYDROLOGY!$C$33</f>
        <v>1665.87182477724</v>
      </c>
      <c r="AF34" s="32" t="n">
        <f aca="false">06_CONSTRUCTION!AF14*03_HYDROLOGY!$C$33</f>
        <v>1665.87182477724</v>
      </c>
      <c r="AG34" s="32" t="n">
        <f aca="false">06_CONSTRUCTION!AG14*03_HYDROLOGY!$C$33</f>
        <v>1665.87182477724</v>
      </c>
      <c r="AH34" s="32" t="n">
        <f aca="false">06_CONSTRUCTION!AH14*03_HYDROLOGY!$C$33</f>
        <v>1665.87182477724</v>
      </c>
      <c r="AI34" s="32" t="n">
        <f aca="false">06_CONSTRUCTION!AI14*03_HYDROLOGY!$C$33</f>
        <v>1665.87182477724</v>
      </c>
      <c r="AJ34" s="32" t="n">
        <f aca="false">06_CONSTRUCTION!AJ14*03_HYDROLOGY!$C$33</f>
        <v>1665.87182477724</v>
      </c>
      <c r="AK34" s="32" t="n">
        <f aca="false">06_CONSTRUCTION!AK14*03_HYDROLOGY!$C$33</f>
        <v>1665.87182477724</v>
      </c>
      <c r="AL34" s="32" t="n">
        <f aca="false">06_CONSTRUCTION!AL14*03_HYDROLOGY!$C$33</f>
        <v>1665.87182477724</v>
      </c>
      <c r="AM34" s="32" t="n">
        <f aca="false">06_CONSTRUCTION!AM14*03_HYDROLOGY!$C$33</f>
        <v>1665.87182477724</v>
      </c>
      <c r="AN34" s="32" t="n">
        <f aca="false">06_CONSTRUCTION!AN14*03_HYDROLOGY!$C$33</f>
        <v>0</v>
      </c>
      <c r="AO34" s="32" t="n">
        <f aca="false">06_CONSTRUCTION!AO14*03_HYDROLOGY!$C$33</f>
        <v>0</v>
      </c>
      <c r="AP34" s="32" t="n">
        <f aca="false">06_CONSTRUCTION!AP14*03_HYDROLOGY!$C$33</f>
        <v>0</v>
      </c>
      <c r="AQ34" s="32" t="n">
        <f aca="false">06_CONSTRUCTION!AQ14*03_HYDROLOGY!$C$33</f>
        <v>0</v>
      </c>
      <c r="AR34" s="32" t="n">
        <f aca="false">06_CONSTRUCTION!AR14*03_HYDROLOGY!$C$33</f>
        <v>0</v>
      </c>
    </row>
    <row r="35" customFormat="false" ht="15" hidden="false" customHeight="false" outlineLevel="0" collapsed="false">
      <c r="A35" s="4" t="s">
        <v>382</v>
      </c>
      <c r="B35" s="8" t="s">
        <v>181</v>
      </c>
      <c r="E35" s="41" t="n">
        <f aca="false">06_CONSTRUCTION!E14*MIN(10_DEMAND!E34,10_DEMAND!E33*10_DEMAND!E29/(10_DEMAND!E27+10_DEMAND!$C$16))</f>
        <v>0</v>
      </c>
      <c r="F35" s="41" t="n">
        <f aca="false">06_CONSTRUCTION!F14*MIN(10_DEMAND!F34,10_DEMAND!F33*10_DEMAND!F29/(10_DEMAND!F27+10_DEMAND!$C$16))</f>
        <v>0</v>
      </c>
      <c r="G35" s="41" t="n">
        <f aca="false">06_CONSTRUCTION!G14*MIN(10_DEMAND!G34,10_DEMAND!G33*10_DEMAND!G29/(10_DEMAND!G27+10_DEMAND!$C$16))</f>
        <v>0</v>
      </c>
      <c r="H35" s="41" t="n">
        <f aca="false">06_CONSTRUCTION!H14*MIN(10_DEMAND!H34,10_DEMAND!H33*10_DEMAND!H29/(10_DEMAND!H27+10_DEMAND!$C$16))</f>
        <v>0</v>
      </c>
      <c r="I35" s="41" t="n">
        <f aca="false">06_CONSTRUCTION!I14*MIN(10_DEMAND!I34,10_DEMAND!I33*10_DEMAND!I29/(10_DEMAND!I27+10_DEMAND!$C$16))</f>
        <v>0</v>
      </c>
      <c r="J35" s="41" t="n">
        <f aca="false">06_CONSTRUCTION!J14*MIN(10_DEMAND!J34,10_DEMAND!J33*10_DEMAND!J29/(10_DEMAND!J27+10_DEMAND!$C$16))</f>
        <v>1665.87182477724</v>
      </c>
      <c r="K35" s="41" t="n">
        <f aca="false">06_CONSTRUCTION!K14*MIN(10_DEMAND!K34,10_DEMAND!K33*10_DEMAND!K29/(10_DEMAND!K27+10_DEMAND!$C$16))</f>
        <v>1665.87182477724</v>
      </c>
      <c r="L35" s="41" t="n">
        <f aca="false">06_CONSTRUCTION!L14*MIN(10_DEMAND!L34,10_DEMAND!L33*10_DEMAND!L29/(10_DEMAND!L27+10_DEMAND!$C$16))</f>
        <v>1665.87182477724</v>
      </c>
      <c r="M35" s="41" t="n">
        <f aca="false">06_CONSTRUCTION!M14*MIN(10_DEMAND!M34,10_DEMAND!M33*10_DEMAND!M29/(10_DEMAND!M27+10_DEMAND!$C$16))</f>
        <v>1665.87182477724</v>
      </c>
      <c r="N35" s="41" t="n">
        <f aca="false">06_CONSTRUCTION!N14*MIN(10_DEMAND!N34,10_DEMAND!N33*10_DEMAND!N29/(10_DEMAND!N27+10_DEMAND!$C$16))</f>
        <v>1665.87182477724</v>
      </c>
      <c r="O35" s="41" t="n">
        <f aca="false">06_CONSTRUCTION!O14*MIN(10_DEMAND!O34,10_DEMAND!O33*10_DEMAND!O29/(10_DEMAND!O27+10_DEMAND!$C$16))</f>
        <v>1665.87182477724</v>
      </c>
      <c r="P35" s="41" t="n">
        <f aca="false">06_CONSTRUCTION!P14*MIN(10_DEMAND!P34,10_DEMAND!P33*10_DEMAND!P29/(10_DEMAND!P27+10_DEMAND!$C$16))</f>
        <v>1665.87182477724</v>
      </c>
      <c r="Q35" s="41" t="n">
        <f aca="false">06_CONSTRUCTION!Q14*MIN(10_DEMAND!Q34,10_DEMAND!Q33*10_DEMAND!Q29/(10_DEMAND!Q27+10_DEMAND!$C$16))</f>
        <v>1665.87182477724</v>
      </c>
      <c r="R35" s="41" t="n">
        <f aca="false">06_CONSTRUCTION!R14*MIN(10_DEMAND!R34,10_DEMAND!R33*10_DEMAND!R29/(10_DEMAND!R27+10_DEMAND!$C$16))</f>
        <v>1665.87182477724</v>
      </c>
      <c r="S35" s="41" t="n">
        <f aca="false">06_CONSTRUCTION!S14*MIN(10_DEMAND!S34,10_DEMAND!S33*10_DEMAND!S29/(10_DEMAND!S27+10_DEMAND!$C$16))</f>
        <v>1665.87182477724</v>
      </c>
      <c r="T35" s="41" t="n">
        <f aca="false">06_CONSTRUCTION!T14*MIN(10_DEMAND!T34,10_DEMAND!T33*10_DEMAND!T29/(10_DEMAND!T27+10_DEMAND!$C$16))</f>
        <v>1665.87182477724</v>
      </c>
      <c r="U35" s="41" t="n">
        <f aca="false">06_CONSTRUCTION!U14*MIN(10_DEMAND!U34,10_DEMAND!U33*10_DEMAND!U29/(10_DEMAND!U27+10_DEMAND!$C$16))</f>
        <v>1665.87182477724</v>
      </c>
      <c r="V35" s="41" t="n">
        <f aca="false">06_CONSTRUCTION!V14*MIN(10_DEMAND!V34,10_DEMAND!V33*10_DEMAND!V29/(10_DEMAND!V27+10_DEMAND!$C$16))</f>
        <v>1665.87182477724</v>
      </c>
      <c r="W35" s="41" t="n">
        <f aca="false">06_CONSTRUCTION!W14*MIN(10_DEMAND!W34,10_DEMAND!W33*10_DEMAND!W29/(10_DEMAND!W27+10_DEMAND!$C$16))</f>
        <v>1665.87182477724</v>
      </c>
      <c r="X35" s="41" t="n">
        <f aca="false">06_CONSTRUCTION!X14*MIN(10_DEMAND!X34,10_DEMAND!X33*10_DEMAND!X29/(10_DEMAND!X27+10_DEMAND!$C$16))</f>
        <v>1665.87182477724</v>
      </c>
      <c r="Y35" s="41" t="n">
        <f aca="false">06_CONSTRUCTION!Y14*MIN(10_DEMAND!Y34,10_DEMAND!Y33*10_DEMAND!Y29/(10_DEMAND!Y27+10_DEMAND!$C$16))</f>
        <v>1665.87182477724</v>
      </c>
      <c r="Z35" s="41" t="n">
        <f aca="false">06_CONSTRUCTION!Z14*MIN(10_DEMAND!Z34,10_DEMAND!Z33*10_DEMAND!Z29/(10_DEMAND!Z27+10_DEMAND!$C$16))</f>
        <v>1665.87182477724</v>
      </c>
      <c r="AA35" s="41" t="n">
        <f aca="false">06_CONSTRUCTION!AA14*MIN(10_DEMAND!AA34,10_DEMAND!AA33*10_DEMAND!AA29/(10_DEMAND!AA27+10_DEMAND!$C$16))</f>
        <v>1665.87182477724</v>
      </c>
      <c r="AB35" s="41" t="n">
        <f aca="false">06_CONSTRUCTION!AB14*MIN(10_DEMAND!AB34,10_DEMAND!AB33*10_DEMAND!AB29/(10_DEMAND!AB27+10_DEMAND!$C$16))</f>
        <v>1665.87182477724</v>
      </c>
      <c r="AC35" s="41" t="n">
        <f aca="false">06_CONSTRUCTION!AC14*MIN(10_DEMAND!AC34,10_DEMAND!AC33*10_DEMAND!AC29/(10_DEMAND!AC27+10_DEMAND!$C$16))</f>
        <v>1665.87182477724</v>
      </c>
      <c r="AD35" s="41" t="n">
        <f aca="false">06_CONSTRUCTION!AD14*MIN(10_DEMAND!AD34,10_DEMAND!AD33*10_DEMAND!AD29/(10_DEMAND!AD27+10_DEMAND!$C$16))</f>
        <v>1665.87182477724</v>
      </c>
      <c r="AE35" s="41" t="n">
        <f aca="false">06_CONSTRUCTION!AE14*MIN(10_DEMAND!AE34,10_DEMAND!AE33*10_DEMAND!AE29/(10_DEMAND!AE27+10_DEMAND!$C$16))</f>
        <v>1665.87182477724</v>
      </c>
      <c r="AF35" s="41" t="n">
        <f aca="false">06_CONSTRUCTION!AF14*MIN(10_DEMAND!AF34,10_DEMAND!AF33*10_DEMAND!AF29/(10_DEMAND!AF27+10_DEMAND!$C$16))</f>
        <v>1665.87182477724</v>
      </c>
      <c r="AG35" s="41" t="n">
        <f aca="false">06_CONSTRUCTION!AG14*MIN(10_DEMAND!AG34,10_DEMAND!AG33*10_DEMAND!AG29/(10_DEMAND!AG27+10_DEMAND!$C$16))</f>
        <v>1665.87182477724</v>
      </c>
      <c r="AH35" s="41" t="n">
        <f aca="false">06_CONSTRUCTION!AH14*MIN(10_DEMAND!AH34,10_DEMAND!AH33*10_DEMAND!AH29/(10_DEMAND!AH27+10_DEMAND!$C$16))</f>
        <v>1665.87182477724</v>
      </c>
      <c r="AI35" s="41" t="n">
        <f aca="false">06_CONSTRUCTION!AI14*MIN(10_DEMAND!AI34,10_DEMAND!AI33*10_DEMAND!AI29/(10_DEMAND!AI27+10_DEMAND!$C$16))</f>
        <v>1665.87182477724</v>
      </c>
      <c r="AJ35" s="41" t="n">
        <f aca="false">06_CONSTRUCTION!AJ14*MIN(10_DEMAND!AJ34,10_DEMAND!AJ33*10_DEMAND!AJ29/(10_DEMAND!AJ27+10_DEMAND!$C$16))</f>
        <v>1665.87182477724</v>
      </c>
      <c r="AK35" s="41" t="n">
        <f aca="false">06_CONSTRUCTION!AK14*MIN(10_DEMAND!AK34,10_DEMAND!AK33*10_DEMAND!AK29/(10_DEMAND!AK27+10_DEMAND!$C$16))</f>
        <v>1665.87182477724</v>
      </c>
      <c r="AL35" s="41" t="n">
        <f aca="false">06_CONSTRUCTION!AL14*MIN(10_DEMAND!AL34,10_DEMAND!AL33*10_DEMAND!AL29/(10_DEMAND!AL27+10_DEMAND!$C$16))</f>
        <v>1665.87182477724</v>
      </c>
      <c r="AM35" s="41" t="n">
        <f aca="false">06_CONSTRUCTION!AM14*MIN(10_DEMAND!AM34,10_DEMAND!AM33*10_DEMAND!AM29/(10_DEMAND!AM27+10_DEMAND!$C$16))</f>
        <v>1665.87182477724</v>
      </c>
      <c r="AN35" s="41" t="n">
        <f aca="false">06_CONSTRUCTION!AN14*MIN(10_DEMAND!AN34,10_DEMAND!AN33*10_DEMAND!AN29/(10_DEMAND!AN27+10_DEMAND!$C$16))</f>
        <v>0</v>
      </c>
      <c r="AO35" s="41" t="n">
        <f aca="false">06_CONSTRUCTION!AO14*MIN(10_DEMAND!AO34,10_DEMAND!AO33*10_DEMAND!AO29/(10_DEMAND!AO27+10_DEMAND!$C$16))</f>
        <v>0</v>
      </c>
      <c r="AP35" s="41" t="n">
        <f aca="false">06_CONSTRUCTION!AP14*MIN(10_DEMAND!AP34,10_DEMAND!AP33*10_DEMAND!AP29/(10_DEMAND!AP27+10_DEMAND!$C$16))</f>
        <v>0</v>
      </c>
      <c r="AQ35" s="41" t="n">
        <f aca="false">06_CONSTRUCTION!AQ14*MIN(10_DEMAND!AQ34,10_DEMAND!AQ33*10_DEMAND!AQ29/(10_DEMAND!AQ27+10_DEMAND!$C$16))</f>
        <v>0</v>
      </c>
      <c r="AR35" s="41" t="n">
        <f aca="false">06_CONSTRUCTION!AR14*MIN(10_DEMAND!AR34,10_DEMAND!AR33*10_DEMAND!AR29/(10_DEMAND!AR27+10_DEMAND!$C$16))</f>
        <v>0</v>
      </c>
    </row>
    <row r="36" customFormat="false" ht="15" hidden="false" customHeight="false" outlineLevel="0" collapsed="false">
      <c r="A36" s="8" t="s">
        <v>383</v>
      </c>
      <c r="B36" s="8" t="s">
        <v>82</v>
      </c>
      <c r="E36" s="54" t="str">
        <f aca="false">IF(10_DEMAND!E34&gt;0,10_DEMAND!E35/10_DEMAND!E34,"")</f>
        <v/>
      </c>
      <c r="F36" s="54" t="str">
        <f aca="false">IF(10_DEMAND!F34&gt;0,10_DEMAND!F35/10_DEMAND!F34,"")</f>
        <v/>
      </c>
      <c r="G36" s="54" t="str">
        <f aca="false">IF(10_DEMAND!G34&gt;0,10_DEMAND!G35/10_DEMAND!G34,"")</f>
        <v/>
      </c>
      <c r="H36" s="54" t="str">
        <f aca="false">IF(10_DEMAND!H34&gt;0,10_DEMAND!H35/10_DEMAND!H34,"")</f>
        <v/>
      </c>
      <c r="I36" s="54" t="str">
        <f aca="false">IF(10_DEMAND!I34&gt;0,10_DEMAND!I35/10_DEMAND!I34,"")</f>
        <v/>
      </c>
      <c r="J36" s="54" t="n">
        <f aca="false">IF(10_DEMAND!J34&gt;0,10_DEMAND!J35/10_DEMAND!J34,"")</f>
        <v>1</v>
      </c>
      <c r="K36" s="54" t="n">
        <f aca="false">IF(10_DEMAND!K34&gt;0,10_DEMAND!K35/10_DEMAND!K34,"")</f>
        <v>1</v>
      </c>
      <c r="L36" s="54" t="n">
        <f aca="false">IF(10_DEMAND!L34&gt;0,10_DEMAND!L35/10_DEMAND!L34,"")</f>
        <v>1</v>
      </c>
      <c r="M36" s="54" t="n">
        <f aca="false">IF(10_DEMAND!M34&gt;0,10_DEMAND!M35/10_DEMAND!M34,"")</f>
        <v>1</v>
      </c>
      <c r="N36" s="54" t="n">
        <f aca="false">IF(10_DEMAND!N34&gt;0,10_DEMAND!N35/10_DEMAND!N34,"")</f>
        <v>1</v>
      </c>
      <c r="O36" s="54" t="n">
        <f aca="false">IF(10_DEMAND!O34&gt;0,10_DEMAND!O35/10_DEMAND!O34,"")</f>
        <v>1</v>
      </c>
      <c r="P36" s="54" t="n">
        <f aca="false">IF(10_DEMAND!P34&gt;0,10_DEMAND!P35/10_DEMAND!P34,"")</f>
        <v>1</v>
      </c>
      <c r="Q36" s="54" t="n">
        <f aca="false">IF(10_DEMAND!Q34&gt;0,10_DEMAND!Q35/10_DEMAND!Q34,"")</f>
        <v>1</v>
      </c>
      <c r="R36" s="54" t="n">
        <f aca="false">IF(10_DEMAND!R34&gt;0,10_DEMAND!R35/10_DEMAND!R34,"")</f>
        <v>1</v>
      </c>
      <c r="S36" s="54" t="n">
        <f aca="false">IF(10_DEMAND!S34&gt;0,10_DEMAND!S35/10_DEMAND!S34,"")</f>
        <v>1</v>
      </c>
      <c r="T36" s="54" t="n">
        <f aca="false">IF(10_DEMAND!T34&gt;0,10_DEMAND!T35/10_DEMAND!T34,"")</f>
        <v>1</v>
      </c>
      <c r="U36" s="54" t="n">
        <f aca="false">IF(10_DEMAND!U34&gt;0,10_DEMAND!U35/10_DEMAND!U34,"")</f>
        <v>1</v>
      </c>
      <c r="V36" s="54" t="n">
        <f aca="false">IF(10_DEMAND!V34&gt;0,10_DEMAND!V35/10_DEMAND!V34,"")</f>
        <v>1</v>
      </c>
      <c r="W36" s="54" t="n">
        <f aca="false">IF(10_DEMAND!W34&gt;0,10_DEMAND!W35/10_DEMAND!W34,"")</f>
        <v>1</v>
      </c>
      <c r="X36" s="54" t="n">
        <f aca="false">IF(10_DEMAND!X34&gt;0,10_DEMAND!X35/10_DEMAND!X34,"")</f>
        <v>1</v>
      </c>
      <c r="Y36" s="54" t="n">
        <f aca="false">IF(10_DEMAND!Y34&gt;0,10_DEMAND!Y35/10_DEMAND!Y34,"")</f>
        <v>1</v>
      </c>
      <c r="Z36" s="54" t="n">
        <f aca="false">IF(10_DEMAND!Z34&gt;0,10_DEMAND!Z35/10_DEMAND!Z34,"")</f>
        <v>1</v>
      </c>
      <c r="AA36" s="54" t="n">
        <f aca="false">IF(10_DEMAND!AA34&gt;0,10_DEMAND!AA35/10_DEMAND!AA34,"")</f>
        <v>1</v>
      </c>
      <c r="AB36" s="54" t="n">
        <f aca="false">IF(10_DEMAND!AB34&gt;0,10_DEMAND!AB35/10_DEMAND!AB34,"")</f>
        <v>1</v>
      </c>
      <c r="AC36" s="54" t="n">
        <f aca="false">IF(10_DEMAND!AC34&gt;0,10_DEMAND!AC35/10_DEMAND!AC34,"")</f>
        <v>1</v>
      </c>
      <c r="AD36" s="54" t="n">
        <f aca="false">IF(10_DEMAND!AD34&gt;0,10_DEMAND!AD35/10_DEMAND!AD34,"")</f>
        <v>1</v>
      </c>
      <c r="AE36" s="54" t="n">
        <f aca="false">IF(10_DEMAND!AE34&gt;0,10_DEMAND!AE35/10_DEMAND!AE34,"")</f>
        <v>1</v>
      </c>
      <c r="AF36" s="54" t="n">
        <f aca="false">IF(10_DEMAND!AF34&gt;0,10_DEMAND!AF35/10_DEMAND!AF34,"")</f>
        <v>1</v>
      </c>
      <c r="AG36" s="54" t="n">
        <f aca="false">IF(10_DEMAND!AG34&gt;0,10_DEMAND!AG35/10_DEMAND!AG34,"")</f>
        <v>1</v>
      </c>
      <c r="AH36" s="54" t="n">
        <f aca="false">IF(10_DEMAND!AH34&gt;0,10_DEMAND!AH35/10_DEMAND!AH34,"")</f>
        <v>1</v>
      </c>
      <c r="AI36" s="54" t="n">
        <f aca="false">IF(10_DEMAND!AI34&gt;0,10_DEMAND!AI35/10_DEMAND!AI34,"")</f>
        <v>1</v>
      </c>
      <c r="AJ36" s="54" t="n">
        <f aca="false">IF(10_DEMAND!AJ34&gt;0,10_DEMAND!AJ35/10_DEMAND!AJ34,"")</f>
        <v>1</v>
      </c>
      <c r="AK36" s="54" t="n">
        <f aca="false">IF(10_DEMAND!AK34&gt;0,10_DEMAND!AK35/10_DEMAND!AK34,"")</f>
        <v>1</v>
      </c>
      <c r="AL36" s="54" t="n">
        <f aca="false">IF(10_DEMAND!AL34&gt;0,10_DEMAND!AL35/10_DEMAND!AL34,"")</f>
        <v>1</v>
      </c>
      <c r="AM36" s="54" t="n">
        <f aca="false">IF(10_DEMAND!AM34&gt;0,10_DEMAND!AM35/10_DEMAND!AM34,"")</f>
        <v>1</v>
      </c>
      <c r="AN36" s="54" t="str">
        <f aca="false">IF(10_DEMAND!AN34&gt;0,10_DEMAND!AN35/10_DEMAND!AN34,"")</f>
        <v/>
      </c>
      <c r="AO36" s="54" t="str">
        <f aca="false">IF(10_DEMAND!AO34&gt;0,10_DEMAND!AO35/10_DEMAND!AO34,"")</f>
        <v/>
      </c>
      <c r="AP36" s="54" t="str">
        <f aca="false">IF(10_DEMAND!AP34&gt;0,10_DEMAND!AP35/10_DEMAND!AP34,"")</f>
        <v/>
      </c>
      <c r="AQ36" s="54" t="str">
        <f aca="false">IF(10_DEMAND!AQ34&gt;0,10_DEMAND!AQ35/10_DEMAND!AQ34,"")</f>
        <v/>
      </c>
      <c r="AR36" s="54" t="str">
        <f aca="false">IF(10_DEMAND!AR34&gt;0,10_DEMAND!AR35/10_DEMAND!AR34,"")</f>
        <v/>
      </c>
    </row>
    <row r="37" customFormat="false" ht="15" hidden="false" customHeight="false" outlineLevel="0" collapsed="false">
      <c r="A37" s="8" t="s">
        <v>384</v>
      </c>
      <c r="B37" s="8" t="s">
        <v>82</v>
      </c>
      <c r="C37" s="54" t="n">
        <f aca="false">IF(COUNT(10_DEMAND!$E$37:$AR$37)=0,99,MIN(10_DEMAND!$E$37:$AR$37))</f>
        <v>1</v>
      </c>
      <c r="E37" s="54" t="str">
        <f aca="false">IF(AND(06_CONSTRUCTION!E5&gt;=1,06_CONSTRUCTION!E5&lt;=5),10_DEMAND!E36,"")</f>
        <v/>
      </c>
      <c r="F37" s="54" t="str">
        <f aca="false">IF(AND(06_CONSTRUCTION!F5&gt;=1,06_CONSTRUCTION!F5&lt;=5),10_DEMAND!F36,"")</f>
        <v/>
      </c>
      <c r="G37" s="54" t="str">
        <f aca="false">IF(AND(06_CONSTRUCTION!G5&gt;=1,06_CONSTRUCTION!G5&lt;=5),10_DEMAND!G36,"")</f>
        <v/>
      </c>
      <c r="H37" s="54" t="str">
        <f aca="false">IF(AND(06_CONSTRUCTION!H5&gt;=1,06_CONSTRUCTION!H5&lt;=5),10_DEMAND!H36,"")</f>
        <v/>
      </c>
      <c r="I37" s="54" t="str">
        <f aca="false">IF(AND(06_CONSTRUCTION!I5&gt;=1,06_CONSTRUCTION!I5&lt;=5),10_DEMAND!I36,"")</f>
        <v/>
      </c>
      <c r="J37" s="54" t="n">
        <f aca="false">IF(AND(06_CONSTRUCTION!J5&gt;=1,06_CONSTRUCTION!J5&lt;=5),10_DEMAND!J36,"")</f>
        <v>1</v>
      </c>
      <c r="K37" s="54" t="n">
        <f aca="false">IF(AND(06_CONSTRUCTION!K5&gt;=1,06_CONSTRUCTION!K5&lt;=5),10_DEMAND!K36,"")</f>
        <v>1</v>
      </c>
      <c r="L37" s="54" t="n">
        <f aca="false">IF(AND(06_CONSTRUCTION!L5&gt;=1,06_CONSTRUCTION!L5&lt;=5),10_DEMAND!L36,"")</f>
        <v>1</v>
      </c>
      <c r="M37" s="54" t="n">
        <f aca="false">IF(AND(06_CONSTRUCTION!M5&gt;=1,06_CONSTRUCTION!M5&lt;=5),10_DEMAND!M36,"")</f>
        <v>1</v>
      </c>
      <c r="N37" s="54" t="n">
        <f aca="false">IF(AND(06_CONSTRUCTION!N5&gt;=1,06_CONSTRUCTION!N5&lt;=5),10_DEMAND!N36,"")</f>
        <v>1</v>
      </c>
      <c r="O37" s="54" t="str">
        <f aca="false">IF(AND(06_CONSTRUCTION!O5&gt;=1,06_CONSTRUCTION!O5&lt;=5),10_DEMAND!O36,"")</f>
        <v/>
      </c>
      <c r="P37" s="54" t="str">
        <f aca="false">IF(AND(06_CONSTRUCTION!P5&gt;=1,06_CONSTRUCTION!P5&lt;=5),10_DEMAND!P36,"")</f>
        <v/>
      </c>
      <c r="Q37" s="54" t="str">
        <f aca="false">IF(AND(06_CONSTRUCTION!Q5&gt;=1,06_CONSTRUCTION!Q5&lt;=5),10_DEMAND!Q36,"")</f>
        <v/>
      </c>
      <c r="R37" s="54" t="str">
        <f aca="false">IF(AND(06_CONSTRUCTION!R5&gt;=1,06_CONSTRUCTION!R5&lt;=5),10_DEMAND!R36,"")</f>
        <v/>
      </c>
      <c r="S37" s="54" t="str">
        <f aca="false">IF(AND(06_CONSTRUCTION!S5&gt;=1,06_CONSTRUCTION!S5&lt;=5),10_DEMAND!S36,"")</f>
        <v/>
      </c>
      <c r="T37" s="54" t="str">
        <f aca="false">IF(AND(06_CONSTRUCTION!T5&gt;=1,06_CONSTRUCTION!T5&lt;=5),10_DEMAND!T36,"")</f>
        <v/>
      </c>
      <c r="U37" s="54" t="str">
        <f aca="false">IF(AND(06_CONSTRUCTION!U5&gt;=1,06_CONSTRUCTION!U5&lt;=5),10_DEMAND!U36,"")</f>
        <v/>
      </c>
      <c r="V37" s="54" t="str">
        <f aca="false">IF(AND(06_CONSTRUCTION!V5&gt;=1,06_CONSTRUCTION!V5&lt;=5),10_DEMAND!V36,"")</f>
        <v/>
      </c>
      <c r="W37" s="54" t="str">
        <f aca="false">IF(AND(06_CONSTRUCTION!W5&gt;=1,06_CONSTRUCTION!W5&lt;=5),10_DEMAND!W36,"")</f>
        <v/>
      </c>
      <c r="X37" s="54" t="str">
        <f aca="false">IF(AND(06_CONSTRUCTION!X5&gt;=1,06_CONSTRUCTION!X5&lt;=5),10_DEMAND!X36,"")</f>
        <v/>
      </c>
      <c r="Y37" s="54" t="str">
        <f aca="false">IF(AND(06_CONSTRUCTION!Y5&gt;=1,06_CONSTRUCTION!Y5&lt;=5),10_DEMAND!Y36,"")</f>
        <v/>
      </c>
      <c r="Z37" s="54" t="str">
        <f aca="false">IF(AND(06_CONSTRUCTION!Z5&gt;=1,06_CONSTRUCTION!Z5&lt;=5),10_DEMAND!Z36,"")</f>
        <v/>
      </c>
      <c r="AA37" s="54" t="str">
        <f aca="false">IF(AND(06_CONSTRUCTION!AA5&gt;=1,06_CONSTRUCTION!AA5&lt;=5),10_DEMAND!AA36,"")</f>
        <v/>
      </c>
      <c r="AB37" s="54" t="str">
        <f aca="false">IF(AND(06_CONSTRUCTION!AB5&gt;=1,06_CONSTRUCTION!AB5&lt;=5),10_DEMAND!AB36,"")</f>
        <v/>
      </c>
      <c r="AC37" s="54" t="str">
        <f aca="false">IF(AND(06_CONSTRUCTION!AC5&gt;=1,06_CONSTRUCTION!AC5&lt;=5),10_DEMAND!AC36,"")</f>
        <v/>
      </c>
      <c r="AD37" s="54" t="str">
        <f aca="false">IF(AND(06_CONSTRUCTION!AD5&gt;=1,06_CONSTRUCTION!AD5&lt;=5),10_DEMAND!AD36,"")</f>
        <v/>
      </c>
      <c r="AE37" s="54" t="str">
        <f aca="false">IF(AND(06_CONSTRUCTION!AE5&gt;=1,06_CONSTRUCTION!AE5&lt;=5),10_DEMAND!AE36,"")</f>
        <v/>
      </c>
      <c r="AF37" s="54" t="str">
        <f aca="false">IF(AND(06_CONSTRUCTION!AF5&gt;=1,06_CONSTRUCTION!AF5&lt;=5),10_DEMAND!AF36,"")</f>
        <v/>
      </c>
      <c r="AG37" s="54" t="str">
        <f aca="false">IF(AND(06_CONSTRUCTION!AG5&gt;=1,06_CONSTRUCTION!AG5&lt;=5),10_DEMAND!AG36,"")</f>
        <v/>
      </c>
      <c r="AH37" s="54" t="str">
        <f aca="false">IF(AND(06_CONSTRUCTION!AH5&gt;=1,06_CONSTRUCTION!AH5&lt;=5),10_DEMAND!AH36,"")</f>
        <v/>
      </c>
      <c r="AI37" s="54" t="str">
        <f aca="false">IF(AND(06_CONSTRUCTION!AI5&gt;=1,06_CONSTRUCTION!AI5&lt;=5),10_DEMAND!AI36,"")</f>
        <v/>
      </c>
      <c r="AJ37" s="54" t="str">
        <f aca="false">IF(AND(06_CONSTRUCTION!AJ5&gt;=1,06_CONSTRUCTION!AJ5&lt;=5),10_DEMAND!AJ36,"")</f>
        <v/>
      </c>
      <c r="AK37" s="54" t="str">
        <f aca="false">IF(AND(06_CONSTRUCTION!AK5&gt;=1,06_CONSTRUCTION!AK5&lt;=5),10_DEMAND!AK36,"")</f>
        <v/>
      </c>
      <c r="AL37" s="54" t="str">
        <f aca="false">IF(AND(06_CONSTRUCTION!AL5&gt;=1,06_CONSTRUCTION!AL5&lt;=5),10_DEMAND!AL36,"")</f>
        <v/>
      </c>
      <c r="AM37" s="54" t="str">
        <f aca="false">IF(AND(06_CONSTRUCTION!AM5&gt;=1,06_CONSTRUCTION!AM5&lt;=5),10_DEMAND!AM36,"")</f>
        <v/>
      </c>
      <c r="AN37" s="54" t="str">
        <f aca="false">IF(AND(06_CONSTRUCTION!AN5&gt;=1,06_CONSTRUCTION!AN5&lt;=5),10_DEMAND!AN36,"")</f>
        <v/>
      </c>
      <c r="AO37" s="54" t="str">
        <f aca="false">IF(AND(06_CONSTRUCTION!AO5&gt;=1,06_CONSTRUCTION!AO5&lt;=5),10_DEMAND!AO36,"")</f>
        <v/>
      </c>
      <c r="AP37" s="54" t="str">
        <f aca="false">IF(AND(06_CONSTRUCTION!AP5&gt;=1,06_CONSTRUCTION!AP5&lt;=5),10_DEMAND!AP36,"")</f>
        <v/>
      </c>
      <c r="AQ37" s="54" t="str">
        <f aca="false">IF(AND(06_CONSTRUCTION!AQ5&gt;=1,06_CONSTRUCTION!AQ5&lt;=5),10_DEMAND!AQ36,"")</f>
        <v/>
      </c>
      <c r="AR37" s="54" t="str">
        <f aca="false">IF(AND(06_CONSTRUCTION!AR5&gt;=1,06_CONSTRUCTION!AR5&lt;=5),10_DEMAND!AR36,"")</f>
        <v/>
      </c>
    </row>
    <row r="99" customFormat="false" ht="15" hidden="false" customHeight="false" outlineLevel="0" collapsed="false">
      <c r="A99" s="8" t="s">
        <v>385</v>
      </c>
      <c r="C99" s="32" t="n">
        <f aca="false">$B$8+$B$9+$B$10+$B$11+$B$12+$B$13</f>
        <v>7300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386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387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8" t="s">
        <v>388</v>
      </c>
      <c r="B4" s="8"/>
      <c r="C4" s="19" t="s">
        <v>389</v>
      </c>
      <c r="D4" s="10" t="s">
        <v>94</v>
      </c>
    </row>
    <row r="5" customFormat="false" ht="15" hidden="false" customHeight="false" outlineLevel="0" collapsed="false">
      <c r="A5" s="8" t="s">
        <v>390</v>
      </c>
      <c r="B5" s="8"/>
      <c r="C5" s="19" t="s">
        <v>391</v>
      </c>
    </row>
    <row r="6" customFormat="false" ht="15" hidden="false" customHeight="false" outlineLevel="0" collapsed="false">
      <c r="A6" s="8" t="s">
        <v>392</v>
      </c>
      <c r="B6" s="8" t="s">
        <v>56</v>
      </c>
      <c r="C6" s="25" t="n">
        <v>0.85</v>
      </c>
    </row>
    <row r="7" customFormat="false" ht="15" hidden="false" customHeight="false" outlineLevel="0" collapsed="false">
      <c r="A7" s="8" t="s">
        <v>393</v>
      </c>
      <c r="B7" s="8" t="s">
        <v>56</v>
      </c>
      <c r="C7" s="55" t="n">
        <f aca="false">1-11_OFFTAKER!$C$6</f>
        <v>0.15</v>
      </c>
    </row>
    <row r="8" customFormat="false" ht="15" hidden="false" customHeight="false" outlineLevel="0" collapsed="false">
      <c r="A8" s="8" t="s">
        <v>394</v>
      </c>
      <c r="B8" s="8" t="s">
        <v>395</v>
      </c>
      <c r="C8" s="9" t="n">
        <v>4</v>
      </c>
      <c r="D8" s="10" t="s">
        <v>396</v>
      </c>
    </row>
    <row r="9" customFormat="false" ht="15" hidden="false" customHeight="false" outlineLevel="0" collapsed="false">
      <c r="A9" s="8" t="s">
        <v>397</v>
      </c>
      <c r="B9" s="8" t="s">
        <v>176</v>
      </c>
      <c r="C9" s="23" t="n">
        <v>120</v>
      </c>
      <c r="D9" s="10" t="s">
        <v>94</v>
      </c>
    </row>
    <row r="10" customFormat="false" ht="15" hidden="false" customHeight="false" outlineLevel="0" collapsed="false">
      <c r="A10" s="8" t="s">
        <v>398</v>
      </c>
      <c r="B10" s="8" t="s">
        <v>84</v>
      </c>
      <c r="C10" s="37" t="n">
        <f aca="false">11_OFFTAKER!$C$8/12*16_REVENUE!$C$16</f>
        <v>51.5431678196477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399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400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401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402</v>
      </c>
      <c r="B7" s="8" t="s">
        <v>78</v>
      </c>
      <c r="C7" s="27" t="n">
        <v>1350000</v>
      </c>
      <c r="D7" s="10" t="s">
        <v>94</v>
      </c>
    </row>
    <row r="8" customFormat="false" ht="15" hidden="false" customHeight="false" outlineLevel="0" collapsed="false">
      <c r="A8" s="8" t="s">
        <v>403</v>
      </c>
      <c r="B8" s="8" t="s">
        <v>120</v>
      </c>
      <c r="C8" s="12" t="n">
        <v>0.05</v>
      </c>
    </row>
    <row r="9" customFormat="false" ht="15" hidden="false" customHeight="false" outlineLevel="0" collapsed="false">
      <c r="A9" s="8" t="s">
        <v>404</v>
      </c>
      <c r="B9" s="8" t="s">
        <v>405</v>
      </c>
      <c r="C9" s="51" t="n">
        <v>2.7</v>
      </c>
      <c r="D9" s="10" t="s">
        <v>406</v>
      </c>
    </row>
    <row r="10" customFormat="false" ht="15" hidden="false" customHeight="false" outlineLevel="0" collapsed="false">
      <c r="A10" s="8" t="s">
        <v>407</v>
      </c>
      <c r="B10" s="8" t="s">
        <v>56</v>
      </c>
      <c r="C10" s="25" t="n">
        <v>1</v>
      </c>
      <c r="D10" s="10" t="s">
        <v>408</v>
      </c>
    </row>
    <row r="11" customFormat="false" ht="15" hidden="false" customHeight="false" outlineLevel="0" collapsed="false">
      <c r="A11" s="8" t="s">
        <v>409</v>
      </c>
      <c r="B11" s="8" t="s">
        <v>410</v>
      </c>
      <c r="C11" s="12" t="n">
        <v>0.14</v>
      </c>
    </row>
    <row r="12" customFormat="false" ht="15" hidden="false" customHeight="false" outlineLevel="0" collapsed="false">
      <c r="A12" s="8" t="s">
        <v>411</v>
      </c>
      <c r="B12" s="8" t="s">
        <v>410</v>
      </c>
      <c r="C12" s="12" t="n">
        <v>0.08</v>
      </c>
    </row>
    <row r="13" customFormat="false" ht="15" hidden="false" customHeight="false" outlineLevel="0" collapsed="false">
      <c r="A13" s="8" t="s">
        <v>412</v>
      </c>
      <c r="B13" s="8" t="s">
        <v>413</v>
      </c>
      <c r="C13" s="25" t="n">
        <v>0.88</v>
      </c>
    </row>
    <row r="14" customFormat="false" ht="15" hidden="false" customHeight="false" outlineLevel="0" collapsed="false">
      <c r="A14" s="8" t="s">
        <v>414</v>
      </c>
      <c r="B14" s="8" t="s">
        <v>415</v>
      </c>
      <c r="C14" s="24" t="n">
        <v>55</v>
      </c>
    </row>
    <row r="15" customFormat="false" ht="15" hidden="false" customHeight="false" outlineLevel="0" collapsed="false">
      <c r="A15" s="8" t="s">
        <v>416</v>
      </c>
      <c r="B15" s="8" t="s">
        <v>56</v>
      </c>
      <c r="C15" s="12" t="n">
        <v>0.5</v>
      </c>
    </row>
    <row r="16" customFormat="false" ht="15" hidden="false" customHeight="false" outlineLevel="0" collapsed="false">
      <c r="A16" s="8" t="s">
        <v>417</v>
      </c>
      <c r="B16" s="8" t="s">
        <v>418</v>
      </c>
      <c r="C16" s="43" t="n">
        <v>190</v>
      </c>
      <c r="D16" s="10" t="s">
        <v>419</v>
      </c>
    </row>
    <row r="17" customFormat="false" ht="15" hidden="false" customHeight="false" outlineLevel="0" collapsed="false">
      <c r="A17" s="8" t="s">
        <v>420</v>
      </c>
      <c r="B17" s="8" t="s">
        <v>418</v>
      </c>
      <c r="C17" s="43" t="n">
        <v>80</v>
      </c>
      <c r="D17" s="10" t="s">
        <v>421</v>
      </c>
    </row>
    <row r="18" customFormat="false" ht="15" hidden="false" customHeight="false" outlineLevel="0" collapsed="false">
      <c r="A18" s="8" t="s">
        <v>422</v>
      </c>
      <c r="B18" s="8" t="s">
        <v>423</v>
      </c>
      <c r="C18" s="43" t="n">
        <v>85</v>
      </c>
      <c r="D18" s="10" t="s">
        <v>424</v>
      </c>
    </row>
    <row r="19" customFormat="false" ht="15" hidden="false" customHeight="false" outlineLevel="0" collapsed="false">
      <c r="A19" s="8" t="s">
        <v>425</v>
      </c>
      <c r="B19" s="8" t="s">
        <v>84</v>
      </c>
      <c r="C19" s="43" t="n">
        <v>180</v>
      </c>
    </row>
    <row r="20" customFormat="false" ht="15" hidden="false" customHeight="false" outlineLevel="0" collapsed="false">
      <c r="A20" s="8" t="s">
        <v>426</v>
      </c>
      <c r="B20" s="8" t="s">
        <v>427</v>
      </c>
      <c r="C20" s="12" t="n">
        <v>0.3</v>
      </c>
    </row>
    <row r="21" customFormat="false" ht="15" hidden="false" customHeight="false" outlineLevel="0" collapsed="false">
      <c r="A21" s="8" t="s">
        <v>428</v>
      </c>
      <c r="B21" s="8" t="s">
        <v>82</v>
      </c>
      <c r="C21" s="56" t="n">
        <v>1.2</v>
      </c>
      <c r="D21" s="10" t="s">
        <v>429</v>
      </c>
    </row>
    <row r="22" customFormat="false" ht="15" hidden="false" customHeight="false" outlineLevel="0" collapsed="false">
      <c r="A22" s="6" t="s">
        <v>430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</row>
    <row r="23" customFormat="false" ht="15" hidden="false" customHeight="false" outlineLevel="0" collapsed="false">
      <c r="A23" s="8" t="s">
        <v>431</v>
      </c>
      <c r="B23" s="8" t="s">
        <v>181</v>
      </c>
      <c r="E23" s="32" t="n">
        <f aca="false">MAX(0,10_DEMAND!E27-04_GENERATION!E20*11_OFFTAKER!$C$7)</f>
        <v>7750</v>
      </c>
      <c r="F23" s="32" t="n">
        <f aca="false">MAX(0,10_DEMAND!F27-04_GENERATION!F20*11_OFFTAKER!$C$7)</f>
        <v>8228.71</v>
      </c>
      <c r="G23" s="32" t="n">
        <f aca="false">MAX(0,10_DEMAND!G27-04_GENERATION!G20*11_OFFTAKER!$C$7)</f>
        <v>8738.0281</v>
      </c>
      <c r="H23" s="32" t="n">
        <f aca="false">MAX(0,10_DEMAND!H27-04_GENERATION!H20*11_OFFTAKER!$C$7)</f>
        <v>9279.982753</v>
      </c>
      <c r="I23" s="32" t="n">
        <f aca="false">MAX(0,10_DEMAND!I27-04_GENERATION!I20*11_OFFTAKER!$C$7)</f>
        <v>9856.74209365</v>
      </c>
      <c r="J23" s="32" t="n">
        <f aca="false">MAX(0,10_DEMAND!J27-04_GENERATION!J20*11_OFFTAKER!$C$7)</f>
        <v>10258.225307049</v>
      </c>
      <c r="K23" s="32" t="n">
        <f aca="false">MAX(0,10_DEMAND!K27-04_GENERATION!K20*11_OFFTAKER!$C$7)</f>
        <v>10874.2259222462</v>
      </c>
      <c r="L23" s="32" t="n">
        <f aca="false">MAX(0,10_DEMAND!L27-04_GENERATION!L20*11_OFFTAKER!$C$7)</f>
        <v>11569.9599210395</v>
      </c>
      <c r="M23" s="32" t="n">
        <f aca="false">MAX(0,10_DEMAND!M27-04_GENERATION!M20*11_OFFTAKER!$C$7)</f>
        <v>12310.78013839</v>
      </c>
      <c r="N23" s="32" t="n">
        <f aca="false">MAX(0,10_DEMAND!N27-04_GENERATION!N20*11_OFFTAKER!$C$7)</f>
        <v>13099.7194799978</v>
      </c>
      <c r="O23" s="32" t="n">
        <f aca="false">MAX(0,10_DEMAND!O27-04_GENERATION!O20*11_OFFTAKER!$C$7)</f>
        <v>13940.0232371453</v>
      </c>
      <c r="P23" s="32" t="n">
        <f aca="false">MAX(0,10_DEMAND!P27-04_GENERATION!P20*11_OFFTAKER!$C$7)</f>
        <v>14835.1646187393</v>
      </c>
      <c r="Q23" s="32" t="n">
        <f aca="false">MAX(0,10_DEMAND!Q27-04_GENERATION!Q20*11_OFFTAKER!$C$7)</f>
        <v>15788.8614725094</v>
      </c>
      <c r="R23" s="32" t="n">
        <f aca="false">MAX(0,10_DEMAND!R27-04_GENERATION!R20*11_OFFTAKER!$C$7)</f>
        <v>16805.0942907312</v>
      </c>
      <c r="S23" s="32" t="n">
        <f aca="false">MAX(0,10_DEMAND!S27-04_GENERATION!S20*11_OFFTAKER!$C$7)</f>
        <v>17888.1256038416</v>
      </c>
      <c r="T23" s="32" t="n">
        <f aca="false">MAX(0,10_DEMAND!T27-04_GENERATION!T20*11_OFFTAKER!$C$7)</f>
        <v>19042.5208740071</v>
      </c>
      <c r="U23" s="32" t="n">
        <f aca="false">MAX(0,10_DEMAND!U27-04_GENERATION!U20*11_OFFTAKER!$C$7)</f>
        <v>20273.1710101595</v>
      </c>
      <c r="V23" s="32" t="n">
        <f aca="false">MAX(0,10_DEMAND!V27-04_GENERATION!V20*11_OFFTAKER!$C$7)</f>
        <v>21585.3166363001</v>
      </c>
      <c r="W23" s="32" t="n">
        <f aca="false">MAX(0,10_DEMAND!W27-04_GENERATION!W20*11_OFFTAKER!$C$7)</f>
        <v>22984.5742560613</v>
      </c>
      <c r="X23" s="32" t="n">
        <f aca="false">MAX(0,10_DEMAND!X27-04_GENERATION!X20*11_OFFTAKER!$C$7)</f>
        <v>24476.9644686927</v>
      </c>
      <c r="Y23" s="32" t="n">
        <f aca="false">MAX(0,10_DEMAND!Y27-04_GENERATION!Y20*11_OFFTAKER!$C$7)</f>
        <v>26068.9424048907</v>
      </c>
      <c r="Z23" s="32" t="n">
        <f aca="false">MAX(0,10_DEMAND!Z27-04_GENERATION!Z20*11_OFFTAKER!$C$7)</f>
        <v>27767.4305653212</v>
      </c>
      <c r="AA23" s="32" t="n">
        <f aca="false">MAX(0,10_DEMAND!AA27-04_GENERATION!AA20*11_OFFTAKER!$C$7)</f>
        <v>29579.8542603966</v>
      </c>
      <c r="AB23" s="32" t="n">
        <f aca="false">MAX(0,10_DEMAND!AB27-04_GENERATION!AB20*11_OFFTAKER!$C$7)</f>
        <v>31514.1798669791</v>
      </c>
      <c r="AC23" s="32" t="n">
        <f aca="false">MAX(0,10_DEMAND!AC27-04_GENERATION!AC20*11_OFFTAKER!$C$7)</f>
        <v>33578.9561363272</v>
      </c>
      <c r="AD23" s="32" t="n">
        <f aca="false">MAX(0,10_DEMAND!AD27-04_GENERATION!AD20*11_OFFTAKER!$C$7)</f>
        <v>35783.35880791</v>
      </c>
      <c r="AE23" s="32" t="n">
        <f aca="false">MAX(0,10_DEMAND!AE27-04_GENERATION!AE20*11_OFFTAKER!$C$7)</f>
        <v>38137.2388058512</v>
      </c>
      <c r="AF23" s="32" t="n">
        <f aca="false">MAX(0,10_DEMAND!AF27-04_GENERATION!AF20*11_OFFTAKER!$C$7)</f>
        <v>40651.1743188915</v>
      </c>
      <c r="AG23" s="32" t="n">
        <f aca="false">MAX(0,10_DEMAND!AG27-04_GENERATION!AG20*11_OFFTAKER!$C$7)</f>
        <v>43336.5270910626</v>
      </c>
      <c r="AH23" s="32" t="n">
        <f aca="false">MAX(0,10_DEMAND!AH27-04_GENERATION!AH20*11_OFFTAKER!$C$7)</f>
        <v>46205.5032789479</v>
      </c>
      <c r="AI23" s="32" t="n">
        <f aca="false">MAX(0,10_DEMAND!AI27-04_GENERATION!AI20*11_OFFTAKER!$C$7)</f>
        <v>49271.2192626883</v>
      </c>
      <c r="AJ23" s="32" t="n">
        <f aca="false">MAX(0,10_DEMAND!AJ27-04_GENERATION!AJ20*11_OFFTAKER!$C$7)</f>
        <v>52547.7728320147</v>
      </c>
      <c r="AK23" s="32" t="n">
        <f aca="false">MAX(0,10_DEMAND!AK27-04_GENERATION!AK20*11_OFFTAKER!$C$7)</f>
        <v>56050.3202058184</v>
      </c>
      <c r="AL23" s="32" t="n">
        <f aca="false">MAX(0,10_DEMAND!AL27-04_GENERATION!AL20*11_OFFTAKER!$C$7)</f>
        <v>59795.1593843984</v>
      </c>
      <c r="AM23" s="32" t="n">
        <f aca="false">MAX(0,10_DEMAND!AM27-04_GENERATION!AM20*11_OFFTAKER!$C$7)</f>
        <v>63799.8203778643</v>
      </c>
      <c r="AN23" s="32" t="n">
        <f aca="false">MAX(0,10_DEMAND!AN27-04_GENERATION!AN20*11_OFFTAKER!$C$7)</f>
        <v>68333.0436762946</v>
      </c>
      <c r="AO23" s="32" t="n">
        <f aca="false">MAX(0,10_DEMAND!AO27-04_GENERATION!AO20*11_OFFTAKER!$C$7)</f>
        <v>72915.3629640776</v>
      </c>
      <c r="AP23" s="32" t="n">
        <f aca="false">MAX(0,10_DEMAND!AP27-04_GENERATION!AP20*11_OFFTAKER!$C$7)</f>
        <v>77818.5043866222</v>
      </c>
      <c r="AQ23" s="32" t="n">
        <f aca="false">MAX(0,10_DEMAND!AQ27-04_GENERATION!AQ20*11_OFFTAKER!$C$7)</f>
        <v>83065.9876605682</v>
      </c>
      <c r="AR23" s="32" t="n">
        <f aca="false">MAX(0,10_DEMAND!AR27-04_GENERATION!AR20*11_OFFTAKER!$C$7)</f>
        <v>88683.1414675555</v>
      </c>
    </row>
    <row r="24" customFormat="false" ht="15" hidden="false" customHeight="false" outlineLevel="0" collapsed="false">
      <c r="A24" s="8" t="s">
        <v>432</v>
      </c>
      <c r="B24" s="8" t="s">
        <v>181</v>
      </c>
      <c r="E24" s="32" t="n">
        <f aca="false">12_UTILITY!E23/(1-12_UTILITY!$C$11-12_UTILITY!$C$12)</f>
        <v>9935.89743589744</v>
      </c>
      <c r="F24" s="32" t="n">
        <f aca="false">12_UTILITY!F23/(1-12_UTILITY!$C$11-12_UTILITY!$C$12)</f>
        <v>10549.6282051282</v>
      </c>
      <c r="G24" s="32" t="n">
        <f aca="false">12_UTILITY!G23/(1-12_UTILITY!$C$11-12_UTILITY!$C$12)</f>
        <v>11202.6001282051</v>
      </c>
      <c r="H24" s="32" t="n">
        <f aca="false">12_UTILITY!H23/(1-12_UTILITY!$C$11-12_UTILITY!$C$12)</f>
        <v>11897.4137858974</v>
      </c>
      <c r="I24" s="32" t="n">
        <f aca="false">12_UTILITY!I23/(1-12_UTILITY!$C$11-12_UTILITY!$C$12)</f>
        <v>12636.8488380128</v>
      </c>
      <c r="J24" s="32" t="n">
        <f aca="false">12_UTILITY!J23/(1-12_UTILITY!$C$11-12_UTILITY!$C$12)</f>
        <v>13151.5709064731</v>
      </c>
      <c r="K24" s="32" t="n">
        <f aca="false">12_UTILITY!K23/(1-12_UTILITY!$C$11-12_UTILITY!$C$12)</f>
        <v>13941.3152849311</v>
      </c>
      <c r="L24" s="32" t="n">
        <f aca="false">12_UTILITY!L23/(1-12_UTILITY!$C$11-12_UTILITY!$C$12)</f>
        <v>14833.2819500506</v>
      </c>
      <c r="M24" s="32" t="n">
        <f aca="false">12_UTILITY!M23/(1-12_UTILITY!$C$11-12_UTILITY!$C$12)</f>
        <v>15783.0514594743</v>
      </c>
      <c r="N24" s="32" t="n">
        <f aca="false">12_UTILITY!N23/(1-12_UTILITY!$C$11-12_UTILITY!$C$12)</f>
        <v>16794.5121538434</v>
      </c>
      <c r="O24" s="32" t="n">
        <f aca="false">12_UTILITY!O23/(1-12_UTILITY!$C$11-12_UTILITY!$C$12)</f>
        <v>17871.8246630068</v>
      </c>
      <c r="P24" s="32" t="n">
        <f aca="false">12_UTILITY!P23/(1-12_UTILITY!$C$11-12_UTILITY!$C$12)</f>
        <v>19019.4418188966</v>
      </c>
      <c r="Q24" s="32" t="n">
        <f aca="false">12_UTILITY!Q23/(1-12_UTILITY!$C$11-12_UTILITY!$C$12)</f>
        <v>20242.1300929608</v>
      </c>
      <c r="R24" s="32" t="n">
        <f aca="false">12_UTILITY!R23/(1-12_UTILITY!$C$11-12_UTILITY!$C$12)</f>
        <v>21544.9926804246</v>
      </c>
      <c r="S24" s="32" t="n">
        <f aca="false">12_UTILITY!S23/(1-12_UTILITY!$C$11-12_UTILITY!$C$12)</f>
        <v>22933.4943638995</v>
      </c>
      <c r="T24" s="32" t="n">
        <f aca="false">12_UTILITY!T23/(1-12_UTILITY!$C$11-12_UTILITY!$C$12)</f>
        <v>24413.4883000091</v>
      </c>
      <c r="U24" s="32" t="n">
        <f aca="false">12_UTILITY!U23/(1-12_UTILITY!$C$11-12_UTILITY!$C$12)</f>
        <v>25991.2448848199</v>
      </c>
      <c r="V24" s="32" t="n">
        <f aca="false">12_UTILITY!V23/(1-12_UTILITY!$C$11-12_UTILITY!$C$12)</f>
        <v>27673.4828670514</v>
      </c>
      <c r="W24" s="32" t="n">
        <f aca="false">12_UTILITY!W23/(1-12_UTILITY!$C$11-12_UTILITY!$C$12)</f>
        <v>29467.4028923863</v>
      </c>
      <c r="X24" s="32" t="n">
        <f aca="false">12_UTILITY!X23/(1-12_UTILITY!$C$11-12_UTILITY!$C$12)</f>
        <v>31380.7236778111</v>
      </c>
      <c r="Y24" s="32" t="n">
        <f aca="false">12_UTILITY!Y23/(1-12_UTILITY!$C$11-12_UTILITY!$C$12)</f>
        <v>33421.7210319111</v>
      </c>
      <c r="Z24" s="32" t="n">
        <f aca="false">12_UTILITY!Z23/(1-12_UTILITY!$C$11-12_UTILITY!$C$12)</f>
        <v>35599.2699555401</v>
      </c>
      <c r="AA24" s="32" t="n">
        <f aca="false">12_UTILITY!AA23/(1-12_UTILITY!$C$11-12_UTILITY!$C$12)</f>
        <v>37922.8900774315</v>
      </c>
      <c r="AB24" s="32" t="n">
        <f aca="false">12_UTILITY!AB23/(1-12_UTILITY!$C$11-12_UTILITY!$C$12)</f>
        <v>40402.7947012552</v>
      </c>
      <c r="AC24" s="32" t="n">
        <f aca="false">12_UTILITY!AC23/(1-12_UTILITY!$C$11-12_UTILITY!$C$12)</f>
        <v>43049.943764522</v>
      </c>
      <c r="AD24" s="32" t="n">
        <f aca="false">12_UTILITY!AD23/(1-12_UTILITY!$C$11-12_UTILITY!$C$12)</f>
        <v>45876.1010357821</v>
      </c>
      <c r="AE24" s="32" t="n">
        <f aca="false">12_UTILITY!AE23/(1-12_UTILITY!$C$11-12_UTILITY!$C$12)</f>
        <v>48893.8959049375</v>
      </c>
      <c r="AF24" s="32" t="n">
        <f aca="false">12_UTILITY!AF23/(1-12_UTILITY!$C$11-12_UTILITY!$C$12)</f>
        <v>52116.8901524251</v>
      </c>
      <c r="AG24" s="32" t="n">
        <f aca="false">12_UTILITY!AG23/(1-12_UTILITY!$C$11-12_UTILITY!$C$12)</f>
        <v>55559.6501167469</v>
      </c>
      <c r="AH24" s="32" t="n">
        <f aca="false">12_UTILITY!AH23/(1-12_UTILITY!$C$11-12_UTILITY!$C$12)</f>
        <v>59237.8247165998</v>
      </c>
      <c r="AI24" s="32" t="n">
        <f aca="false">12_UTILITY!AI23/(1-12_UTILITY!$C$11-12_UTILITY!$C$12)</f>
        <v>63168.2298239594</v>
      </c>
      <c r="AJ24" s="32" t="n">
        <f aca="false">12_UTILITY!AJ23/(1-12_UTILITY!$C$11-12_UTILITY!$C$12)</f>
        <v>67368.939528224</v>
      </c>
      <c r="AK24" s="32" t="n">
        <f aca="false">12_UTILITY!AK23/(1-12_UTILITY!$C$11-12_UTILITY!$C$12)</f>
        <v>71859.3848792544</v>
      </c>
      <c r="AL24" s="32" t="n">
        <f aca="false">12_UTILITY!AL23/(1-12_UTILITY!$C$11-12_UTILITY!$C$12)</f>
        <v>76660.4607492287</v>
      </c>
      <c r="AM24" s="32" t="n">
        <f aca="false">12_UTILITY!AM23/(1-12_UTILITY!$C$11-12_UTILITY!$C$12)</f>
        <v>81794.6415100824</v>
      </c>
      <c r="AN24" s="32" t="n">
        <f aca="false">12_UTILITY!AN23/(1-12_UTILITY!$C$11-12_UTILITY!$C$12)</f>
        <v>87606.4662516598</v>
      </c>
      <c r="AO24" s="32" t="n">
        <f aca="false">12_UTILITY!AO23/(1-12_UTILITY!$C$11-12_UTILITY!$C$12)</f>
        <v>93481.2345693302</v>
      </c>
      <c r="AP24" s="32" t="n">
        <f aca="false">12_UTILITY!AP23/(1-12_UTILITY!$C$11-12_UTILITY!$C$12)</f>
        <v>99767.3133161823</v>
      </c>
      <c r="AQ24" s="32" t="n">
        <f aca="false">12_UTILITY!AQ23/(1-12_UTILITY!$C$11-12_UTILITY!$C$12)</f>
        <v>106494.855975087</v>
      </c>
      <c r="AR24" s="32" t="n">
        <f aca="false">12_UTILITY!AR23/(1-12_UTILITY!$C$11-12_UTILITY!$C$12)</f>
        <v>113696.335214815</v>
      </c>
    </row>
    <row r="25" customFormat="false" ht="15" hidden="false" customHeight="false" outlineLevel="0" collapsed="false">
      <c r="A25" s="8" t="s">
        <v>433</v>
      </c>
      <c r="B25" s="8" t="s">
        <v>181</v>
      </c>
      <c r="E25" s="32" t="n">
        <f aca="false">MIN(04_GENERATION!E20*11_OFFTAKER!$C$6*(1-08_TRANSMISSION!$C$15),12_UTILITY!E24)</f>
        <v>0</v>
      </c>
      <c r="F25" s="32" t="n">
        <f aca="false">MIN(04_GENERATION!F20*11_OFFTAKER!$C$6*(1-08_TRANSMISSION!$C$15),12_UTILITY!F24)</f>
        <v>0</v>
      </c>
      <c r="G25" s="32" t="n">
        <f aca="false">MIN(04_GENERATION!G20*11_OFFTAKER!$C$6*(1-08_TRANSMISSION!$C$15),12_UTILITY!G24)</f>
        <v>0</v>
      </c>
      <c r="H25" s="32" t="n">
        <f aca="false">MIN(04_GENERATION!H20*11_OFFTAKER!$C$6*(1-08_TRANSMISSION!$C$15),12_UTILITY!H24)</f>
        <v>0</v>
      </c>
      <c r="I25" s="32" t="n">
        <f aca="false">MIN(04_GENERATION!I20*11_OFFTAKER!$C$6*(1-08_TRANSMISSION!$C$15),12_UTILITY!I24)</f>
        <v>0</v>
      </c>
      <c r="J25" s="32" t="n">
        <f aca="false">MIN(04_GENERATION!J20*11_OFFTAKER!$C$6*(1-08_TRANSMISSION!$C$15),12_UTILITY!J24)</f>
        <v>1173.50258356652</v>
      </c>
      <c r="K25" s="32" t="n">
        <f aca="false">MIN(04_GENERATION!K20*11_OFFTAKER!$C$6*(1-08_TRANSMISSION!$C$15),12_UTILITY!K24)</f>
        <v>1380.59127478414</v>
      </c>
      <c r="L25" s="32" t="n">
        <f aca="false">MIN(04_GENERATION!L20*11_OFFTAKER!$C$6*(1-08_TRANSMISSION!$C$15),12_UTILITY!L24)</f>
        <v>1380.59127478414</v>
      </c>
      <c r="M25" s="32" t="n">
        <f aca="false">MIN(04_GENERATION!M20*11_OFFTAKER!$C$6*(1-08_TRANSMISSION!$C$15),12_UTILITY!M24)</f>
        <v>1380.59127478414</v>
      </c>
      <c r="N25" s="32" t="n">
        <f aca="false">MIN(04_GENERATION!N20*11_OFFTAKER!$C$6*(1-08_TRANSMISSION!$C$15),12_UTILITY!N24)</f>
        <v>1380.59127478414</v>
      </c>
      <c r="O25" s="32" t="n">
        <f aca="false">MIN(04_GENERATION!O20*11_OFFTAKER!$C$6*(1-08_TRANSMISSION!$C$15),12_UTILITY!O24)</f>
        <v>1380.59127478414</v>
      </c>
      <c r="P25" s="32" t="n">
        <f aca="false">MIN(04_GENERATION!P20*11_OFFTAKER!$C$6*(1-08_TRANSMISSION!$C$15),12_UTILITY!P24)</f>
        <v>1380.59127478414</v>
      </c>
      <c r="Q25" s="32" t="n">
        <f aca="false">MIN(04_GENERATION!Q20*11_OFFTAKER!$C$6*(1-08_TRANSMISSION!$C$15),12_UTILITY!Q24)</f>
        <v>1380.59127478414</v>
      </c>
      <c r="R25" s="32" t="n">
        <f aca="false">MIN(04_GENERATION!R20*11_OFFTAKER!$C$6*(1-08_TRANSMISSION!$C$15),12_UTILITY!R24)</f>
        <v>1380.59127478414</v>
      </c>
      <c r="S25" s="32" t="n">
        <f aca="false">MIN(04_GENERATION!S20*11_OFFTAKER!$C$6*(1-08_TRANSMISSION!$C$15),12_UTILITY!S24)</f>
        <v>1380.59127478414</v>
      </c>
      <c r="T25" s="32" t="n">
        <f aca="false">MIN(04_GENERATION!T20*11_OFFTAKER!$C$6*(1-08_TRANSMISSION!$C$15),12_UTILITY!T24)</f>
        <v>1380.59127478414</v>
      </c>
      <c r="U25" s="32" t="n">
        <f aca="false">MIN(04_GENERATION!U20*11_OFFTAKER!$C$6*(1-08_TRANSMISSION!$C$15),12_UTILITY!U24)</f>
        <v>1380.59127478414</v>
      </c>
      <c r="V25" s="32" t="n">
        <f aca="false">MIN(04_GENERATION!V20*11_OFFTAKER!$C$6*(1-08_TRANSMISSION!$C$15),12_UTILITY!V24)</f>
        <v>1380.59127478414</v>
      </c>
      <c r="W25" s="32" t="n">
        <f aca="false">MIN(04_GENERATION!W20*11_OFFTAKER!$C$6*(1-08_TRANSMISSION!$C$15),12_UTILITY!W24)</f>
        <v>1380.59127478414</v>
      </c>
      <c r="X25" s="32" t="n">
        <f aca="false">MIN(04_GENERATION!X20*11_OFFTAKER!$C$6*(1-08_TRANSMISSION!$C$15),12_UTILITY!X24)</f>
        <v>1380.59127478414</v>
      </c>
      <c r="Y25" s="32" t="n">
        <f aca="false">MIN(04_GENERATION!Y20*11_OFFTAKER!$C$6*(1-08_TRANSMISSION!$C$15),12_UTILITY!Y24)</f>
        <v>1380.59127478414</v>
      </c>
      <c r="Z25" s="32" t="n">
        <f aca="false">MIN(04_GENERATION!Z20*11_OFFTAKER!$C$6*(1-08_TRANSMISSION!$C$15),12_UTILITY!Z24)</f>
        <v>1380.59127478414</v>
      </c>
      <c r="AA25" s="32" t="n">
        <f aca="false">MIN(04_GENERATION!AA20*11_OFFTAKER!$C$6*(1-08_TRANSMISSION!$C$15),12_UTILITY!AA24)</f>
        <v>1380.59127478414</v>
      </c>
      <c r="AB25" s="32" t="n">
        <f aca="false">MIN(04_GENERATION!AB20*11_OFFTAKER!$C$6*(1-08_TRANSMISSION!$C$15),12_UTILITY!AB24)</f>
        <v>1380.59127478414</v>
      </c>
      <c r="AC25" s="32" t="n">
        <f aca="false">MIN(04_GENERATION!AC20*11_OFFTAKER!$C$6*(1-08_TRANSMISSION!$C$15),12_UTILITY!AC24)</f>
        <v>1380.59127478414</v>
      </c>
      <c r="AD25" s="32" t="n">
        <f aca="false">MIN(04_GENERATION!AD20*11_OFFTAKER!$C$6*(1-08_TRANSMISSION!$C$15),12_UTILITY!AD24)</f>
        <v>1380.59127478414</v>
      </c>
      <c r="AE25" s="32" t="n">
        <f aca="false">MIN(04_GENERATION!AE20*11_OFFTAKER!$C$6*(1-08_TRANSMISSION!$C$15),12_UTILITY!AE24)</f>
        <v>1380.59127478414</v>
      </c>
      <c r="AF25" s="32" t="n">
        <f aca="false">MIN(04_GENERATION!AF20*11_OFFTAKER!$C$6*(1-08_TRANSMISSION!$C$15),12_UTILITY!AF24)</f>
        <v>1380.59127478414</v>
      </c>
      <c r="AG25" s="32" t="n">
        <f aca="false">MIN(04_GENERATION!AG20*11_OFFTAKER!$C$6*(1-08_TRANSMISSION!$C$15),12_UTILITY!AG24)</f>
        <v>1380.59127478414</v>
      </c>
      <c r="AH25" s="32" t="n">
        <f aca="false">MIN(04_GENERATION!AH20*11_OFFTAKER!$C$6*(1-08_TRANSMISSION!$C$15),12_UTILITY!AH24)</f>
        <v>1380.59127478414</v>
      </c>
      <c r="AI25" s="32" t="n">
        <f aca="false">MIN(04_GENERATION!AI20*11_OFFTAKER!$C$6*(1-08_TRANSMISSION!$C$15),12_UTILITY!AI24)</f>
        <v>1380.59127478414</v>
      </c>
      <c r="AJ25" s="32" t="n">
        <f aca="false">MIN(04_GENERATION!AJ20*11_OFFTAKER!$C$6*(1-08_TRANSMISSION!$C$15),12_UTILITY!AJ24)</f>
        <v>1380.59127478414</v>
      </c>
      <c r="AK25" s="32" t="n">
        <f aca="false">MIN(04_GENERATION!AK20*11_OFFTAKER!$C$6*(1-08_TRANSMISSION!$C$15),12_UTILITY!AK24)</f>
        <v>1380.59127478414</v>
      </c>
      <c r="AL25" s="32" t="n">
        <f aca="false">MIN(04_GENERATION!AL20*11_OFFTAKER!$C$6*(1-08_TRANSMISSION!$C$15),12_UTILITY!AL24)</f>
        <v>1380.59127478414</v>
      </c>
      <c r="AM25" s="32" t="n">
        <f aca="false">MIN(04_GENERATION!AM20*11_OFFTAKER!$C$6*(1-08_TRANSMISSION!$C$15),12_UTILITY!AM24)</f>
        <v>1380.59127478414</v>
      </c>
      <c r="AN25" s="32" t="n">
        <f aca="false">MIN(04_GENERATION!AN20*11_OFFTAKER!$C$6*(1-08_TRANSMISSION!$C$15),12_UTILITY!AN24)</f>
        <v>0</v>
      </c>
      <c r="AO25" s="32" t="n">
        <f aca="false">MIN(04_GENERATION!AO20*11_OFFTAKER!$C$6*(1-08_TRANSMISSION!$C$15),12_UTILITY!AO24)</f>
        <v>0</v>
      </c>
      <c r="AP25" s="32" t="n">
        <f aca="false">MIN(04_GENERATION!AP20*11_OFFTAKER!$C$6*(1-08_TRANSMISSION!$C$15),12_UTILITY!AP24)</f>
        <v>0</v>
      </c>
      <c r="AQ25" s="32" t="n">
        <f aca="false">MIN(04_GENERATION!AQ20*11_OFFTAKER!$C$6*(1-08_TRANSMISSION!$C$15),12_UTILITY!AQ24)</f>
        <v>0</v>
      </c>
      <c r="AR25" s="32" t="n">
        <f aca="false">MIN(04_GENERATION!AR20*11_OFFTAKER!$C$6*(1-08_TRANSMISSION!$C$15),12_UTILITY!AR24)</f>
        <v>0</v>
      </c>
    </row>
    <row r="26" customFormat="false" ht="15" hidden="false" customHeight="false" outlineLevel="0" collapsed="false">
      <c r="A26" s="8" t="s">
        <v>434</v>
      </c>
      <c r="B26" s="8" t="s">
        <v>181</v>
      </c>
      <c r="E26" s="32" t="n">
        <f aca="false">MIN(12_UTILITY!E24-12_UTILITY!E25,10_DEMAND!E31)</f>
        <v>8987</v>
      </c>
      <c r="F26" s="32" t="n">
        <f aca="false">MIN(12_UTILITY!F24-12_UTILITY!F25,10_DEMAND!F31)</f>
        <v>9391.415</v>
      </c>
      <c r="G26" s="32" t="n">
        <f aca="false">MIN(12_UTILITY!G24-12_UTILITY!G25,10_DEMAND!G31)</f>
        <v>9814.028675</v>
      </c>
      <c r="H26" s="32" t="n">
        <f aca="false">MIN(12_UTILITY!H24-12_UTILITY!H25,10_DEMAND!H31)</f>
        <v>10255.659965375</v>
      </c>
      <c r="I26" s="32" t="n">
        <f aca="false">MIN(12_UTILITY!I24-12_UTILITY!I25,10_DEMAND!I31)</f>
        <v>10717.1646638169</v>
      </c>
      <c r="J26" s="32" t="n">
        <f aca="false">MIN(12_UTILITY!J24-12_UTILITY!J25,10_DEMAND!J31)</f>
        <v>11199.4370736886</v>
      </c>
      <c r="K26" s="32" t="n">
        <f aca="false">MIN(12_UTILITY!K24-12_UTILITY!K25,10_DEMAND!K31)</f>
        <v>11703.4117420046</v>
      </c>
      <c r="L26" s="32" t="n">
        <f aca="false">MIN(12_UTILITY!L24-12_UTILITY!L25,10_DEMAND!L31)</f>
        <v>12230.0652703948</v>
      </c>
      <c r="M26" s="32" t="n">
        <f aca="false">MIN(12_UTILITY!M24-12_UTILITY!M25,10_DEMAND!M31)</f>
        <v>12780.4182075626</v>
      </c>
      <c r="N26" s="32" t="n">
        <f aca="false">MIN(12_UTILITY!N24-12_UTILITY!N25,10_DEMAND!N31)</f>
        <v>13355.5370269029</v>
      </c>
      <c r="O26" s="32" t="n">
        <f aca="false">MIN(12_UTILITY!O24-12_UTILITY!O25,10_DEMAND!O31)</f>
        <v>13956.5361931135</v>
      </c>
      <c r="P26" s="32" t="n">
        <f aca="false">MIN(12_UTILITY!P24-12_UTILITY!P25,10_DEMAND!P31)</f>
        <v>14584.5803218036</v>
      </c>
      <c r="Q26" s="32" t="n">
        <f aca="false">MIN(12_UTILITY!Q24-12_UTILITY!Q25,10_DEMAND!Q31)</f>
        <v>15240.8864362848</v>
      </c>
      <c r="R26" s="32" t="n">
        <f aca="false">MIN(12_UTILITY!R24-12_UTILITY!R25,10_DEMAND!R31)</f>
        <v>15926.7263259176</v>
      </c>
      <c r="S26" s="32" t="n">
        <f aca="false">MIN(12_UTILITY!S24-12_UTILITY!S25,10_DEMAND!S31)</f>
        <v>16643.4290105839</v>
      </c>
      <c r="T26" s="32" t="n">
        <f aca="false">MIN(12_UTILITY!T24-12_UTILITY!T25,10_DEMAND!T31)</f>
        <v>17392.3833160602</v>
      </c>
      <c r="U26" s="32" t="n">
        <f aca="false">MIN(12_UTILITY!U24-12_UTILITY!U25,10_DEMAND!U31)</f>
        <v>18175.0405652829</v>
      </c>
      <c r="V26" s="32" t="n">
        <f aca="false">MIN(12_UTILITY!V24-12_UTILITY!V25,10_DEMAND!V31)</f>
        <v>18992.9173907206</v>
      </c>
      <c r="W26" s="32" t="n">
        <f aca="false">MIN(12_UTILITY!W24-12_UTILITY!W25,10_DEMAND!W31)</f>
        <v>19847.5986733031</v>
      </c>
      <c r="X26" s="32" t="n">
        <f aca="false">MIN(12_UTILITY!X24-12_UTILITY!X25,10_DEMAND!X31)</f>
        <v>20740.7406136017</v>
      </c>
      <c r="Y26" s="32" t="n">
        <f aca="false">MIN(12_UTILITY!Y24-12_UTILITY!Y25,10_DEMAND!Y31)</f>
        <v>21674.0739412138</v>
      </c>
      <c r="Z26" s="32" t="n">
        <f aca="false">MIN(12_UTILITY!Z24-12_UTILITY!Z25,10_DEMAND!Z31)</f>
        <v>22649.4072685684</v>
      </c>
      <c r="AA26" s="32" t="n">
        <f aca="false">MIN(12_UTILITY!AA24-12_UTILITY!AA25,10_DEMAND!AA31)</f>
        <v>23668.630595654</v>
      </c>
      <c r="AB26" s="32" t="n">
        <f aca="false">MIN(12_UTILITY!AB24-12_UTILITY!AB25,10_DEMAND!AB31)</f>
        <v>24733.7189724584</v>
      </c>
      <c r="AC26" s="32" t="n">
        <f aca="false">MIN(12_UTILITY!AC24-12_UTILITY!AC25,10_DEMAND!AC31)</f>
        <v>25846.736326219</v>
      </c>
      <c r="AD26" s="32" t="n">
        <f aca="false">MIN(12_UTILITY!AD24-12_UTILITY!AD25,10_DEMAND!AD31)</f>
        <v>27009.8394608989</v>
      </c>
      <c r="AE26" s="32" t="n">
        <f aca="false">MIN(12_UTILITY!AE24-12_UTILITY!AE25,10_DEMAND!AE31)</f>
        <v>28225.2822366393</v>
      </c>
      <c r="AF26" s="32" t="n">
        <f aca="false">MIN(12_UTILITY!AF24-12_UTILITY!AF25,10_DEMAND!AF31)</f>
        <v>29495.4199372881</v>
      </c>
      <c r="AG26" s="32" t="n">
        <f aca="false">MIN(12_UTILITY!AG24-12_UTILITY!AG25,10_DEMAND!AG31)</f>
        <v>30822.713834466</v>
      </c>
      <c r="AH26" s="32" t="n">
        <f aca="false">MIN(12_UTILITY!AH24-12_UTILITY!AH25,10_DEMAND!AH31)</f>
        <v>32209.735957017</v>
      </c>
      <c r="AI26" s="32" t="n">
        <f aca="false">MIN(12_UTILITY!AI24-12_UTILITY!AI25,10_DEMAND!AI31)</f>
        <v>33659.1740750828</v>
      </c>
      <c r="AJ26" s="32" t="n">
        <f aca="false">MIN(12_UTILITY!AJ24-12_UTILITY!AJ25,10_DEMAND!AJ31)</f>
        <v>35173.8369084615</v>
      </c>
      <c r="AK26" s="32" t="n">
        <f aca="false">MIN(12_UTILITY!AK24-12_UTILITY!AK25,10_DEMAND!AK31)</f>
        <v>36756.6595693423</v>
      </c>
      <c r="AL26" s="32" t="n">
        <f aca="false">MIN(12_UTILITY!AL24-12_UTILITY!AL25,10_DEMAND!AL31)</f>
        <v>38410.7092499627</v>
      </c>
      <c r="AM26" s="32" t="n">
        <f aca="false">MIN(12_UTILITY!AM24-12_UTILITY!AM25,10_DEMAND!AM31)</f>
        <v>40139.191166211</v>
      </c>
      <c r="AN26" s="32" t="n">
        <f aca="false">MIN(12_UTILITY!AN24-12_UTILITY!AN25,10_DEMAND!AN31)</f>
        <v>41945.4547686905</v>
      </c>
      <c r="AO26" s="32" t="n">
        <f aca="false">MIN(12_UTILITY!AO24-12_UTILITY!AO25,10_DEMAND!AO31)</f>
        <v>43833.0002332815</v>
      </c>
      <c r="AP26" s="32" t="n">
        <f aca="false">MIN(12_UTILITY!AP24-12_UTILITY!AP25,10_DEMAND!AP31)</f>
        <v>45805.4852437792</v>
      </c>
      <c r="AQ26" s="32" t="n">
        <f aca="false">MIN(12_UTILITY!AQ24-12_UTILITY!AQ25,10_DEMAND!AQ31)</f>
        <v>47866.7320797493</v>
      </c>
      <c r="AR26" s="32" t="n">
        <f aca="false">MIN(12_UTILITY!AR24-12_UTILITY!AR25,10_DEMAND!AR31)</f>
        <v>50020.735023338</v>
      </c>
    </row>
    <row r="27" customFormat="false" ht="15" hidden="false" customHeight="false" outlineLevel="0" collapsed="false">
      <c r="A27" s="8" t="s">
        <v>435</v>
      </c>
      <c r="B27" s="8" t="s">
        <v>181</v>
      </c>
      <c r="E27" s="32" t="n">
        <f aca="false">12_UTILITY!E25+12_UTILITY!E26</f>
        <v>8987</v>
      </c>
      <c r="F27" s="32" t="n">
        <f aca="false">12_UTILITY!F25+12_UTILITY!F26</f>
        <v>9391.415</v>
      </c>
      <c r="G27" s="32" t="n">
        <f aca="false">12_UTILITY!G25+12_UTILITY!G26</f>
        <v>9814.028675</v>
      </c>
      <c r="H27" s="32" t="n">
        <f aca="false">12_UTILITY!H25+12_UTILITY!H26</f>
        <v>10255.659965375</v>
      </c>
      <c r="I27" s="32" t="n">
        <f aca="false">12_UTILITY!I25+12_UTILITY!I26</f>
        <v>10717.1646638169</v>
      </c>
      <c r="J27" s="32" t="n">
        <f aca="false">12_UTILITY!J25+12_UTILITY!J26</f>
        <v>12372.9396572551</v>
      </c>
      <c r="K27" s="32" t="n">
        <f aca="false">12_UTILITY!K25+12_UTILITY!K26</f>
        <v>13084.0030167888</v>
      </c>
      <c r="L27" s="32" t="n">
        <f aca="false">12_UTILITY!L25+12_UTILITY!L26</f>
        <v>13610.656545179</v>
      </c>
      <c r="M27" s="32" t="n">
        <f aca="false">12_UTILITY!M25+12_UTILITY!M26</f>
        <v>14161.0094823467</v>
      </c>
      <c r="N27" s="32" t="n">
        <f aca="false">12_UTILITY!N25+12_UTILITY!N26</f>
        <v>14736.128301687</v>
      </c>
      <c r="O27" s="32" t="n">
        <f aca="false">12_UTILITY!O25+12_UTILITY!O26</f>
        <v>15337.1274678977</v>
      </c>
      <c r="P27" s="32" t="n">
        <f aca="false">12_UTILITY!P25+12_UTILITY!P26</f>
        <v>15965.1715965878</v>
      </c>
      <c r="Q27" s="32" t="n">
        <f aca="false">12_UTILITY!Q25+12_UTILITY!Q26</f>
        <v>16621.4777110689</v>
      </c>
      <c r="R27" s="32" t="n">
        <f aca="false">12_UTILITY!R25+12_UTILITY!R26</f>
        <v>17307.3176007018</v>
      </c>
      <c r="S27" s="32" t="n">
        <f aca="false">12_UTILITY!S25+12_UTILITY!S26</f>
        <v>18024.0202853681</v>
      </c>
      <c r="T27" s="32" t="n">
        <f aca="false">12_UTILITY!T25+12_UTILITY!T26</f>
        <v>18772.9745908443</v>
      </c>
      <c r="U27" s="32" t="n">
        <f aca="false">12_UTILITY!U25+12_UTILITY!U26</f>
        <v>19555.631840067</v>
      </c>
      <c r="V27" s="32" t="n">
        <f aca="false">12_UTILITY!V25+12_UTILITY!V26</f>
        <v>20373.5086655048</v>
      </c>
      <c r="W27" s="32" t="n">
        <f aca="false">12_UTILITY!W25+12_UTILITY!W26</f>
        <v>21228.1899480872</v>
      </c>
      <c r="X27" s="32" t="n">
        <f aca="false">12_UTILITY!X25+12_UTILITY!X26</f>
        <v>22121.3318883858</v>
      </c>
      <c r="Y27" s="32" t="n">
        <f aca="false">12_UTILITY!Y25+12_UTILITY!Y26</f>
        <v>23054.6652159979</v>
      </c>
      <c r="Z27" s="32" t="n">
        <f aca="false">12_UTILITY!Z25+12_UTILITY!Z26</f>
        <v>24029.9985433525</v>
      </c>
      <c r="AA27" s="32" t="n">
        <f aca="false">12_UTILITY!AA25+12_UTILITY!AA26</f>
        <v>25049.2218704381</v>
      </c>
      <c r="AB27" s="32" t="n">
        <f aca="false">12_UTILITY!AB25+12_UTILITY!AB26</f>
        <v>26114.3102472425</v>
      </c>
      <c r="AC27" s="32" t="n">
        <f aca="false">12_UTILITY!AC25+12_UTILITY!AC26</f>
        <v>27227.3276010031</v>
      </c>
      <c r="AD27" s="32" t="n">
        <f aca="false">12_UTILITY!AD25+12_UTILITY!AD26</f>
        <v>28390.430735683</v>
      </c>
      <c r="AE27" s="32" t="n">
        <f aca="false">12_UTILITY!AE25+12_UTILITY!AE26</f>
        <v>29605.8735114234</v>
      </c>
      <c r="AF27" s="32" t="n">
        <f aca="false">12_UTILITY!AF25+12_UTILITY!AF26</f>
        <v>30876.0112120722</v>
      </c>
      <c r="AG27" s="32" t="n">
        <f aca="false">12_UTILITY!AG25+12_UTILITY!AG26</f>
        <v>32203.3051092502</v>
      </c>
      <c r="AH27" s="32" t="n">
        <f aca="false">12_UTILITY!AH25+12_UTILITY!AH26</f>
        <v>33590.3272318011</v>
      </c>
      <c r="AI27" s="32" t="n">
        <f aca="false">12_UTILITY!AI25+12_UTILITY!AI26</f>
        <v>35039.7653498669</v>
      </c>
      <c r="AJ27" s="32" t="n">
        <f aca="false">12_UTILITY!AJ25+12_UTILITY!AJ26</f>
        <v>36554.4281832456</v>
      </c>
      <c r="AK27" s="32" t="n">
        <f aca="false">12_UTILITY!AK25+12_UTILITY!AK26</f>
        <v>38137.2508441264</v>
      </c>
      <c r="AL27" s="32" t="n">
        <f aca="false">12_UTILITY!AL25+12_UTILITY!AL26</f>
        <v>39791.3005247468</v>
      </c>
      <c r="AM27" s="32" t="n">
        <f aca="false">12_UTILITY!AM25+12_UTILITY!AM26</f>
        <v>41519.7824409951</v>
      </c>
      <c r="AN27" s="32" t="n">
        <f aca="false">12_UTILITY!AN25+12_UTILITY!AN26</f>
        <v>41945.4547686905</v>
      </c>
      <c r="AO27" s="32" t="n">
        <f aca="false">12_UTILITY!AO25+12_UTILITY!AO26</f>
        <v>43833.0002332815</v>
      </c>
      <c r="AP27" s="32" t="n">
        <f aca="false">12_UTILITY!AP25+12_UTILITY!AP26</f>
        <v>45805.4852437792</v>
      </c>
      <c r="AQ27" s="32" t="n">
        <f aca="false">12_UTILITY!AQ25+12_UTILITY!AQ26</f>
        <v>47866.7320797493</v>
      </c>
      <c r="AR27" s="32" t="n">
        <f aca="false">12_UTILITY!AR25+12_UTILITY!AR26</f>
        <v>50020.735023338</v>
      </c>
    </row>
    <row r="28" customFormat="false" ht="15" hidden="false" customHeight="false" outlineLevel="0" collapsed="false">
      <c r="A28" s="8" t="s">
        <v>436</v>
      </c>
      <c r="B28" s="8" t="s">
        <v>181</v>
      </c>
      <c r="E28" s="32" t="n">
        <f aca="false">12_UTILITY!E27*(1-12_UTILITY!$C$11-12_UTILITY!$C$12)</f>
        <v>7009.86</v>
      </c>
      <c r="F28" s="32" t="n">
        <f aca="false">12_UTILITY!F27*(1-12_UTILITY!$C$11-12_UTILITY!$C$12)</f>
        <v>7325.3037</v>
      </c>
      <c r="G28" s="32" t="n">
        <f aca="false">12_UTILITY!G27*(1-12_UTILITY!$C$11-12_UTILITY!$C$12)</f>
        <v>7654.9423665</v>
      </c>
      <c r="H28" s="32" t="n">
        <f aca="false">12_UTILITY!H27*(1-12_UTILITY!$C$11-12_UTILITY!$C$12)</f>
        <v>7999.4147729925</v>
      </c>
      <c r="I28" s="32" t="n">
        <f aca="false">12_UTILITY!I27*(1-12_UTILITY!$C$11-12_UTILITY!$C$12)</f>
        <v>8359.38843777716</v>
      </c>
      <c r="J28" s="32" t="n">
        <f aca="false">12_UTILITY!J27*(1-12_UTILITY!$C$11-12_UTILITY!$C$12)</f>
        <v>9650.89293265902</v>
      </c>
      <c r="K28" s="32" t="n">
        <f aca="false">12_UTILITY!K27*(1-12_UTILITY!$C$11-12_UTILITY!$C$12)</f>
        <v>10205.5223530952</v>
      </c>
      <c r="L28" s="32" t="n">
        <f aca="false">12_UTILITY!L27*(1-12_UTILITY!$C$11-12_UTILITY!$C$12)</f>
        <v>10616.3121052396</v>
      </c>
      <c r="M28" s="32" t="n">
        <f aca="false">12_UTILITY!M27*(1-12_UTILITY!$C$11-12_UTILITY!$C$12)</f>
        <v>11045.5873962304</v>
      </c>
      <c r="N28" s="32" t="n">
        <f aca="false">12_UTILITY!N27*(1-12_UTILITY!$C$11-12_UTILITY!$C$12)</f>
        <v>11494.1800753159</v>
      </c>
      <c r="O28" s="32" t="n">
        <f aca="false">12_UTILITY!O27*(1-12_UTILITY!$C$11-12_UTILITY!$C$12)</f>
        <v>11962.9594249602</v>
      </c>
      <c r="P28" s="32" t="n">
        <f aca="false">12_UTILITY!P27*(1-12_UTILITY!$C$11-12_UTILITY!$C$12)</f>
        <v>12452.8338453385</v>
      </c>
      <c r="Q28" s="32" t="n">
        <f aca="false">12_UTILITY!Q27*(1-12_UTILITY!$C$11-12_UTILITY!$C$12)</f>
        <v>12964.7526146338</v>
      </c>
      <c r="R28" s="32" t="n">
        <f aca="false">12_UTILITY!R27*(1-12_UTILITY!$C$11-12_UTILITY!$C$12)</f>
        <v>13499.7077285474</v>
      </c>
      <c r="S28" s="32" t="n">
        <f aca="false">12_UTILITY!S27*(1-12_UTILITY!$C$11-12_UTILITY!$C$12)</f>
        <v>14058.7358225871</v>
      </c>
      <c r="T28" s="32" t="n">
        <f aca="false">12_UTILITY!T27*(1-12_UTILITY!$C$11-12_UTILITY!$C$12)</f>
        <v>14642.9201808586</v>
      </c>
      <c r="U28" s="32" t="n">
        <f aca="false">12_UTILITY!U27*(1-12_UTILITY!$C$11-12_UTILITY!$C$12)</f>
        <v>15253.3928352523</v>
      </c>
      <c r="V28" s="32" t="n">
        <f aca="false">12_UTILITY!V27*(1-12_UTILITY!$C$11-12_UTILITY!$C$12)</f>
        <v>15891.3367590937</v>
      </c>
      <c r="W28" s="32" t="n">
        <f aca="false">12_UTILITY!W27*(1-12_UTILITY!$C$11-12_UTILITY!$C$12)</f>
        <v>16557.988159508</v>
      </c>
      <c r="X28" s="32" t="n">
        <f aca="false">12_UTILITY!X27*(1-12_UTILITY!$C$11-12_UTILITY!$C$12)</f>
        <v>17254.6388729409</v>
      </c>
      <c r="Y28" s="32" t="n">
        <f aca="false">12_UTILITY!Y27*(1-12_UTILITY!$C$11-12_UTILITY!$C$12)</f>
        <v>17982.6388684784</v>
      </c>
      <c r="Z28" s="32" t="n">
        <f aca="false">12_UTILITY!Z27*(1-12_UTILITY!$C$11-12_UTILITY!$C$12)</f>
        <v>18743.398863815</v>
      </c>
      <c r="AA28" s="32" t="n">
        <f aca="false">12_UTILITY!AA27*(1-12_UTILITY!$C$11-12_UTILITY!$C$12)</f>
        <v>19538.3930589417</v>
      </c>
      <c r="AB28" s="32" t="n">
        <f aca="false">12_UTILITY!AB27*(1-12_UTILITY!$C$11-12_UTILITY!$C$12)</f>
        <v>20369.1619928492</v>
      </c>
      <c r="AC28" s="32" t="n">
        <f aca="false">12_UTILITY!AC27*(1-12_UTILITY!$C$11-12_UTILITY!$C$12)</f>
        <v>21237.3155287825</v>
      </c>
      <c r="AD28" s="32" t="n">
        <f aca="false">12_UTILITY!AD27*(1-12_UTILITY!$C$11-12_UTILITY!$C$12)</f>
        <v>22144.5359738327</v>
      </c>
      <c r="AE28" s="32" t="n">
        <f aca="false">12_UTILITY!AE27*(1-12_UTILITY!$C$11-12_UTILITY!$C$12)</f>
        <v>23092.5813389103</v>
      </c>
      <c r="AF28" s="32" t="n">
        <f aca="false">12_UTILITY!AF27*(1-12_UTILITY!$C$11-12_UTILITY!$C$12)</f>
        <v>24083.2887454163</v>
      </c>
      <c r="AG28" s="32" t="n">
        <f aca="false">12_UTILITY!AG27*(1-12_UTILITY!$C$11-12_UTILITY!$C$12)</f>
        <v>25118.5779852151</v>
      </c>
      <c r="AH28" s="32" t="n">
        <f aca="false">12_UTILITY!AH27*(1-12_UTILITY!$C$11-12_UTILITY!$C$12)</f>
        <v>26200.4552408049</v>
      </c>
      <c r="AI28" s="32" t="n">
        <f aca="false">12_UTILITY!AI27*(1-12_UTILITY!$C$11-12_UTILITY!$C$12)</f>
        <v>27331.0169728962</v>
      </c>
      <c r="AJ28" s="32" t="n">
        <f aca="false">12_UTILITY!AJ27*(1-12_UTILITY!$C$11-12_UTILITY!$C$12)</f>
        <v>28512.4539829316</v>
      </c>
      <c r="AK28" s="32" t="n">
        <f aca="false">12_UTILITY!AK27*(1-12_UTILITY!$C$11-12_UTILITY!$C$12)</f>
        <v>29747.0556584186</v>
      </c>
      <c r="AL28" s="32" t="n">
        <f aca="false">12_UTILITY!AL27*(1-12_UTILITY!$C$11-12_UTILITY!$C$12)</f>
        <v>31037.2144093025</v>
      </c>
      <c r="AM28" s="32" t="n">
        <f aca="false">12_UTILITY!AM27*(1-12_UTILITY!$C$11-12_UTILITY!$C$12)</f>
        <v>32385.4303039762</v>
      </c>
      <c r="AN28" s="32" t="n">
        <f aca="false">12_UTILITY!AN27*(1-12_UTILITY!$C$11-12_UTILITY!$C$12)</f>
        <v>32717.4547195786</v>
      </c>
      <c r="AO28" s="32" t="n">
        <f aca="false">12_UTILITY!AO27*(1-12_UTILITY!$C$11-12_UTILITY!$C$12)</f>
        <v>34189.7401819596</v>
      </c>
      <c r="AP28" s="32" t="n">
        <f aca="false">12_UTILITY!AP27*(1-12_UTILITY!$C$11-12_UTILITY!$C$12)</f>
        <v>35728.2784901478</v>
      </c>
      <c r="AQ28" s="32" t="n">
        <f aca="false">12_UTILITY!AQ27*(1-12_UTILITY!$C$11-12_UTILITY!$C$12)</f>
        <v>37336.0510222044</v>
      </c>
      <c r="AR28" s="32" t="n">
        <f aca="false">12_UTILITY!AR27*(1-12_UTILITY!$C$11-12_UTILITY!$C$12)</f>
        <v>39016.1733182036</v>
      </c>
    </row>
    <row r="29" customFormat="false" ht="15" hidden="false" customHeight="false" outlineLevel="0" collapsed="false">
      <c r="A29" s="8" t="s">
        <v>437</v>
      </c>
      <c r="B29" s="8" t="s">
        <v>181</v>
      </c>
      <c r="C29" s="32" t="n">
        <f aca="false">SUM(12_UTILITY!$E$29:$AR$29)</f>
        <v>532077.800897845</v>
      </c>
      <c r="E29" s="32" t="n">
        <f aca="false">12_UTILITY!E23-12_UTILITY!E28</f>
        <v>740.139999999999</v>
      </c>
      <c r="F29" s="32" t="n">
        <f aca="false">12_UTILITY!F23-12_UTILITY!F28</f>
        <v>903.406300000002</v>
      </c>
      <c r="G29" s="32" t="n">
        <f aca="false">12_UTILITY!G23-12_UTILITY!G28</f>
        <v>1083.0857335</v>
      </c>
      <c r="H29" s="32" t="n">
        <f aca="false">12_UTILITY!H23-12_UTILITY!H28</f>
        <v>1280.5679800075</v>
      </c>
      <c r="I29" s="32" t="n">
        <f aca="false">12_UTILITY!I23-12_UTILITY!I28</f>
        <v>1497.35365587284</v>
      </c>
      <c r="J29" s="32" t="n">
        <f aca="false">12_UTILITY!J23-12_UTILITY!J28</f>
        <v>607.332374389991</v>
      </c>
      <c r="K29" s="32" t="n">
        <f aca="false">12_UTILITY!K23-12_UTILITY!K28</f>
        <v>668.70356915101</v>
      </c>
      <c r="L29" s="32" t="n">
        <f aca="false">12_UTILITY!L23-12_UTILITY!L28</f>
        <v>953.64781579989</v>
      </c>
      <c r="M29" s="32" t="n">
        <f aca="false">12_UTILITY!M23-12_UTILITY!M28</f>
        <v>1265.19274215954</v>
      </c>
      <c r="N29" s="32" t="n">
        <f aca="false">12_UTILITY!N23-12_UTILITY!N28</f>
        <v>1605.53940468195</v>
      </c>
      <c r="O29" s="32" t="n">
        <f aca="false">12_UTILITY!O23-12_UTILITY!O28</f>
        <v>1977.06381218513</v>
      </c>
      <c r="P29" s="32" t="n">
        <f aca="false">12_UTILITY!P23-12_UTILITY!P28</f>
        <v>2382.33077340087</v>
      </c>
      <c r="Q29" s="32" t="n">
        <f aca="false">12_UTILITY!Q23-12_UTILITY!Q28</f>
        <v>2824.10885787567</v>
      </c>
      <c r="R29" s="32" t="n">
        <f aca="false">12_UTILITY!R23-12_UTILITY!R28</f>
        <v>3305.38656218382</v>
      </c>
      <c r="S29" s="32" t="n">
        <f aca="false">12_UTILITY!S23-12_UTILITY!S28</f>
        <v>3829.38978125452</v>
      </c>
      <c r="T29" s="32" t="n">
        <f aca="false">12_UTILITY!T23-12_UTILITY!T28</f>
        <v>4399.60069314854</v>
      </c>
      <c r="U29" s="32" t="n">
        <f aca="false">12_UTILITY!U23-12_UTILITY!U28</f>
        <v>5019.77817490725</v>
      </c>
      <c r="V29" s="32" t="n">
        <f aca="false">12_UTILITY!V23-12_UTILITY!V28</f>
        <v>5693.97987720639</v>
      </c>
      <c r="W29" s="32" t="n">
        <f aca="false">12_UTILITY!W23-12_UTILITY!W28</f>
        <v>6426.58609655329</v>
      </c>
      <c r="X29" s="32" t="n">
        <f aca="false">12_UTILITY!X23-12_UTILITY!X28</f>
        <v>7222.32559575174</v>
      </c>
      <c r="Y29" s="32" t="n">
        <f aca="false">12_UTILITY!Y23-12_UTILITY!Y28</f>
        <v>8086.30353641232</v>
      </c>
      <c r="Z29" s="32" t="n">
        <f aca="false">12_UTILITY!Z23-12_UTILITY!Z28</f>
        <v>9024.03170150628</v>
      </c>
      <c r="AA29" s="32" t="n">
        <f aca="false">12_UTILITY!AA23-12_UTILITY!AA28</f>
        <v>10041.4612014549</v>
      </c>
      <c r="AB29" s="32" t="n">
        <f aca="false">12_UTILITY!AB23-12_UTILITY!AB28</f>
        <v>11145.0178741299</v>
      </c>
      <c r="AC29" s="32" t="n">
        <f aca="false">12_UTILITY!AC23-12_UTILITY!AC28</f>
        <v>12341.6406075447</v>
      </c>
      <c r="AD29" s="32" t="n">
        <f aca="false">12_UTILITY!AD23-12_UTILITY!AD28</f>
        <v>13638.8228340773</v>
      </c>
      <c r="AE29" s="32" t="n">
        <f aca="false">12_UTILITY!AE23-12_UTILITY!AE28</f>
        <v>15044.6574669409</v>
      </c>
      <c r="AF29" s="32" t="n">
        <f aca="false">12_UTILITY!AF23-12_UTILITY!AF28</f>
        <v>16567.8855734752</v>
      </c>
      <c r="AG29" s="32" t="n">
        <f aca="false">12_UTILITY!AG23-12_UTILITY!AG28</f>
        <v>18217.9491058475</v>
      </c>
      <c r="AH29" s="32" t="n">
        <f aca="false">12_UTILITY!AH23-12_UTILITY!AH28</f>
        <v>20005.048038143</v>
      </c>
      <c r="AI29" s="32" t="n">
        <f aca="false">12_UTILITY!AI23-12_UTILITY!AI28</f>
        <v>21940.2022897921</v>
      </c>
      <c r="AJ29" s="32" t="n">
        <f aca="false">12_UTILITY!AJ23-12_UTILITY!AJ28</f>
        <v>24035.3188490832</v>
      </c>
      <c r="AK29" s="32" t="n">
        <f aca="false">12_UTILITY!AK23-12_UTILITY!AK28</f>
        <v>26303.2645473998</v>
      </c>
      <c r="AL29" s="32" t="n">
        <f aca="false">12_UTILITY!AL23-12_UTILITY!AL28</f>
        <v>28757.9449750959</v>
      </c>
      <c r="AM29" s="32" t="n">
        <f aca="false">12_UTILITY!AM23-12_UTILITY!AM28</f>
        <v>31414.3900738881</v>
      </c>
      <c r="AN29" s="32" t="n">
        <f aca="false">12_UTILITY!AN23-12_UTILITY!AN28</f>
        <v>35615.588956716</v>
      </c>
      <c r="AO29" s="32" t="n">
        <f aca="false">12_UTILITY!AO23-12_UTILITY!AO28</f>
        <v>38725.622782118</v>
      </c>
      <c r="AP29" s="32" t="n">
        <f aca="false">12_UTILITY!AP23-12_UTILITY!AP28</f>
        <v>42090.2258964744</v>
      </c>
      <c r="AQ29" s="32" t="n">
        <f aca="false">12_UTILITY!AQ23-12_UTILITY!AQ28</f>
        <v>45729.9366383638</v>
      </c>
      <c r="AR29" s="32" t="n">
        <f aca="false">12_UTILITY!AR23-12_UTILITY!AR28</f>
        <v>49666.9681493519</v>
      </c>
    </row>
    <row r="30" customFormat="false" ht="15" hidden="false" customHeight="false" outlineLevel="0" collapsed="false">
      <c r="A30" s="6" t="s">
        <v>438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</row>
    <row r="31" customFormat="false" ht="15" hidden="false" customHeight="false" outlineLevel="0" collapsed="false">
      <c r="A31" s="8" t="s">
        <v>404</v>
      </c>
      <c r="B31" s="8" t="s">
        <v>405</v>
      </c>
      <c r="E31" s="49" t="n">
        <f aca="false">IF(1=1,12_UTILITY!$C$9,12_UTILITY!D31)*(1+02_PROJECT_INPUTS!$C$19*IF(AND(06_CONSTRUCTION!E5&gt;=1,06_CONSTRUCTION!E5&lt;=27_SCENARIOS!$C$33),0,12_UTILITY!$C$10))</f>
        <v>2.916</v>
      </c>
      <c r="F31" s="49" t="n">
        <f aca="false">IF(2=1,12_UTILITY!$C$9,12_UTILITY!E31)*(1+02_PROJECT_INPUTS!$C$19*IF(AND(06_CONSTRUCTION!F5&gt;=1,06_CONSTRUCTION!F5&lt;=27_SCENARIOS!$C$33),0,12_UTILITY!$C$10))</f>
        <v>3.14928</v>
      </c>
      <c r="G31" s="49" t="n">
        <f aca="false">IF(3=1,12_UTILITY!$C$9,12_UTILITY!F31)*(1+02_PROJECT_INPUTS!$C$19*IF(AND(06_CONSTRUCTION!G5&gt;=1,06_CONSTRUCTION!G5&lt;=27_SCENARIOS!$C$33),0,12_UTILITY!$C$10))</f>
        <v>3.4012224</v>
      </c>
      <c r="H31" s="49" t="n">
        <f aca="false">IF(4=1,12_UTILITY!$C$9,12_UTILITY!G31)*(1+02_PROJECT_INPUTS!$C$19*IF(AND(06_CONSTRUCTION!H5&gt;=1,06_CONSTRUCTION!H5&lt;=27_SCENARIOS!$C$33),0,12_UTILITY!$C$10))</f>
        <v>3.673320192</v>
      </c>
      <c r="I31" s="49" t="n">
        <f aca="false">IF(5=1,12_UTILITY!$C$9,12_UTILITY!H31)*(1+02_PROJECT_INPUTS!$C$19*IF(AND(06_CONSTRUCTION!I5&gt;=1,06_CONSTRUCTION!I5&lt;=27_SCENARIOS!$C$33),0,12_UTILITY!$C$10))</f>
        <v>3.96718580736</v>
      </c>
      <c r="J31" s="49" t="n">
        <f aca="false">IF(6=1,12_UTILITY!$C$9,12_UTILITY!I31)*(1+02_PROJECT_INPUTS!$C$19*IF(AND(06_CONSTRUCTION!J5&gt;=1,06_CONSTRUCTION!J5&lt;=27_SCENARIOS!$C$33),0,12_UTILITY!$C$10))</f>
        <v>4.2845606719488</v>
      </c>
      <c r="K31" s="49" t="n">
        <f aca="false">IF(7=1,12_UTILITY!$C$9,12_UTILITY!J31)*(1+02_PROJECT_INPUTS!$C$19*IF(AND(06_CONSTRUCTION!K5&gt;=1,06_CONSTRUCTION!K5&lt;=27_SCENARIOS!$C$33),0,12_UTILITY!$C$10))</f>
        <v>4.62732552570471</v>
      </c>
      <c r="L31" s="49" t="n">
        <f aca="false">IF(8=1,12_UTILITY!$C$9,12_UTILITY!K31)*(1+02_PROJECT_INPUTS!$C$19*IF(AND(06_CONSTRUCTION!L5&gt;=1,06_CONSTRUCTION!L5&lt;=27_SCENARIOS!$C$33),0,12_UTILITY!$C$10))</f>
        <v>4.99751156776108</v>
      </c>
      <c r="M31" s="49" t="n">
        <f aca="false">IF(9=1,12_UTILITY!$C$9,12_UTILITY!L31)*(1+02_PROJECT_INPUTS!$C$19*IF(AND(06_CONSTRUCTION!M5&gt;=1,06_CONSTRUCTION!M5&lt;=27_SCENARIOS!$C$33),0,12_UTILITY!$C$10))</f>
        <v>5.39731249318197</v>
      </c>
      <c r="N31" s="49" t="n">
        <f aca="false">IF(10=1,12_UTILITY!$C$9,12_UTILITY!M31)*(1+02_PROJECT_INPUTS!$C$19*IF(AND(06_CONSTRUCTION!N5&gt;=1,06_CONSTRUCTION!N5&lt;=27_SCENARIOS!$C$33),0,12_UTILITY!$C$10))</f>
        <v>5.82909749263653</v>
      </c>
      <c r="O31" s="49" t="n">
        <f aca="false">IF(11=1,12_UTILITY!$C$9,12_UTILITY!N31)*(1+02_PROJECT_INPUTS!$C$19*IF(AND(06_CONSTRUCTION!O5&gt;=1,06_CONSTRUCTION!O5&lt;=27_SCENARIOS!$C$33),0,12_UTILITY!$C$10))</f>
        <v>6.29542529204745</v>
      </c>
      <c r="P31" s="49" t="n">
        <f aca="false">IF(12=1,12_UTILITY!$C$9,12_UTILITY!O31)*(1+02_PROJECT_INPUTS!$C$19*IF(AND(06_CONSTRUCTION!P5&gt;=1,06_CONSTRUCTION!P5&lt;=27_SCENARIOS!$C$33),0,12_UTILITY!$C$10))</f>
        <v>6.79905931541125</v>
      </c>
      <c r="Q31" s="49" t="n">
        <f aca="false">IF(13=1,12_UTILITY!$C$9,12_UTILITY!P31)*(1+02_PROJECT_INPUTS!$C$19*IF(AND(06_CONSTRUCTION!Q5&gt;=1,06_CONSTRUCTION!Q5&lt;=27_SCENARIOS!$C$33),0,12_UTILITY!$C$10))</f>
        <v>7.34298406064415</v>
      </c>
      <c r="R31" s="49" t="n">
        <f aca="false">IF(14=1,12_UTILITY!$C$9,12_UTILITY!Q31)*(1+02_PROJECT_INPUTS!$C$19*IF(AND(06_CONSTRUCTION!R5&gt;=1,06_CONSTRUCTION!R5&lt;=27_SCENARIOS!$C$33),0,12_UTILITY!$C$10))</f>
        <v>7.93042278549568</v>
      </c>
      <c r="S31" s="49" t="n">
        <f aca="false">IF(15=1,12_UTILITY!$C$9,12_UTILITY!R31)*(1+02_PROJECT_INPUTS!$C$19*IF(AND(06_CONSTRUCTION!S5&gt;=1,06_CONSTRUCTION!S5&lt;=27_SCENARIOS!$C$33),0,12_UTILITY!$C$10))</f>
        <v>8.56485660833534</v>
      </c>
      <c r="T31" s="49" t="n">
        <f aca="false">IF(16=1,12_UTILITY!$C$9,12_UTILITY!S31)*(1+02_PROJECT_INPUTS!$C$19*IF(AND(06_CONSTRUCTION!T5&gt;=1,06_CONSTRUCTION!T5&lt;=27_SCENARIOS!$C$33),0,12_UTILITY!$C$10))</f>
        <v>9.25004513700216</v>
      </c>
      <c r="U31" s="49" t="n">
        <f aca="false">IF(17=1,12_UTILITY!$C$9,12_UTILITY!T31)*(1+02_PROJECT_INPUTS!$C$19*IF(AND(06_CONSTRUCTION!U5&gt;=1,06_CONSTRUCTION!U5&lt;=27_SCENARIOS!$C$33),0,12_UTILITY!$C$10))</f>
        <v>9.99004874796234</v>
      </c>
      <c r="V31" s="49" t="n">
        <f aca="false">IF(18=1,12_UTILITY!$C$9,12_UTILITY!U31)*(1+02_PROJECT_INPUTS!$C$19*IF(AND(06_CONSTRUCTION!V5&gt;=1,06_CONSTRUCTION!V5&lt;=27_SCENARIOS!$C$33),0,12_UTILITY!$C$10))</f>
        <v>10.7892526477993</v>
      </c>
      <c r="W31" s="49" t="n">
        <f aca="false">IF(19=1,12_UTILITY!$C$9,12_UTILITY!V31)*(1+02_PROJECT_INPUTS!$C$19*IF(AND(06_CONSTRUCTION!W5&gt;=1,06_CONSTRUCTION!W5&lt;=27_SCENARIOS!$C$33),0,12_UTILITY!$C$10))</f>
        <v>11.6523928596233</v>
      </c>
      <c r="X31" s="49" t="n">
        <f aca="false">IF(20=1,12_UTILITY!$C$9,12_UTILITY!W31)*(1+02_PROJECT_INPUTS!$C$19*IF(AND(06_CONSTRUCTION!X5&gt;=1,06_CONSTRUCTION!X5&lt;=27_SCENARIOS!$C$33),0,12_UTILITY!$C$10))</f>
        <v>12.5845842883931</v>
      </c>
      <c r="Y31" s="49" t="n">
        <f aca="false">IF(21=1,12_UTILITY!$C$9,12_UTILITY!X31)*(1+02_PROJECT_INPUTS!$C$19*IF(AND(06_CONSTRUCTION!Y5&gt;=1,06_CONSTRUCTION!Y5&lt;=27_SCENARIOS!$C$33),0,12_UTILITY!$C$10))</f>
        <v>13.5913510314646</v>
      </c>
      <c r="Z31" s="49" t="n">
        <f aca="false">IF(22=1,12_UTILITY!$C$9,12_UTILITY!Y31)*(1+02_PROJECT_INPUTS!$C$19*IF(AND(06_CONSTRUCTION!Z5&gt;=1,06_CONSTRUCTION!Z5&lt;=27_SCENARIOS!$C$33),0,12_UTILITY!$C$10))</f>
        <v>14.6786591139818</v>
      </c>
      <c r="AA31" s="49" t="n">
        <f aca="false">IF(23=1,12_UTILITY!$C$9,12_UTILITY!Z31)*(1+02_PROJECT_INPUTS!$C$19*IF(AND(06_CONSTRUCTION!AA5&gt;=1,06_CONSTRUCTION!AA5&lt;=27_SCENARIOS!$C$33),0,12_UTILITY!$C$10))</f>
        <v>15.8529518431003</v>
      </c>
      <c r="AB31" s="49" t="n">
        <f aca="false">IF(24=1,12_UTILITY!$C$9,12_UTILITY!AA31)*(1+02_PROJECT_INPUTS!$C$19*IF(AND(06_CONSTRUCTION!AB5&gt;=1,06_CONSTRUCTION!AB5&lt;=27_SCENARIOS!$C$33),0,12_UTILITY!$C$10))</f>
        <v>17.1211879905483</v>
      </c>
      <c r="AC31" s="49" t="n">
        <f aca="false">IF(25=1,12_UTILITY!$C$9,12_UTILITY!AB31)*(1+02_PROJECT_INPUTS!$C$19*IF(AND(06_CONSTRUCTION!AC5&gt;=1,06_CONSTRUCTION!AC5&lt;=27_SCENARIOS!$C$33),0,12_UTILITY!$C$10))</f>
        <v>18.4908830297922</v>
      </c>
      <c r="AD31" s="49" t="n">
        <f aca="false">IF(26=1,12_UTILITY!$C$9,12_UTILITY!AC31)*(1+02_PROJECT_INPUTS!$C$19*IF(AND(06_CONSTRUCTION!AD5&gt;=1,06_CONSTRUCTION!AD5&lt;=27_SCENARIOS!$C$33),0,12_UTILITY!$C$10))</f>
        <v>19.9701536721756</v>
      </c>
      <c r="AE31" s="49" t="n">
        <f aca="false">IF(27=1,12_UTILITY!$C$9,12_UTILITY!AD31)*(1+02_PROJECT_INPUTS!$C$19*IF(AND(06_CONSTRUCTION!AE5&gt;=1,06_CONSTRUCTION!AE5&lt;=27_SCENARIOS!$C$33),0,12_UTILITY!$C$10))</f>
        <v>21.5677659659496</v>
      </c>
      <c r="AF31" s="49" t="n">
        <f aca="false">IF(28=1,12_UTILITY!$C$9,12_UTILITY!AE31)*(1+02_PROJECT_INPUTS!$C$19*IF(AND(06_CONSTRUCTION!AF5&gt;=1,06_CONSTRUCTION!AF5&lt;=27_SCENARIOS!$C$33),0,12_UTILITY!$C$10))</f>
        <v>23.2931872432256</v>
      </c>
      <c r="AG31" s="49" t="n">
        <f aca="false">IF(29=1,12_UTILITY!$C$9,12_UTILITY!AF31)*(1+02_PROJECT_INPUTS!$C$19*IF(AND(06_CONSTRUCTION!AG5&gt;=1,06_CONSTRUCTION!AG5&lt;=27_SCENARIOS!$C$33),0,12_UTILITY!$C$10))</f>
        <v>25.1566422226836</v>
      </c>
      <c r="AH31" s="49" t="n">
        <f aca="false">IF(30=1,12_UTILITY!$C$9,12_UTILITY!AG31)*(1+02_PROJECT_INPUTS!$C$19*IF(AND(06_CONSTRUCTION!AH5&gt;=1,06_CONSTRUCTION!AH5&lt;=27_SCENARIOS!$C$33),0,12_UTILITY!$C$10))</f>
        <v>27.1691736004983</v>
      </c>
      <c r="AI31" s="49" t="n">
        <f aca="false">IF(31=1,12_UTILITY!$C$9,12_UTILITY!AH31)*(1+02_PROJECT_INPUTS!$C$19*IF(AND(06_CONSTRUCTION!AI5&gt;=1,06_CONSTRUCTION!AI5&lt;=27_SCENARIOS!$C$33),0,12_UTILITY!$C$10))</f>
        <v>29.3427074885382</v>
      </c>
      <c r="AJ31" s="49" t="n">
        <f aca="false">IF(32=1,12_UTILITY!$C$9,12_UTILITY!AI31)*(1+02_PROJECT_INPUTS!$C$19*IF(AND(06_CONSTRUCTION!AJ5&gt;=1,06_CONSTRUCTION!AJ5&lt;=27_SCENARIOS!$C$33),0,12_UTILITY!$C$10))</f>
        <v>31.6901240876213</v>
      </c>
      <c r="AK31" s="49" t="n">
        <f aca="false">IF(33=1,12_UTILITY!$C$9,12_UTILITY!AJ31)*(1+02_PROJECT_INPUTS!$C$19*IF(AND(06_CONSTRUCTION!AK5&gt;=1,06_CONSTRUCTION!AK5&lt;=27_SCENARIOS!$C$33),0,12_UTILITY!$C$10))</f>
        <v>34.225334014631</v>
      </c>
      <c r="AL31" s="49" t="n">
        <f aca="false">IF(34=1,12_UTILITY!$C$9,12_UTILITY!AK31)*(1+02_PROJECT_INPUTS!$C$19*IF(AND(06_CONSTRUCTION!AL5&gt;=1,06_CONSTRUCTION!AL5&lt;=27_SCENARIOS!$C$33),0,12_UTILITY!$C$10))</f>
        <v>36.9633607358014</v>
      </c>
      <c r="AM31" s="49" t="n">
        <f aca="false">IF(35=1,12_UTILITY!$C$9,12_UTILITY!AL31)*(1+02_PROJECT_INPUTS!$C$19*IF(AND(06_CONSTRUCTION!AM5&gt;=1,06_CONSTRUCTION!AM5&lt;=27_SCENARIOS!$C$33),0,12_UTILITY!$C$10))</f>
        <v>39.9204295946656</v>
      </c>
      <c r="AN31" s="49" t="n">
        <f aca="false">IF(36=1,12_UTILITY!$C$9,12_UTILITY!AM31)*(1+02_PROJECT_INPUTS!$C$19*IF(AND(06_CONSTRUCTION!AN5&gt;=1,06_CONSTRUCTION!AN5&lt;=27_SCENARIOS!$C$33),0,12_UTILITY!$C$10))</f>
        <v>43.1140639622388</v>
      </c>
      <c r="AO31" s="49" t="n">
        <f aca="false">IF(37=1,12_UTILITY!$C$9,12_UTILITY!AN31)*(1+02_PROJECT_INPUTS!$C$19*IF(AND(06_CONSTRUCTION!AO5&gt;=1,06_CONSTRUCTION!AO5&lt;=27_SCENARIOS!$C$33),0,12_UTILITY!$C$10))</f>
        <v>46.5631890792179</v>
      </c>
      <c r="AP31" s="49" t="n">
        <f aca="false">IF(38=1,12_UTILITY!$C$9,12_UTILITY!AO31)*(1+02_PROJECT_INPUTS!$C$19*IF(AND(06_CONSTRUCTION!AP5&gt;=1,06_CONSTRUCTION!AP5&lt;=27_SCENARIOS!$C$33),0,12_UTILITY!$C$10))</f>
        <v>50.2882442055553</v>
      </c>
      <c r="AQ31" s="49" t="n">
        <f aca="false">IF(39=1,12_UTILITY!$C$9,12_UTILITY!AP31)*(1+02_PROJECT_INPUTS!$C$19*IF(AND(06_CONSTRUCTION!AQ5&gt;=1,06_CONSTRUCTION!AQ5&lt;=27_SCENARIOS!$C$33),0,12_UTILITY!$C$10))</f>
        <v>54.3113037419998</v>
      </c>
      <c r="AR31" s="49" t="n">
        <f aca="false">IF(40=1,12_UTILITY!$C$9,12_UTILITY!AQ31)*(1+02_PROJECT_INPUTS!$C$19*IF(AND(06_CONSTRUCTION!AR5&gt;=1,06_CONSTRUCTION!AR5&lt;=27_SCENARIOS!$C$33),0,12_UTILITY!$C$10))</f>
        <v>58.6562080413598</v>
      </c>
    </row>
    <row r="32" customFormat="false" ht="15" hidden="false" customHeight="false" outlineLevel="0" collapsed="false">
      <c r="A32" s="8" t="s">
        <v>439</v>
      </c>
      <c r="B32" s="8" t="s">
        <v>311</v>
      </c>
      <c r="E32" s="49" t="n">
        <f aca="false">12_UTILITY!E31/06_CONSTRUCTION!E19*1000</f>
        <v>137.547169811321</v>
      </c>
      <c r="F32" s="49" t="n">
        <f aca="false">12_UTILITY!F31/06_CONSTRUCTION!F19*1000</f>
        <v>140.142399430402</v>
      </c>
      <c r="G32" s="49" t="n">
        <f aca="false">12_UTILITY!G31/06_CONSTRUCTION!G19*1000</f>
        <v>142.78659564607</v>
      </c>
      <c r="H32" s="49" t="n">
        <f aca="false">12_UTILITY!H31/06_CONSTRUCTION!H19*1000</f>
        <v>145.480682356373</v>
      </c>
      <c r="I32" s="49" t="n">
        <f aca="false">12_UTILITY!I31/06_CONSTRUCTION!I19*1000</f>
        <v>148.225600891399</v>
      </c>
      <c r="J32" s="49" t="n">
        <f aca="false">12_UTILITY!J31/06_CONSTRUCTION!J19*1000</f>
        <v>151.022310342181</v>
      </c>
      <c r="K32" s="49" t="n">
        <f aca="false">12_UTILITY!K31/06_CONSTRUCTION!K19*1000</f>
        <v>153.871787895807</v>
      </c>
      <c r="L32" s="49" t="n">
        <f aca="false">12_UTILITY!L31/06_CONSTRUCTION!L19*1000</f>
        <v>156.77502917686</v>
      </c>
      <c r="M32" s="49" t="n">
        <f aca="false">12_UTILITY!M31/06_CONSTRUCTION!M19*1000</f>
        <v>159.733048595291</v>
      </c>
      <c r="N32" s="49" t="n">
        <f aca="false">12_UTILITY!N31/06_CONSTRUCTION!N19*1000</f>
        <v>162.746879700862</v>
      </c>
      <c r="O32" s="49" t="n">
        <f aca="false">12_UTILITY!O31/06_CONSTRUCTION!O19*1000</f>
        <v>165.817575544275</v>
      </c>
      <c r="P32" s="49" t="n">
        <f aca="false">12_UTILITY!P31/06_CONSTRUCTION!P19*1000</f>
        <v>168.94620904511</v>
      </c>
      <c r="Q32" s="49" t="n">
        <f aca="false">12_UTILITY!Q31/06_CONSTRUCTION!Q19*1000</f>
        <v>172.133873366716</v>
      </c>
      <c r="R32" s="49" t="n">
        <f aca="false">12_UTILITY!R31/06_CONSTRUCTION!R19*1000</f>
        <v>175.381682298164</v>
      </c>
      <c r="S32" s="49" t="n">
        <f aca="false">12_UTILITY!S31/06_CONSTRUCTION!S19*1000</f>
        <v>178.690770643412</v>
      </c>
      <c r="T32" s="49" t="n">
        <f aca="false">12_UTILITY!T31/06_CONSTRUCTION!T19*1000</f>
        <v>182.062294617816</v>
      </c>
      <c r="U32" s="49" t="n">
        <f aca="false">12_UTILITY!U31/06_CONSTRUCTION!U19*1000</f>
        <v>185.497432252114</v>
      </c>
      <c r="V32" s="49" t="n">
        <f aca="false">12_UTILITY!V31/06_CONSTRUCTION!V19*1000</f>
        <v>188.997383804041</v>
      </c>
      <c r="W32" s="49" t="n">
        <f aca="false">12_UTILITY!W31/06_CONSTRUCTION!W19*1000</f>
        <v>192.563372177702</v>
      </c>
      <c r="X32" s="49" t="n">
        <f aca="false">12_UTILITY!X31/06_CONSTRUCTION!X19*1000</f>
        <v>196.196643350866</v>
      </c>
      <c r="Y32" s="49" t="n">
        <f aca="false">12_UTILITY!Y31/06_CONSTRUCTION!Y19*1000</f>
        <v>199.898466810317</v>
      </c>
      <c r="Z32" s="49" t="n">
        <f aca="false">12_UTILITY!Z31/06_CONSTRUCTION!Z19*1000</f>
        <v>203.670135995417</v>
      </c>
      <c r="AA32" s="49" t="n">
        <f aca="false">12_UTILITY!AA31/06_CONSTRUCTION!AA19*1000</f>
        <v>207.512968750048</v>
      </c>
      <c r="AB32" s="49" t="n">
        <f aca="false">12_UTILITY!AB31/06_CONSTRUCTION!AB19*1000</f>
        <v>211.428307783067</v>
      </c>
      <c r="AC32" s="49" t="n">
        <f aca="false">12_UTILITY!AC31/06_CONSTRUCTION!AC19*1000</f>
        <v>215.417521137465</v>
      </c>
      <c r="AD32" s="49" t="n">
        <f aca="false">12_UTILITY!AD31/06_CONSTRUCTION!AD19*1000</f>
        <v>219.48200266836</v>
      </c>
      <c r="AE32" s="49" t="n">
        <f aca="false">12_UTILITY!AE31/06_CONSTRUCTION!AE19*1000</f>
        <v>223.623172530028</v>
      </c>
      <c r="AF32" s="49" t="n">
        <f aca="false">12_UTILITY!AF31/06_CONSTRUCTION!AF19*1000</f>
        <v>227.842477672104</v>
      </c>
      <c r="AG32" s="49" t="n">
        <f aca="false">12_UTILITY!AG31/06_CONSTRUCTION!AG19*1000</f>
        <v>232.141392345162</v>
      </c>
      <c r="AH32" s="49" t="n">
        <f aca="false">12_UTILITY!AH31/06_CONSTRUCTION!AH19*1000</f>
        <v>236.521418615826</v>
      </c>
      <c r="AI32" s="49" t="n">
        <f aca="false">12_UTILITY!AI31/06_CONSTRUCTION!AI19*1000</f>
        <v>240.984086891596</v>
      </c>
      <c r="AJ32" s="49" t="n">
        <f aca="false">12_UTILITY!AJ31/06_CONSTRUCTION!AJ19*1000</f>
        <v>245.530956455588</v>
      </c>
      <c r="AK32" s="49" t="n">
        <f aca="false">12_UTILITY!AK31/06_CONSTRUCTION!AK19*1000</f>
        <v>250.163616011354</v>
      </c>
      <c r="AL32" s="49" t="n">
        <f aca="false">12_UTILITY!AL31/06_CONSTRUCTION!AL19*1000</f>
        <v>254.883684237983</v>
      </c>
      <c r="AM32" s="49" t="n">
        <f aca="false">12_UTILITY!AM31/06_CONSTRUCTION!AM19*1000</f>
        <v>259.692810355681</v>
      </c>
      <c r="AN32" s="49" t="n">
        <f aca="false">12_UTILITY!AN31/06_CONSTRUCTION!AN19*1000</f>
        <v>264.592674702015</v>
      </c>
      <c r="AO32" s="49" t="n">
        <f aca="false">12_UTILITY!AO31/06_CONSTRUCTION!AO19*1000</f>
        <v>269.584989319034</v>
      </c>
      <c r="AP32" s="49" t="n">
        <f aca="false">12_UTILITY!AP31/06_CONSTRUCTION!AP19*1000</f>
        <v>274.671498551469</v>
      </c>
      <c r="AQ32" s="49" t="n">
        <f aca="false">12_UTILITY!AQ31/06_CONSTRUCTION!AQ19*1000</f>
        <v>279.853979656213</v>
      </c>
      <c r="AR32" s="49" t="n">
        <f aca="false">12_UTILITY!AR31/06_CONSTRUCTION!AR19*1000</f>
        <v>285.134243423312</v>
      </c>
    </row>
    <row r="33" customFormat="false" ht="15" hidden="false" customHeight="false" outlineLevel="0" collapsed="false">
      <c r="A33" s="8" t="s">
        <v>440</v>
      </c>
      <c r="B33" s="8" t="s">
        <v>84</v>
      </c>
      <c r="E33" s="34" t="n">
        <f aca="false">12_UTILITY!E28*12_UTILITY!E31/06_CONSTRUCTION!E19</f>
        <v>964.186403773585</v>
      </c>
      <c r="F33" s="34" t="n">
        <f aca="false">12_UTILITY!F28*12_UTILITY!F31/06_CONSTRUCTION!F19</f>
        <v>1026.5856370744</v>
      </c>
      <c r="G33" s="34" t="n">
        <f aca="false">12_UTILITY!G28*12_UTILITY!G31/06_CONSTRUCTION!G19</f>
        <v>1093.02316037941</v>
      </c>
      <c r="H33" s="34" t="n">
        <f aca="false">12_UTILITY!H28*12_UTILITY!H31/06_CONSTRUCTION!H19</f>
        <v>1163.7603196266</v>
      </c>
      <c r="I33" s="34" t="n">
        <f aca="false">12_UTILITY!I28*12_UTILITY!I31/06_CONSTRUCTION!I19</f>
        <v>1239.07537427414</v>
      </c>
      <c r="J33" s="34" t="n">
        <f aca="false">12_UTILITY!J28*12_UTILITY!J31/06_CONSTRUCTION!J19</f>
        <v>1457.50014755519</v>
      </c>
      <c r="K33" s="34" t="n">
        <f aca="false">12_UTILITY!K28*12_UTILITY!K31/06_CONSTRUCTION!K19</f>
        <v>1570.34197088138</v>
      </c>
      <c r="L33" s="34" t="n">
        <f aca="false">12_UTILITY!L28*12_UTILITY!L31/06_CONSTRUCTION!L19</f>
        <v>1664.37264004958</v>
      </c>
      <c r="M33" s="34" t="n">
        <f aca="false">12_UTILITY!M28*12_UTILITY!M31/06_CONSTRUCTION!M19</f>
        <v>1764.34534832561</v>
      </c>
      <c r="N33" s="34" t="n">
        <f aca="false">12_UTILITY!N28*12_UTILITY!N31/06_CONSTRUCTION!N19</f>
        <v>1870.64194197749</v>
      </c>
      <c r="O33" s="34" t="n">
        <f aca="false">12_UTILITY!O28*12_UTILITY!O31/06_CONSTRUCTION!O19</f>
        <v>1983.66892818143</v>
      </c>
      <c r="P33" s="34" t="n">
        <f aca="false">12_UTILITY!P28*12_UTILITY!P31/06_CONSTRUCTION!P19</f>
        <v>2103.85907003858</v>
      </c>
      <c r="Q33" s="34" t="n">
        <f aca="false">12_UTILITY!Q28*12_UTILITY!Q31/06_CONSTRUCTION!Q19</f>
        <v>2231.67308479817</v>
      </c>
      <c r="R33" s="34" t="n">
        <f aca="false">12_UTILITY!R28*12_UTILITY!R31/06_CONSTRUCTION!R19</f>
        <v>2367.60145196616</v>
      </c>
      <c r="S33" s="34" t="n">
        <f aca="false">12_UTILITY!S28*12_UTILITY!S31/06_CONSTRUCTION!S19</f>
        <v>2512.16633841023</v>
      </c>
      <c r="T33" s="34" t="n">
        <f aca="false">12_UTILITY!T28*12_UTILITY!T31/06_CONSTRUCTION!T19</f>
        <v>2665.92364803264</v>
      </c>
      <c r="U33" s="34" t="n">
        <f aca="false">12_UTILITY!U28*12_UTILITY!U31/06_CONSTRUCTION!U19</f>
        <v>2829.4652040721</v>
      </c>
      <c r="V33" s="34" t="n">
        <f aca="false">12_UTILITY!V28*12_UTILITY!V31/06_CONSTRUCTION!V19</f>
        <v>3003.4210726177</v>
      </c>
      <c r="W33" s="34" t="n">
        <f aca="false">12_UTILITY!W28*12_UTILITY!W31/06_CONSTRUCTION!W19</f>
        <v>3188.46203647333</v>
      </c>
      <c r="X33" s="34" t="n">
        <f aca="false">12_UTILITY!X28*12_UTILITY!X31/06_CONSTRUCTION!X19</f>
        <v>3385.30222910239</v>
      </c>
      <c r="Y33" s="34" t="n">
        <f aca="false">12_UTILITY!Y28*12_UTILITY!Y31/06_CONSTRUCTION!Y19</f>
        <v>3594.70193901243</v>
      </c>
      <c r="Z33" s="34" t="n">
        <f aca="false">12_UTILITY!Z28*12_UTILITY!Z31/06_CONSTRUCTION!Z19</f>
        <v>3817.47059560954</v>
      </c>
      <c r="AA33" s="34" t="n">
        <f aca="false">12_UTILITY!AA28*12_UTILITY!AA31/06_CONSTRUCTION!AA19</f>
        <v>4054.46994826632</v>
      </c>
      <c r="AB33" s="34" t="n">
        <f aca="false">12_UTILITY!AB28*12_UTILITY!AB31/06_CONSTRUCTION!AB19</f>
        <v>4306.61745110727</v>
      </c>
      <c r="AC33" s="34" t="n">
        <f aca="false">12_UTILITY!AC28*12_UTILITY!AC31/06_CONSTRUCTION!AC19</f>
        <v>4574.88986682451</v>
      </c>
      <c r="AD33" s="34" t="n">
        <f aca="false">12_UTILITY!AD28*12_UTILITY!AD31/06_CONSTRUCTION!AD19</f>
        <v>4860.32710369836</v>
      </c>
      <c r="AE33" s="34" t="n">
        <f aca="false">12_UTILITY!AE28*12_UTILITY!AE31/06_CONSTRUCTION!AE19</f>
        <v>5164.03630091483</v>
      </c>
      <c r="AF33" s="34" t="n">
        <f aca="false">12_UTILITY!AF28*12_UTILITY!AF31/06_CONSTRUCTION!AF19</f>
        <v>5487.19617824834</v>
      </c>
      <c r="AG33" s="34" t="n">
        <f aca="false">12_UTILITY!AG28*12_UTILITY!AG31/06_CONSTRUCTION!AG19</f>
        <v>5831.06166721838</v>
      </c>
      <c r="AH33" s="34" t="n">
        <f aca="false">12_UTILITY!AH28*12_UTILITY!AH31/06_CONSTRUCTION!AH19</f>
        <v>6196.96884193562</v>
      </c>
      <c r="AI33" s="34" t="n">
        <f aca="false">12_UTILITY!AI28*12_UTILITY!AI31/06_CONSTRUCTION!AI19</f>
        <v>6586.3401690321</v>
      </c>
      <c r="AJ33" s="34" t="n">
        <f aca="false">12_UTILITY!AJ28*12_UTILITY!AJ31/06_CONSTRUCTION!AJ19</f>
        <v>7000.69009732514</v>
      </c>
      <c r="AK33" s="34" t="n">
        <f aca="false">12_UTILITY!AK28*12_UTILITY!AK31/06_CONSTRUCTION!AK19</f>
        <v>7441.63100920101</v>
      </c>
      <c r="AL33" s="34" t="n">
        <f aca="false">12_UTILITY!AL28*12_UTILITY!AL31/06_CONSTRUCTION!AL19</f>
        <v>7910.87955712725</v>
      </c>
      <c r="AM33" s="34" t="n">
        <f aca="false">12_UTILITY!AM28*12_UTILITY!AM31/06_CONSTRUCTION!AM19</f>
        <v>8410.26341021762</v>
      </c>
      <c r="AN33" s="34" t="n">
        <f aca="false">12_UTILITY!AN28*12_UTILITY!AN31/06_CONSTRUCTION!AN19</f>
        <v>8656.79885369535</v>
      </c>
      <c r="AO33" s="34" t="n">
        <f aca="false">12_UTILITY!AO28*12_UTILITY!AO31/06_CONSTRUCTION!AO19</f>
        <v>9217.04074177413</v>
      </c>
      <c r="AP33" s="34" t="n">
        <f aca="false">12_UTILITY!AP28*12_UTILITY!AP31/06_CONSTRUCTION!AP19</f>
        <v>9813.53979355309</v>
      </c>
      <c r="AQ33" s="34" t="n">
        <f aca="false">12_UTILITY!AQ28*12_UTILITY!AQ31/06_CONSTRUCTION!AQ19</f>
        <v>10448.6424632113</v>
      </c>
      <c r="AR33" s="34" t="n">
        <f aca="false">12_UTILITY!AR28*12_UTILITY!AR31/06_CONSTRUCTION!AR19</f>
        <v>11124.8470603588</v>
      </c>
    </row>
    <row r="34" customFormat="false" ht="15" hidden="false" customHeight="false" outlineLevel="0" collapsed="false">
      <c r="A34" s="8" t="s">
        <v>412</v>
      </c>
      <c r="B34" s="8" t="s">
        <v>56</v>
      </c>
      <c r="E34" s="42" t="n">
        <f aca="false">MAX(0,MIN(1,12_UTILITY!$C$13+IF(06_CONSTRUCTION!E4&gt;=06_CONSTRUCTION!$C$8,27_SCENARIOS!$C$31,0)))</f>
        <v>0.88</v>
      </c>
      <c r="F34" s="42" t="n">
        <f aca="false">MAX(0,MIN(1,12_UTILITY!$C$13+IF(06_CONSTRUCTION!F4&gt;=06_CONSTRUCTION!$C$8,27_SCENARIOS!$C$31,0)))</f>
        <v>0.88</v>
      </c>
      <c r="G34" s="42" t="n">
        <f aca="false">MAX(0,MIN(1,12_UTILITY!$C$13+IF(06_CONSTRUCTION!G4&gt;=06_CONSTRUCTION!$C$8,27_SCENARIOS!$C$31,0)))</f>
        <v>0.88</v>
      </c>
      <c r="H34" s="42" t="n">
        <f aca="false">MAX(0,MIN(1,12_UTILITY!$C$13+IF(06_CONSTRUCTION!H4&gt;=06_CONSTRUCTION!$C$8,27_SCENARIOS!$C$31,0)))</f>
        <v>0.88</v>
      </c>
      <c r="I34" s="42" t="n">
        <f aca="false">MAX(0,MIN(1,12_UTILITY!$C$13+IF(06_CONSTRUCTION!I4&gt;=06_CONSTRUCTION!$C$8,27_SCENARIOS!$C$31,0)))</f>
        <v>0.88</v>
      </c>
      <c r="J34" s="42" t="n">
        <f aca="false">MAX(0,MIN(1,12_UTILITY!$C$13+IF(06_CONSTRUCTION!J4&gt;=06_CONSTRUCTION!$C$8,27_SCENARIOS!$C$31,0)))</f>
        <v>0.88</v>
      </c>
      <c r="K34" s="42" t="n">
        <f aca="false">MAX(0,MIN(1,12_UTILITY!$C$13+IF(06_CONSTRUCTION!K4&gt;=06_CONSTRUCTION!$C$8,27_SCENARIOS!$C$31,0)))</f>
        <v>0.88</v>
      </c>
      <c r="L34" s="42" t="n">
        <f aca="false">MAX(0,MIN(1,12_UTILITY!$C$13+IF(06_CONSTRUCTION!L4&gt;=06_CONSTRUCTION!$C$8,27_SCENARIOS!$C$31,0)))</f>
        <v>0.88</v>
      </c>
      <c r="M34" s="42" t="n">
        <f aca="false">MAX(0,MIN(1,12_UTILITY!$C$13+IF(06_CONSTRUCTION!M4&gt;=06_CONSTRUCTION!$C$8,27_SCENARIOS!$C$31,0)))</f>
        <v>0.88</v>
      </c>
      <c r="N34" s="42" t="n">
        <f aca="false">MAX(0,MIN(1,12_UTILITY!$C$13+IF(06_CONSTRUCTION!N4&gt;=06_CONSTRUCTION!$C$8,27_SCENARIOS!$C$31,0)))</f>
        <v>0.88</v>
      </c>
      <c r="O34" s="42" t="n">
        <f aca="false">MAX(0,MIN(1,12_UTILITY!$C$13+IF(06_CONSTRUCTION!O4&gt;=06_CONSTRUCTION!$C$8,27_SCENARIOS!$C$31,0)))</f>
        <v>0.88</v>
      </c>
      <c r="P34" s="42" t="n">
        <f aca="false">MAX(0,MIN(1,12_UTILITY!$C$13+IF(06_CONSTRUCTION!P4&gt;=06_CONSTRUCTION!$C$8,27_SCENARIOS!$C$31,0)))</f>
        <v>0.88</v>
      </c>
      <c r="Q34" s="42" t="n">
        <f aca="false">MAX(0,MIN(1,12_UTILITY!$C$13+IF(06_CONSTRUCTION!Q4&gt;=06_CONSTRUCTION!$C$8,27_SCENARIOS!$C$31,0)))</f>
        <v>0.88</v>
      </c>
      <c r="R34" s="42" t="n">
        <f aca="false">MAX(0,MIN(1,12_UTILITY!$C$13+IF(06_CONSTRUCTION!R4&gt;=06_CONSTRUCTION!$C$8,27_SCENARIOS!$C$31,0)))</f>
        <v>0.88</v>
      </c>
      <c r="S34" s="42" t="n">
        <f aca="false">MAX(0,MIN(1,12_UTILITY!$C$13+IF(06_CONSTRUCTION!S4&gt;=06_CONSTRUCTION!$C$8,27_SCENARIOS!$C$31,0)))</f>
        <v>0.88</v>
      </c>
      <c r="T34" s="42" t="n">
        <f aca="false">MAX(0,MIN(1,12_UTILITY!$C$13+IF(06_CONSTRUCTION!T4&gt;=06_CONSTRUCTION!$C$8,27_SCENARIOS!$C$31,0)))</f>
        <v>0.88</v>
      </c>
      <c r="U34" s="42" t="n">
        <f aca="false">MAX(0,MIN(1,12_UTILITY!$C$13+IF(06_CONSTRUCTION!U4&gt;=06_CONSTRUCTION!$C$8,27_SCENARIOS!$C$31,0)))</f>
        <v>0.88</v>
      </c>
      <c r="V34" s="42" t="n">
        <f aca="false">MAX(0,MIN(1,12_UTILITY!$C$13+IF(06_CONSTRUCTION!V4&gt;=06_CONSTRUCTION!$C$8,27_SCENARIOS!$C$31,0)))</f>
        <v>0.88</v>
      </c>
      <c r="W34" s="42" t="n">
        <f aca="false">MAX(0,MIN(1,12_UTILITY!$C$13+IF(06_CONSTRUCTION!W4&gt;=06_CONSTRUCTION!$C$8,27_SCENARIOS!$C$31,0)))</f>
        <v>0.88</v>
      </c>
      <c r="X34" s="42" t="n">
        <f aca="false">MAX(0,MIN(1,12_UTILITY!$C$13+IF(06_CONSTRUCTION!X4&gt;=06_CONSTRUCTION!$C$8,27_SCENARIOS!$C$31,0)))</f>
        <v>0.88</v>
      </c>
      <c r="Y34" s="42" t="n">
        <f aca="false">MAX(0,MIN(1,12_UTILITY!$C$13+IF(06_CONSTRUCTION!Y4&gt;=06_CONSTRUCTION!$C$8,27_SCENARIOS!$C$31,0)))</f>
        <v>0.88</v>
      </c>
      <c r="Z34" s="42" t="n">
        <f aca="false">MAX(0,MIN(1,12_UTILITY!$C$13+IF(06_CONSTRUCTION!Z4&gt;=06_CONSTRUCTION!$C$8,27_SCENARIOS!$C$31,0)))</f>
        <v>0.88</v>
      </c>
      <c r="AA34" s="42" t="n">
        <f aca="false">MAX(0,MIN(1,12_UTILITY!$C$13+IF(06_CONSTRUCTION!AA4&gt;=06_CONSTRUCTION!$C$8,27_SCENARIOS!$C$31,0)))</f>
        <v>0.88</v>
      </c>
      <c r="AB34" s="42" t="n">
        <f aca="false">MAX(0,MIN(1,12_UTILITY!$C$13+IF(06_CONSTRUCTION!AB4&gt;=06_CONSTRUCTION!$C$8,27_SCENARIOS!$C$31,0)))</f>
        <v>0.88</v>
      </c>
      <c r="AC34" s="42" t="n">
        <f aca="false">MAX(0,MIN(1,12_UTILITY!$C$13+IF(06_CONSTRUCTION!AC4&gt;=06_CONSTRUCTION!$C$8,27_SCENARIOS!$C$31,0)))</f>
        <v>0.88</v>
      </c>
      <c r="AD34" s="42" t="n">
        <f aca="false">MAX(0,MIN(1,12_UTILITY!$C$13+IF(06_CONSTRUCTION!AD4&gt;=06_CONSTRUCTION!$C$8,27_SCENARIOS!$C$31,0)))</f>
        <v>0.88</v>
      </c>
      <c r="AE34" s="42" t="n">
        <f aca="false">MAX(0,MIN(1,12_UTILITY!$C$13+IF(06_CONSTRUCTION!AE4&gt;=06_CONSTRUCTION!$C$8,27_SCENARIOS!$C$31,0)))</f>
        <v>0.88</v>
      </c>
      <c r="AF34" s="42" t="n">
        <f aca="false">MAX(0,MIN(1,12_UTILITY!$C$13+IF(06_CONSTRUCTION!AF4&gt;=06_CONSTRUCTION!$C$8,27_SCENARIOS!$C$31,0)))</f>
        <v>0.88</v>
      </c>
      <c r="AG34" s="42" t="n">
        <f aca="false">MAX(0,MIN(1,12_UTILITY!$C$13+IF(06_CONSTRUCTION!AG4&gt;=06_CONSTRUCTION!$C$8,27_SCENARIOS!$C$31,0)))</f>
        <v>0.88</v>
      </c>
      <c r="AH34" s="42" t="n">
        <f aca="false">MAX(0,MIN(1,12_UTILITY!$C$13+IF(06_CONSTRUCTION!AH4&gt;=06_CONSTRUCTION!$C$8,27_SCENARIOS!$C$31,0)))</f>
        <v>0.88</v>
      </c>
      <c r="AI34" s="42" t="n">
        <f aca="false">MAX(0,MIN(1,12_UTILITY!$C$13+IF(06_CONSTRUCTION!AI4&gt;=06_CONSTRUCTION!$C$8,27_SCENARIOS!$C$31,0)))</f>
        <v>0.88</v>
      </c>
      <c r="AJ34" s="42" t="n">
        <f aca="false">MAX(0,MIN(1,12_UTILITY!$C$13+IF(06_CONSTRUCTION!AJ4&gt;=06_CONSTRUCTION!$C$8,27_SCENARIOS!$C$31,0)))</f>
        <v>0.88</v>
      </c>
      <c r="AK34" s="42" t="n">
        <f aca="false">MAX(0,MIN(1,12_UTILITY!$C$13+IF(06_CONSTRUCTION!AK4&gt;=06_CONSTRUCTION!$C$8,27_SCENARIOS!$C$31,0)))</f>
        <v>0.88</v>
      </c>
      <c r="AL34" s="42" t="n">
        <f aca="false">MAX(0,MIN(1,12_UTILITY!$C$13+IF(06_CONSTRUCTION!AL4&gt;=06_CONSTRUCTION!$C$8,27_SCENARIOS!$C$31,0)))</f>
        <v>0.88</v>
      </c>
      <c r="AM34" s="42" t="n">
        <f aca="false">MAX(0,MIN(1,12_UTILITY!$C$13+IF(06_CONSTRUCTION!AM4&gt;=06_CONSTRUCTION!$C$8,27_SCENARIOS!$C$31,0)))</f>
        <v>0.88</v>
      </c>
      <c r="AN34" s="42" t="n">
        <f aca="false">MAX(0,MIN(1,12_UTILITY!$C$13+IF(06_CONSTRUCTION!AN4&gt;=06_CONSTRUCTION!$C$8,27_SCENARIOS!$C$31,0)))</f>
        <v>0.88</v>
      </c>
      <c r="AO34" s="42" t="n">
        <f aca="false">MAX(0,MIN(1,12_UTILITY!$C$13+IF(06_CONSTRUCTION!AO4&gt;=06_CONSTRUCTION!$C$8,27_SCENARIOS!$C$31,0)))</f>
        <v>0.88</v>
      </c>
      <c r="AP34" s="42" t="n">
        <f aca="false">MAX(0,MIN(1,12_UTILITY!$C$13+IF(06_CONSTRUCTION!AP4&gt;=06_CONSTRUCTION!$C$8,27_SCENARIOS!$C$31,0)))</f>
        <v>0.88</v>
      </c>
      <c r="AQ34" s="42" t="n">
        <f aca="false">MAX(0,MIN(1,12_UTILITY!$C$13+IF(06_CONSTRUCTION!AQ4&gt;=06_CONSTRUCTION!$C$8,27_SCENARIOS!$C$31,0)))</f>
        <v>0.88</v>
      </c>
      <c r="AR34" s="42" t="n">
        <f aca="false">MAX(0,MIN(1,12_UTILITY!$C$13+IF(06_CONSTRUCTION!AR4&gt;=06_CONSTRUCTION!$C$8,27_SCENARIOS!$C$31,0)))</f>
        <v>0.88</v>
      </c>
    </row>
    <row r="35" customFormat="false" ht="15" hidden="false" customHeight="false" outlineLevel="0" collapsed="false">
      <c r="A35" s="8" t="s">
        <v>441</v>
      </c>
      <c r="B35" s="8" t="s">
        <v>84</v>
      </c>
      <c r="E35" s="34" t="n">
        <f aca="false">12_UTILITY!E33*12_UTILITY!E34</f>
        <v>848.484035320755</v>
      </c>
      <c r="F35" s="34" t="n">
        <f aca="false">12_UTILITY!F33*12_UTILITY!F34</f>
        <v>903.395360625475</v>
      </c>
      <c r="G35" s="34" t="n">
        <f aca="false">12_UTILITY!G33*12_UTILITY!G34</f>
        <v>961.860381133879</v>
      </c>
      <c r="H35" s="34" t="n">
        <f aca="false">12_UTILITY!H33*12_UTILITY!H34</f>
        <v>1024.10908127141</v>
      </c>
      <c r="I35" s="34" t="n">
        <f aca="false">12_UTILITY!I33*12_UTILITY!I34</f>
        <v>1090.38632936124</v>
      </c>
      <c r="J35" s="34" t="n">
        <f aca="false">12_UTILITY!J33*12_UTILITY!J34</f>
        <v>1282.60012984856</v>
      </c>
      <c r="K35" s="34" t="n">
        <f aca="false">12_UTILITY!K33*12_UTILITY!K34</f>
        <v>1381.90093437562</v>
      </c>
      <c r="L35" s="34" t="n">
        <f aca="false">12_UTILITY!L33*12_UTILITY!L34</f>
        <v>1464.64792324363</v>
      </c>
      <c r="M35" s="34" t="n">
        <f aca="false">12_UTILITY!M33*12_UTILITY!M34</f>
        <v>1552.62390652654</v>
      </c>
      <c r="N35" s="34" t="n">
        <f aca="false">12_UTILITY!N33*12_UTILITY!N34</f>
        <v>1646.16490894019</v>
      </c>
      <c r="O35" s="34" t="n">
        <f aca="false">12_UTILITY!O33*12_UTILITY!O34</f>
        <v>1745.62865679966</v>
      </c>
      <c r="P35" s="34" t="n">
        <f aca="false">12_UTILITY!P33*12_UTILITY!P34</f>
        <v>1851.39598163395</v>
      </c>
      <c r="Q35" s="34" t="n">
        <f aca="false">12_UTILITY!Q33*12_UTILITY!Q34</f>
        <v>1963.87231462239</v>
      </c>
      <c r="R35" s="34" t="n">
        <f aca="false">12_UTILITY!R33*12_UTILITY!R34</f>
        <v>2083.48927773022</v>
      </c>
      <c r="S35" s="34" t="n">
        <f aca="false">12_UTILITY!S33*12_UTILITY!S34</f>
        <v>2210.706377801</v>
      </c>
      <c r="T35" s="34" t="n">
        <f aca="false">12_UTILITY!T33*12_UTILITY!T34</f>
        <v>2346.01281026872</v>
      </c>
      <c r="U35" s="34" t="n">
        <f aca="false">12_UTILITY!U33*12_UTILITY!U34</f>
        <v>2489.92937958345</v>
      </c>
      <c r="V35" s="34" t="n">
        <f aca="false">12_UTILITY!V33*12_UTILITY!V34</f>
        <v>2643.01054390358</v>
      </c>
      <c r="W35" s="34" t="n">
        <f aca="false">12_UTILITY!W33*12_UTILITY!W34</f>
        <v>2805.84659209653</v>
      </c>
      <c r="X35" s="34" t="n">
        <f aca="false">12_UTILITY!X33*12_UTILITY!X34</f>
        <v>2979.0659616101</v>
      </c>
      <c r="Y35" s="34" t="n">
        <f aca="false">12_UTILITY!Y33*12_UTILITY!Y34</f>
        <v>3163.33770633094</v>
      </c>
      <c r="Z35" s="34" t="n">
        <f aca="false">12_UTILITY!Z33*12_UTILITY!Z34</f>
        <v>3359.37412413639</v>
      </c>
      <c r="AA35" s="34" t="n">
        <f aca="false">12_UTILITY!AA33*12_UTILITY!AA34</f>
        <v>3567.93355447436</v>
      </c>
      <c r="AB35" s="34" t="n">
        <f aca="false">12_UTILITY!AB33*12_UTILITY!AB34</f>
        <v>3789.8233569744</v>
      </c>
      <c r="AC35" s="34" t="n">
        <f aca="false">12_UTILITY!AC33*12_UTILITY!AC34</f>
        <v>4025.90308280556</v>
      </c>
      <c r="AD35" s="34" t="n">
        <f aca="false">12_UTILITY!AD33*12_UTILITY!AD34</f>
        <v>4277.08785125456</v>
      </c>
      <c r="AE35" s="34" t="n">
        <f aca="false">12_UTILITY!AE33*12_UTILITY!AE34</f>
        <v>4544.35194480505</v>
      </c>
      <c r="AF35" s="34" t="n">
        <f aca="false">12_UTILITY!AF33*12_UTILITY!AF34</f>
        <v>4828.73263685854</v>
      </c>
      <c r="AG35" s="34" t="n">
        <f aca="false">12_UTILITY!AG33*12_UTILITY!AG34</f>
        <v>5131.33426715218</v>
      </c>
      <c r="AH35" s="34" t="n">
        <f aca="false">12_UTILITY!AH33*12_UTILITY!AH34</f>
        <v>5453.33258090334</v>
      </c>
      <c r="AI35" s="34" t="n">
        <f aca="false">12_UTILITY!AI33*12_UTILITY!AI34</f>
        <v>5795.97934874825</v>
      </c>
      <c r="AJ35" s="34" t="n">
        <f aca="false">12_UTILITY!AJ33*12_UTILITY!AJ34</f>
        <v>6160.60728564612</v>
      </c>
      <c r="AK35" s="34" t="n">
        <f aca="false">12_UTILITY!AK33*12_UTILITY!AK34</f>
        <v>6548.63528809689</v>
      </c>
      <c r="AL35" s="34" t="n">
        <f aca="false">12_UTILITY!AL33*12_UTILITY!AL34</f>
        <v>6961.57401027198</v>
      </c>
      <c r="AM35" s="34" t="n">
        <f aca="false">12_UTILITY!AM33*12_UTILITY!AM34</f>
        <v>7401.03180099151</v>
      </c>
      <c r="AN35" s="34" t="n">
        <f aca="false">12_UTILITY!AN33*12_UTILITY!AN34</f>
        <v>7617.98299125191</v>
      </c>
      <c r="AO35" s="34" t="n">
        <f aca="false">12_UTILITY!AO33*12_UTILITY!AO34</f>
        <v>8110.99585276123</v>
      </c>
      <c r="AP35" s="34" t="n">
        <f aca="false">12_UTILITY!AP33*12_UTILITY!AP34</f>
        <v>8635.91501832672</v>
      </c>
      <c r="AQ35" s="34" t="n">
        <f aca="false">12_UTILITY!AQ33*12_UTILITY!AQ34</f>
        <v>9194.80536762598</v>
      </c>
      <c r="AR35" s="34" t="n">
        <f aca="false">12_UTILITY!AR33*12_UTILITY!AR34</f>
        <v>9789.86541311574</v>
      </c>
    </row>
    <row r="36" customFormat="false" ht="15" hidden="false" customHeight="false" outlineLevel="0" collapsed="false">
      <c r="A36" s="8" t="s">
        <v>442</v>
      </c>
      <c r="B36" s="8" t="s">
        <v>84</v>
      </c>
      <c r="E36" s="34" t="n">
        <f aca="false">12_UTILITY!$C$17*IF(06_CONSTRUCTION!E4&gt;=06_CONSTRUCTION!$C$8,27_SCENARIOS!$C$32,1)*06_CONSTRUCTION!E18/06_CONSTRUCTION!E20</f>
        <v>81.5094339622642</v>
      </c>
      <c r="F36" s="34" t="n">
        <f aca="false">12_UTILITY!$C$17*IF(06_CONSTRUCTION!F4&gt;=06_CONSTRUCTION!$C$8,27_SCENARIOS!$C$32,1)*06_CONSTRUCTION!F18/06_CONSTRUCTION!F20</f>
        <v>83.0473478106088</v>
      </c>
      <c r="G36" s="34" t="n">
        <f aca="false">12_UTILITY!$C$17*IF(06_CONSTRUCTION!G4&gt;=06_CONSTRUCTION!$C$8,27_SCENARIOS!$C$32,1)*06_CONSTRUCTION!G18/06_CONSTRUCTION!G20</f>
        <v>84.614278901375</v>
      </c>
      <c r="H36" s="34" t="n">
        <f aca="false">12_UTILITY!$C$17*IF(06_CONSTRUCTION!H4&gt;=06_CONSTRUCTION!$C$8,27_SCENARIOS!$C$32,1)*06_CONSTRUCTION!H18/06_CONSTRUCTION!H20</f>
        <v>86.2107747297028</v>
      </c>
      <c r="I36" s="34" t="n">
        <f aca="false">12_UTILITY!$C$17*IF(06_CONSTRUCTION!I4&gt;=06_CONSTRUCTION!$C$8,27_SCENARIOS!$C$32,1)*06_CONSTRUCTION!I18/06_CONSTRUCTION!I20</f>
        <v>87.8373931208293</v>
      </c>
      <c r="J36" s="34" t="n">
        <f aca="false">12_UTILITY!$C$17*IF(06_CONSTRUCTION!J4&gt;=06_CONSTRUCTION!$C$8,27_SCENARIOS!$C$32,1)*06_CONSTRUCTION!J18/06_CONSTRUCTION!J20</f>
        <v>89.4947024249959</v>
      </c>
      <c r="K36" s="34" t="n">
        <f aca="false">12_UTILITY!$C$17*IF(06_CONSTRUCTION!K4&gt;=06_CONSTRUCTION!$C$8,27_SCENARIOS!$C$32,1)*06_CONSTRUCTION!K18/06_CONSTRUCTION!K20</f>
        <v>91.1832817160335</v>
      </c>
      <c r="L36" s="34" t="n">
        <f aca="false">12_UTILITY!$C$17*IF(06_CONSTRUCTION!L4&gt;=06_CONSTRUCTION!$C$8,27_SCENARIOS!$C$32,1)*06_CONSTRUCTION!L18/06_CONSTRUCTION!L20</f>
        <v>92.9037209936945</v>
      </c>
      <c r="M36" s="34" t="n">
        <f aca="false">12_UTILITY!$C$17*IF(06_CONSTRUCTION!M4&gt;=06_CONSTRUCTION!$C$8,27_SCENARIOS!$C$32,1)*06_CONSTRUCTION!M18/06_CONSTRUCTION!M20</f>
        <v>94.656621389802</v>
      </c>
      <c r="N36" s="34" t="n">
        <f aca="false">12_UTILITY!$C$17*IF(06_CONSTRUCTION!N4&gt;=06_CONSTRUCTION!$C$8,27_SCENARIOS!$C$32,1)*06_CONSTRUCTION!N18/06_CONSTRUCTION!N20</f>
        <v>96.4425953782888</v>
      </c>
      <c r="O36" s="34" t="n">
        <f aca="false">12_UTILITY!$C$17*IF(06_CONSTRUCTION!O4&gt;=06_CONSTRUCTION!$C$8,27_SCENARIOS!$C$32,1)*06_CONSTRUCTION!O18/06_CONSTRUCTION!O20</f>
        <v>98.2622669891999</v>
      </c>
      <c r="P36" s="34" t="n">
        <f aca="false">12_UTILITY!$C$17*IF(06_CONSTRUCTION!P4&gt;=06_CONSTRUCTION!$C$8,27_SCENARIOS!$C$32,1)*06_CONSTRUCTION!P18/06_CONSTRUCTION!P20</f>
        <v>100.116272026732</v>
      </c>
      <c r="Q36" s="34" t="n">
        <f aca="false">12_UTILITY!$C$17*IF(06_CONSTRUCTION!Q4&gt;=06_CONSTRUCTION!$C$8,27_SCENARIOS!$C$32,1)*06_CONSTRUCTION!Q18/06_CONSTRUCTION!Q20</f>
        <v>102.005258291387</v>
      </c>
      <c r="R36" s="34" t="n">
        <f aca="false">12_UTILITY!$C$17*IF(06_CONSTRUCTION!R4&gt;=06_CONSTRUCTION!$C$8,27_SCENARIOS!$C$32,1)*06_CONSTRUCTION!R18/06_CONSTRUCTION!R20</f>
        <v>103.929885806319</v>
      </c>
      <c r="S36" s="34" t="n">
        <f aca="false">12_UTILITY!$C$17*IF(06_CONSTRUCTION!S4&gt;=06_CONSTRUCTION!$C$8,27_SCENARIOS!$C$32,1)*06_CONSTRUCTION!S18/06_CONSTRUCTION!S20</f>
        <v>105.890827047948</v>
      </c>
      <c r="T36" s="34" t="n">
        <f aca="false">12_UTILITY!$C$17*IF(06_CONSTRUCTION!T4&gt;=06_CONSTRUCTION!$C$8,27_SCENARIOS!$C$32,1)*06_CONSTRUCTION!T18/06_CONSTRUCTION!T20</f>
        <v>107.888767180928</v>
      </c>
      <c r="U36" s="34" t="n">
        <f aca="false">12_UTILITY!$C$17*IF(06_CONSTRUCTION!U4&gt;=06_CONSTRUCTION!$C$8,27_SCENARIOS!$C$32,1)*06_CONSTRUCTION!U18/06_CONSTRUCTION!U20</f>
        <v>109.924404297549</v>
      </c>
      <c r="V36" s="34" t="n">
        <f aca="false">12_UTILITY!$C$17*IF(06_CONSTRUCTION!V4&gt;=06_CONSTRUCTION!$C$8,27_SCENARIOS!$C$32,1)*06_CONSTRUCTION!V18/06_CONSTRUCTION!V20</f>
        <v>111.998449661654</v>
      </c>
      <c r="W36" s="34" t="n">
        <f aca="false">12_UTILITY!$C$17*IF(06_CONSTRUCTION!W4&gt;=06_CONSTRUCTION!$C$8,27_SCENARIOS!$C$32,1)*06_CONSTRUCTION!W18/06_CONSTRUCTION!W20</f>
        <v>114.111627957157</v>
      </c>
      <c r="X36" s="34" t="n">
        <f aca="false">12_UTILITY!$C$17*IF(06_CONSTRUCTION!X4&gt;=06_CONSTRUCTION!$C$8,27_SCENARIOS!$C$32,1)*06_CONSTRUCTION!X18/06_CONSTRUCTION!X20</f>
        <v>116.264677541254</v>
      </c>
      <c r="Y36" s="34" t="n">
        <f aca="false">12_UTILITY!$C$17*IF(06_CONSTRUCTION!Y4&gt;=06_CONSTRUCTION!$C$8,27_SCENARIOS!$C$32,1)*06_CONSTRUCTION!Y18/06_CONSTRUCTION!Y20</f>
        <v>118.45835070241</v>
      </c>
      <c r="Z36" s="34" t="n">
        <f aca="false">12_UTILITY!$C$17*IF(06_CONSTRUCTION!Z4&gt;=06_CONSTRUCTION!$C$8,27_SCENARIOS!$C$32,1)*06_CONSTRUCTION!Z18/06_CONSTRUCTION!Z20</f>
        <v>120.69341392321</v>
      </c>
      <c r="AA36" s="34" t="n">
        <f aca="false">12_UTILITY!$C$17*IF(06_CONSTRUCTION!AA4&gt;=06_CONSTRUCTION!$C$8,27_SCENARIOS!$C$32,1)*06_CONSTRUCTION!AA18/06_CONSTRUCTION!AA20</f>
        <v>122.970648148176</v>
      </c>
      <c r="AB36" s="34" t="n">
        <f aca="false">12_UTILITY!$C$17*IF(06_CONSTRUCTION!AB4&gt;=06_CONSTRUCTION!$C$8,27_SCENARIOS!$C$32,1)*06_CONSTRUCTION!AB18/06_CONSTRUCTION!AB20</f>
        <v>125.290849056632</v>
      </c>
      <c r="AC36" s="34" t="n">
        <f aca="false">12_UTILITY!$C$17*IF(06_CONSTRUCTION!AC4&gt;=06_CONSTRUCTION!$C$8,27_SCENARIOS!$C$32,1)*06_CONSTRUCTION!AC18/06_CONSTRUCTION!AC20</f>
        <v>127.65482734072</v>
      </c>
      <c r="AD36" s="34" t="n">
        <f aca="false">12_UTILITY!$C$17*IF(06_CONSTRUCTION!AD4&gt;=06_CONSTRUCTION!$C$8,27_SCENARIOS!$C$32,1)*06_CONSTRUCTION!AD18/06_CONSTRUCTION!AD20</f>
        <v>130.063408988658</v>
      </c>
      <c r="AE36" s="34" t="n">
        <f aca="false">12_UTILITY!$C$17*IF(06_CONSTRUCTION!AE4&gt;=06_CONSTRUCTION!$C$8,27_SCENARIOS!$C$32,1)*06_CONSTRUCTION!AE18/06_CONSTRUCTION!AE20</f>
        <v>132.51743557335</v>
      </c>
      <c r="AF36" s="34" t="n">
        <f aca="false">12_UTILITY!$C$17*IF(06_CONSTRUCTION!AF4&gt;=06_CONSTRUCTION!$C$8,27_SCENARIOS!$C$32,1)*06_CONSTRUCTION!AF18/06_CONSTRUCTION!AF20</f>
        <v>135.017764546432</v>
      </c>
      <c r="AG36" s="34" t="n">
        <f aca="false">12_UTILITY!$C$17*IF(06_CONSTRUCTION!AG4&gt;=06_CONSTRUCTION!$C$8,27_SCENARIOS!$C$32,1)*06_CONSTRUCTION!AG18/06_CONSTRUCTION!AG20</f>
        <v>137.565269537874</v>
      </c>
      <c r="AH36" s="34" t="n">
        <f aca="false">12_UTILITY!$C$17*IF(06_CONSTRUCTION!AH4&gt;=06_CONSTRUCTION!$C$8,27_SCENARIOS!$C$32,1)*06_CONSTRUCTION!AH18/06_CONSTRUCTION!AH20</f>
        <v>140.16084066123</v>
      </c>
      <c r="AI36" s="34" t="n">
        <f aca="false">12_UTILITY!$C$17*IF(06_CONSTRUCTION!AI4&gt;=06_CONSTRUCTION!$C$8,27_SCENARIOS!$C$32,1)*06_CONSTRUCTION!AI18/06_CONSTRUCTION!AI20</f>
        <v>142.805384824649</v>
      </c>
      <c r="AJ36" s="34" t="n">
        <f aca="false">12_UTILITY!$C$17*IF(06_CONSTRUCTION!AJ4&gt;=06_CONSTRUCTION!$C$8,27_SCENARIOS!$C$32,1)*06_CONSTRUCTION!AJ18/06_CONSTRUCTION!AJ20</f>
        <v>145.499826047756</v>
      </c>
      <c r="AK36" s="34" t="n">
        <f aca="false">12_UTILITY!$C$17*IF(06_CONSTRUCTION!AK4&gt;=06_CONSTRUCTION!$C$8,27_SCENARIOS!$C$32,1)*06_CONSTRUCTION!AK18/06_CONSTRUCTION!AK20</f>
        <v>148.245105784506</v>
      </c>
      <c r="AL36" s="34" t="n">
        <f aca="false">12_UTILITY!$C$17*IF(06_CONSTRUCTION!AL4&gt;=06_CONSTRUCTION!$C$8,27_SCENARIOS!$C$32,1)*06_CONSTRUCTION!AL18/06_CONSTRUCTION!AL20</f>
        <v>151.042183252138</v>
      </c>
      <c r="AM36" s="34" t="n">
        <f aca="false">12_UTILITY!$C$17*IF(06_CONSTRUCTION!AM4&gt;=06_CONSTRUCTION!$C$8,27_SCENARIOS!$C$32,1)*06_CONSTRUCTION!AM18/06_CONSTRUCTION!AM20</f>
        <v>153.89203576633</v>
      </c>
      <c r="AN36" s="34" t="n">
        <f aca="false">12_UTILITY!$C$17*IF(06_CONSTRUCTION!AN4&gt;=06_CONSTRUCTION!$C$8,27_SCENARIOS!$C$32,1)*06_CONSTRUCTION!AN18/06_CONSTRUCTION!AN20</f>
        <v>156.795659082675</v>
      </c>
      <c r="AO36" s="34" t="n">
        <f aca="false">12_UTILITY!$C$17*IF(06_CONSTRUCTION!AO4&gt;=06_CONSTRUCTION!$C$8,27_SCENARIOS!$C$32,1)*06_CONSTRUCTION!AO18/06_CONSTRUCTION!AO20</f>
        <v>159.754067744613</v>
      </c>
      <c r="AP36" s="34" t="n">
        <f aca="false">12_UTILITY!$C$17*IF(06_CONSTRUCTION!AP4&gt;=06_CONSTRUCTION!$C$8,27_SCENARIOS!$C$32,1)*06_CONSTRUCTION!AP18/06_CONSTRUCTION!AP20</f>
        <v>162.768295437907</v>
      </c>
      <c r="AQ36" s="34" t="n">
        <f aca="false">12_UTILITY!$C$17*IF(06_CONSTRUCTION!AQ4&gt;=06_CONSTRUCTION!$C$8,27_SCENARIOS!$C$32,1)*06_CONSTRUCTION!AQ18/06_CONSTRUCTION!AQ20</f>
        <v>165.83939535183</v>
      </c>
      <c r="AR36" s="34" t="n">
        <f aca="false">12_UTILITY!$C$17*IF(06_CONSTRUCTION!AR4&gt;=06_CONSTRUCTION!$C$8,27_SCENARIOS!$C$32,1)*06_CONSTRUCTION!AR18/06_CONSTRUCTION!AR20</f>
        <v>168.968440547148</v>
      </c>
    </row>
    <row r="37" customFormat="false" ht="15" hidden="false" customHeight="false" outlineLevel="0" collapsed="false">
      <c r="A37" s="8" t="s">
        <v>443</v>
      </c>
      <c r="B37" s="8" t="s">
        <v>84</v>
      </c>
      <c r="E37" s="34" t="n">
        <f aca="false">-12_UTILITY!$C$16*06_CONSTRUCTION!E18/06_CONSTRUCTION!E20*(0.5+0.5*12_UTILITY!E28/10_DEMAND!$C$99)</f>
        <v>-189.737869733781</v>
      </c>
      <c r="F37" s="34" t="n">
        <f aca="false">-12_UTILITY!$C$16*06_CONSTRUCTION!F18/06_CONSTRUCTION!F20*(0.5+0.5*12_UTILITY!F28/10_DEMAND!$C$99)</f>
        <v>-197.579289220753</v>
      </c>
      <c r="G37" s="34" t="n">
        <f aca="false">-12_UTILITY!$C$16*06_CONSTRUCTION!G18/06_CONSTRUCTION!G20*(0.5+0.5*12_UTILITY!G28/10_DEMAND!$C$99)</f>
        <v>-205.844448824549</v>
      </c>
      <c r="H37" s="34" t="n">
        <f aca="false">-12_UTILITY!$C$16*06_CONSTRUCTION!H18/06_CONSTRUCTION!H20*(0.5+0.5*12_UTILITY!H28/10_DEMAND!$C$99)</f>
        <v>-214.559191860652</v>
      </c>
      <c r="I37" s="34" t="n">
        <f aca="false">-12_UTILITY!$C$16*06_CONSTRUCTION!I18/06_CONSTRUCTION!I20*(0.5+0.5*12_UTILITY!I28/10_DEMAND!$C$99)</f>
        <v>-223.751004337117</v>
      </c>
      <c r="J37" s="34" t="n">
        <f aca="false">-12_UTILITY!$C$16*06_CONSTRUCTION!J18/06_CONSTRUCTION!J20*(0.5+0.5*12_UTILITY!J28/10_DEMAND!$C$99)</f>
        <v>-246.774719675337</v>
      </c>
      <c r="K37" s="34" t="n">
        <f aca="false">-12_UTILITY!$C$16*06_CONSTRUCTION!K18/06_CONSTRUCTION!K20*(0.5+0.5*12_UTILITY!K28/10_DEMAND!$C$99)</f>
        <v>-259.657607447461</v>
      </c>
      <c r="L37" s="34" t="n">
        <f aca="false">-12_UTILITY!$C$16*06_CONSTRUCTION!L18/06_CONSTRUCTION!L20*(0.5+0.5*12_UTILITY!L28/10_DEMAND!$C$99)</f>
        <v>-270.764975686314</v>
      </c>
      <c r="M37" s="34" t="n">
        <f aca="false">-12_UTILITY!$C$16*06_CONSTRUCTION!M18/06_CONSTRUCTION!M20*(0.5+0.5*12_UTILITY!M28/10_DEMAND!$C$99)</f>
        <v>-282.48369080849</v>
      </c>
      <c r="N37" s="34" t="n">
        <f aca="false">-12_UTILITY!$C$16*06_CONSTRUCTION!N18/06_CONSTRUCTION!N20*(0.5+0.5*12_UTILITY!N28/10_DEMAND!$C$99)</f>
        <v>-294.851289254601</v>
      </c>
      <c r="O37" s="34" t="n">
        <f aca="false">-12_UTILITY!$C$16*06_CONSTRUCTION!O18/06_CONSTRUCTION!O20*(0.5+0.5*12_UTILITY!O28/10_DEMAND!$C$99)</f>
        <v>-307.907698444638</v>
      </c>
      <c r="P37" s="34" t="n">
        <f aca="false">-12_UTILITY!$C$16*06_CONSTRUCTION!P18/06_CONSTRUCTION!P20*(0.5+0.5*12_UTILITY!P28/10_DEMAND!$C$99)</f>
        <v>-321.695390792947</v>
      </c>
      <c r="Q37" s="34" t="n">
        <f aca="false">-12_UTILITY!$C$16*06_CONSTRUCTION!Q18/06_CONSTRUCTION!Q20*(0.5+0.5*12_UTILITY!Q28/10_DEMAND!$C$99)</f>
        <v>-336.25954767696</v>
      </c>
      <c r="R37" s="34" t="n">
        <f aca="false">-12_UTILITY!$C$16*06_CONSTRUCTION!R18/06_CONSTRUCTION!R20*(0.5+0.5*12_UTILITY!R28/10_DEMAND!$C$99)</f>
        <v>-351.648234003614</v>
      </c>
      <c r="S37" s="34" t="n">
        <f aca="false">-12_UTILITY!$C$16*06_CONSTRUCTION!S18/06_CONSTRUCTION!S20*(0.5+0.5*12_UTILITY!S28/10_DEMAND!$C$99)</f>
        <v>-367.912584059034</v>
      </c>
      <c r="T37" s="34" t="n">
        <f aca="false">-12_UTILITY!$C$16*06_CONSTRUCTION!T18/06_CONSTRUCTION!T20*(0.5+0.5*12_UTILITY!T28/10_DEMAND!$C$99)</f>
        <v>-385.106999371442</v>
      </c>
      <c r="U37" s="34" t="n">
        <f aca="false">-12_UTILITY!$C$16*06_CONSTRUCTION!U18/06_CONSTRUCTION!U20*(0.5+0.5*12_UTILITY!U28/10_DEMAND!$C$99)</f>
        <v>-403.289359364475</v>
      </c>
      <c r="V37" s="34" t="n">
        <f aca="false">-12_UTILITY!$C$16*06_CONSTRUCTION!V18/06_CONSTRUCTION!V20*(0.5+0.5*12_UTILITY!V28/10_DEMAND!$C$99)</f>
        <v>-422.521245628396</v>
      </c>
      <c r="W37" s="34" t="n">
        <f aca="false">-12_UTILITY!$C$16*06_CONSTRUCTION!W18/06_CONSTRUCTION!W20*(0.5+0.5*12_UTILITY!W28/10_DEMAND!$C$99)</f>
        <v>-442.868180690211</v>
      </c>
      <c r="X37" s="34" t="n">
        <f aca="false">-12_UTILITY!$C$16*06_CONSTRUCTION!X18/06_CONSTRUCTION!X20*(0.5+0.5*12_UTILITY!X28/10_DEMAND!$C$99)</f>
        <v>-464.399882220754</v>
      </c>
      <c r="Y37" s="34" t="n">
        <f aca="false">-12_UTILITY!$C$16*06_CONSTRUCTION!Y18/06_CONSTRUCTION!Y20*(0.5+0.5*12_UTILITY!Y28/10_DEMAND!$C$99)</f>
        <v>-487.190533677459</v>
      </c>
      <c r="Z37" s="34" t="n">
        <f aca="false">-12_UTILITY!$C$16*06_CONSTRUCTION!Z18/06_CONSTRUCTION!Z20*(0.5+0.5*12_UTILITY!Z28/10_DEMAND!$C$99)</f>
        <v>-511.319072446198</v>
      </c>
      <c r="AA37" s="34" t="n">
        <f aca="false">-12_UTILITY!$C$16*06_CONSTRUCTION!AA18/06_CONSTRUCTION!AA20*(0.5+0.5*12_UTILITY!AA28/10_DEMAND!$C$99)</f>
        <v>-536.869496614366</v>
      </c>
      <c r="AB37" s="34" t="n">
        <f aca="false">-12_UTILITY!$C$16*06_CONSTRUCTION!AB18/06_CONSTRUCTION!AB20*(0.5+0.5*12_UTILITY!AB28/10_DEMAND!$C$99)</f>
        <v>-563.931191580667</v>
      </c>
      <c r="AC37" s="34" t="n">
        <f aca="false">-12_UTILITY!$C$16*06_CONSTRUCTION!AC18/06_CONSTRUCTION!AC20*(0.5+0.5*12_UTILITY!AC28/10_DEMAND!$C$99)</f>
        <v>-592.599277785043</v>
      </c>
      <c r="AD37" s="34" t="n">
        <f aca="false">-12_UTILITY!$C$16*06_CONSTRUCTION!AD18/06_CONSTRUCTION!AD20*(0.5+0.5*12_UTILITY!AD28/10_DEMAND!$C$99)</f>
        <v>-622.974980925269</v>
      </c>
      <c r="AE37" s="34" t="n">
        <f aca="false">-12_UTILITY!$C$16*06_CONSTRUCTION!AE18/06_CONSTRUCTION!AE20*(0.5+0.5*12_UTILITY!AE28/10_DEMAND!$C$99)</f>
        <v>-655.166026115153</v>
      </c>
      <c r="AF37" s="34" t="n">
        <f aca="false">-12_UTILITY!$C$16*06_CONSTRUCTION!AF18/06_CONSTRUCTION!AF20*(0.5+0.5*12_UTILITY!AF28/10_DEMAND!$C$99)</f>
        <v>-689.287057533431</v>
      </c>
      <c r="AG37" s="34" t="n">
        <f aca="false">-12_UTILITY!$C$16*06_CONSTRUCTION!AG18/06_CONSTRUCTION!AG20*(0.5+0.5*12_UTILITY!AG28/10_DEMAND!$C$99)</f>
        <v>-725.4600852127</v>
      </c>
      <c r="AH37" s="34" t="n">
        <f aca="false">-12_UTILITY!$C$16*06_CONSTRUCTION!AH18/06_CONSTRUCTION!AH20*(0.5+0.5*12_UTILITY!AH28/10_DEMAND!$C$99)</f>
        <v>-763.814960724463</v>
      </c>
      <c r="AI37" s="34" t="n">
        <f aca="false">-12_UTILITY!$C$16*06_CONSTRUCTION!AI18/06_CONSTRUCTION!AI20*(0.5+0.5*12_UTILITY!AI28/10_DEMAND!$C$99)</f>
        <v>-804.489883630006</v>
      </c>
      <c r="AJ37" s="34" t="n">
        <f aca="false">-12_UTILITY!$C$16*06_CONSTRUCTION!AJ18/06_CONSTRUCTION!AJ20*(0.5+0.5*12_UTILITY!AJ28/10_DEMAND!$C$99)</f>
        <v>-847.631940687812</v>
      </c>
      <c r="AK37" s="34" t="n">
        <f aca="false">-12_UTILITY!$C$16*06_CONSTRUCTION!AK18/06_CONSTRUCTION!AK20*(0.5+0.5*12_UTILITY!AK28/10_DEMAND!$C$99)</f>
        <v>-893.397679937057</v>
      </c>
      <c r="AL37" s="34" t="n">
        <f aca="false">-12_UTILITY!$C$16*06_CONSTRUCTION!AL18/06_CONSTRUCTION!AL20*(0.5+0.5*12_UTILITY!AL28/10_DEMAND!$C$99)</f>
        <v>-941.953721913881</v>
      </c>
      <c r="AM37" s="34" t="n">
        <f aca="false">-12_UTILITY!$C$16*06_CONSTRUCTION!AM18/06_CONSTRUCTION!AM20*(0.5+0.5*12_UTILITY!AM28/10_DEMAND!$C$99)</f>
        <v>-993.477410403185</v>
      </c>
      <c r="AN37" s="34" t="n">
        <f aca="false">-12_UTILITY!$C$16*06_CONSTRUCTION!AN18/06_CONSTRUCTION!AN20*(0.5+0.5*12_UTILITY!AN28/10_DEMAND!$C$99)</f>
        <v>-1020.69092948443</v>
      </c>
      <c r="AO37" s="34" t="n">
        <f aca="false">-12_UTILITY!$C$16*06_CONSTRUCTION!AO18/06_CONSTRUCTION!AO20*(0.5+0.5*12_UTILITY!AO28/10_DEMAND!$C$99)</f>
        <v>-1078.21010711445</v>
      </c>
      <c r="AP37" s="34" t="n">
        <f aca="false">-12_UTILITY!$C$16*06_CONSTRUCTION!AP18/06_CONSTRUCTION!AP20*(0.5+0.5*12_UTILITY!AP28/10_DEMAND!$C$99)</f>
        <v>-1139.29067948553</v>
      </c>
      <c r="AQ37" s="34" t="n">
        <f aca="false">-12_UTILITY!$C$16*06_CONSTRUCTION!AQ18/06_CONSTRUCTION!AQ20*(0.5+0.5*12_UTILITY!AQ28/10_DEMAND!$C$99)</f>
        <v>-1204.16009020463</v>
      </c>
      <c r="AR37" s="34" t="n">
        <f aca="false">-12_UTILITY!$C$16*06_CONSTRUCTION!AR18/06_CONSTRUCTION!AR20*(0.5+0.5*12_UTILITY!AR28/10_DEMAND!$C$99)</f>
        <v>-1273.06044500066</v>
      </c>
    </row>
    <row r="38" customFormat="false" ht="15" hidden="false" customHeight="false" outlineLevel="0" collapsed="false">
      <c r="A38" s="8" t="s">
        <v>444</v>
      </c>
      <c r="B38" s="8" t="s">
        <v>84</v>
      </c>
      <c r="E38" s="34" t="n">
        <f aca="false">-12_UTILITY!E26*12_UTILITY!$C$14*(12_UTILITY!$C$15*06_CONSTRUCTION!E17+(1-12_UTILITY!$C$15)*06_CONSTRUCTION!E18/06_CONSTRUCTION!E20)/1000</f>
        <v>-503.890916037736</v>
      </c>
      <c r="F38" s="34" t="n">
        <f aca="false">-12_UTILITY!F26*12_UTILITY!$C$14*(12_UTILITY!$C$15*06_CONSTRUCTION!F17+(1-12_UTILITY!$C$15)*06_CONSTRUCTION!F18/06_CONSTRUCTION!F20)/1000</f>
        <v>-536.799436668951</v>
      </c>
      <c r="G38" s="34" t="n">
        <f aca="false">-12_UTILITY!G26*12_UTILITY!$C$14*(12_UTILITY!$C$15*06_CONSTRUCTION!G17+(1-12_UTILITY!$C$15)*06_CONSTRUCTION!G18/06_CONSTRUCTION!G20)/1000</f>
        <v>-571.857350220645</v>
      </c>
      <c r="H38" s="34" t="n">
        <f aca="false">-12_UTILITY!H26*12_UTILITY!$C$14*(12_UTILITY!$C$15*06_CONSTRUCTION!H17+(1-12_UTILITY!$C$15)*06_CONSTRUCTION!H18/06_CONSTRUCTION!H20)/1000</f>
        <v>-609.205054034186</v>
      </c>
      <c r="I38" s="34" t="n">
        <f aca="false">-12_UTILITY!I26*12_UTILITY!$C$14*(12_UTILITY!$C$15*06_CONSTRUCTION!I17+(1-12_UTILITY!$C$15)*06_CONSTRUCTION!I18/06_CONSTRUCTION!I20)/1000</f>
        <v>-648.992116891467</v>
      </c>
      <c r="J38" s="34" t="n">
        <f aca="false">-12_UTILITY!J26*12_UTILITY!$C$14*(12_UTILITY!$C$15*06_CONSTRUCTION!J17+(1-12_UTILITY!$C$15)*06_CONSTRUCTION!J18/06_CONSTRUCTION!J20)/1000</f>
        <v>-691.377878187301</v>
      </c>
      <c r="K38" s="34" t="n">
        <f aca="false">-12_UTILITY!K26*12_UTILITY!$C$14*(12_UTILITY!$C$15*06_CONSTRUCTION!K17+(1-12_UTILITY!$C$15)*06_CONSTRUCTION!K18/06_CONSTRUCTION!K20)/1000</f>
        <v>-736.532086249115</v>
      </c>
      <c r="L38" s="34" t="n">
        <f aca="false">-12_UTILITY!L26*12_UTILITY!$C$14*(12_UTILITY!$C$15*06_CONSTRUCTION!L17+(1-12_UTILITY!$C$15)*06_CONSTRUCTION!L18/06_CONSTRUCTION!L20)/1000</f>
        <v>-784.635578361828</v>
      </c>
      <c r="M38" s="34" t="n">
        <f aca="false">-12_UTILITY!M26*12_UTILITY!$C$14*(12_UTILITY!$C$15*06_CONSTRUCTION!M17+(1-12_UTILITY!$C$15)*06_CONSTRUCTION!M18/06_CONSTRUCTION!M20)/1000</f>
        <v>-835.881005223017</v>
      </c>
      <c r="N38" s="34" t="n">
        <f aca="false">-12_UTILITY!N26*12_UTILITY!$C$14*(12_UTILITY!$C$15*06_CONSTRUCTION!N17+(1-12_UTILITY!$C$15)*06_CONSTRUCTION!N18/06_CONSTRUCTION!N20)/1000</f>
        <v>-890.473602731485</v>
      </c>
      <c r="O38" s="34" t="n">
        <f aca="false">-12_UTILITY!O26*12_UTILITY!$C$14*(12_UTILITY!$C$15*06_CONSTRUCTION!O17+(1-12_UTILITY!$C$15)*06_CONSTRUCTION!O18/06_CONSTRUCTION!O20)/1000</f>
        <v>-948.632014202109</v>
      </c>
      <c r="P38" s="34" t="n">
        <f aca="false">-12_UTILITY!P26*12_UTILITY!$C$14*(12_UTILITY!$C$15*06_CONSTRUCTION!P17+(1-12_UTILITY!$C$15)*06_CONSTRUCTION!P18/06_CONSTRUCTION!P20)/1000</f>
        <v>-1010.58916630192</v>
      </c>
      <c r="Q38" s="34" t="n">
        <f aca="false">-12_UTILITY!Q26*12_UTILITY!$C$14*(12_UTILITY!$C$15*06_CONSTRUCTION!Q17+(1-12_UTILITY!$C$15)*06_CONSTRUCTION!Q18/06_CONSTRUCTION!Q20)/1000</f>
        <v>-1076.59320221772</v>
      </c>
      <c r="R38" s="34" t="n">
        <f aca="false">-12_UTILITY!R26*12_UTILITY!$C$14*(12_UTILITY!$C$15*06_CONSTRUCTION!R17+(1-12_UTILITY!$C$15)*06_CONSTRUCTION!R18/06_CONSTRUCTION!R20)/1000</f>
        <v>-1146.90847579486</v>
      </c>
      <c r="S38" s="34" t="n">
        <f aca="false">-12_UTILITY!S26*12_UTILITY!$C$14*(12_UTILITY!$C$15*06_CONSTRUCTION!S17+(1-12_UTILITY!$C$15)*06_CONSTRUCTION!S18/06_CONSTRUCTION!S20)/1000</f>
        <v>-1221.81661063129</v>
      </c>
      <c r="T38" s="34" t="n">
        <f aca="false">-12_UTILITY!T26*12_UTILITY!$C$14*(12_UTILITY!$C$15*06_CONSTRUCTION!T17+(1-12_UTILITY!$C$15)*06_CONSTRUCTION!T18/06_CONSTRUCTION!T20)/1000</f>
        <v>-1301.61762837129</v>
      </c>
      <c r="U38" s="34" t="n">
        <f aca="false">-12_UTILITY!U26*12_UTILITY!$C$14*(12_UTILITY!$C$15*06_CONSTRUCTION!U17+(1-12_UTILITY!$C$15)*06_CONSTRUCTION!U18/06_CONSTRUCTION!U20)/1000</f>
        <v>-1386.63115072056</v>
      </c>
      <c r="V38" s="34" t="n">
        <f aca="false">-12_UTILITY!V26*12_UTILITY!$C$14*(12_UTILITY!$C$15*06_CONSTRUCTION!V17+(1-12_UTILITY!$C$15)*06_CONSTRUCTION!V18/06_CONSTRUCTION!V20)/1000</f>
        <v>-1477.19768000008</v>
      </c>
      <c r="W38" s="34" t="n">
        <f aca="false">-12_UTILITY!W26*12_UTILITY!$C$14*(12_UTILITY!$C$15*06_CONSTRUCTION!W17+(1-12_UTILITY!$C$15)*06_CONSTRUCTION!W18/06_CONSTRUCTION!W20)/1000</f>
        <v>-1573.67996337069</v>
      </c>
      <c r="X38" s="34" t="n">
        <f aca="false">-12_UTILITY!X26*12_UTILITY!$C$14*(12_UTILITY!$C$15*06_CONSTRUCTION!X17+(1-12_UTILITY!$C$15)*06_CONSTRUCTION!X18/06_CONSTRUCTION!X20)/1000</f>
        <v>-1676.46444619593</v>
      </c>
      <c r="Y38" s="34" t="n">
        <f aca="false">-12_UTILITY!Y26*12_UTILITY!$C$14*(12_UTILITY!$C$15*06_CONSTRUCTION!Y17+(1-12_UTILITY!$C$15)*06_CONSTRUCTION!Y18/06_CONSTRUCTION!Y20)/1000</f>
        <v>-1785.96282036785</v>
      </c>
      <c r="Z38" s="34" t="n">
        <f aca="false">-12_UTILITY!Z26*12_UTILITY!$C$14*(12_UTILITY!$C$15*06_CONSTRUCTION!Z17+(1-12_UTILITY!$C$15)*06_CONSTRUCTION!Z18/06_CONSTRUCTION!Z20)/1000</f>
        <v>-1902.61367380119</v>
      </c>
      <c r="AA38" s="34" t="n">
        <f aca="false">-12_UTILITY!AA26*12_UTILITY!$C$14*(12_UTILITY!$C$15*06_CONSTRUCTION!AA17+(1-12_UTILITY!$C$15)*06_CONSTRUCTION!AA18/06_CONSTRUCTION!AA20)/1000</f>
        <v>-2026.8842477069</v>
      </c>
      <c r="AB38" s="34" t="n">
        <f aca="false">-12_UTILITY!AB26*12_UTILITY!$C$14*(12_UTILITY!$C$15*06_CONSTRUCTION!AB17+(1-12_UTILITY!$C$15)*06_CONSTRUCTION!AB18/06_CONSTRUCTION!AB20)/1000</f>
        <v>-2159.27230868793</v>
      </c>
      <c r="AC38" s="34" t="n">
        <f aca="false">-12_UTILITY!AC26*12_UTILITY!$C$14*(12_UTILITY!$C$15*06_CONSTRUCTION!AC17+(1-12_UTILITY!$C$15)*06_CONSTRUCTION!AC18/06_CONSTRUCTION!AC20)/1000</f>
        <v>-2300.30814316055</v>
      </c>
      <c r="AD38" s="34" t="n">
        <f aca="false">-12_UTILITY!AD26*12_UTILITY!$C$14*(12_UTILITY!$C$15*06_CONSTRUCTION!AD17+(1-12_UTILITY!$C$15)*06_CONSTRUCTION!AD18/06_CONSTRUCTION!AD20)/1000</f>
        <v>-2450.55668209477</v>
      </c>
      <c r="AE38" s="34" t="n">
        <f aca="false">-12_UTILITY!AE26*12_UTILITY!$C$14*(12_UTILITY!$C$15*06_CONSTRUCTION!AE17+(1-12_UTILITY!$C$15)*06_CONSTRUCTION!AE18/06_CONSTRUCTION!AE20)/1000</f>
        <v>-2610.61976458982</v>
      </c>
      <c r="AF38" s="34" t="n">
        <f aca="false">-12_UTILITY!AF26*12_UTILITY!$C$14*(12_UTILITY!$C$15*06_CONSTRUCTION!AF17+(1-12_UTILITY!$C$15)*06_CONSTRUCTION!AF18/06_CONSTRUCTION!AF20)/1000</f>
        <v>-2781.13854935729</v>
      </c>
      <c r="AG38" s="34" t="n">
        <f aca="false">-12_UTILITY!AG26*12_UTILITY!$C$14*(12_UTILITY!$C$15*06_CONSTRUCTION!AG17+(1-12_UTILITY!$C$15)*06_CONSTRUCTION!AG18/06_CONSTRUCTION!AG20)/1000</f>
        <v>-2962.79608377724</v>
      </c>
      <c r="AH38" s="34" t="n">
        <f aca="false">-12_UTILITY!AH26*12_UTILITY!$C$14*(12_UTILITY!$C$15*06_CONSTRUCTION!AH17+(1-12_UTILITY!$C$15)*06_CONSTRUCTION!AH18/06_CONSTRUCTION!AH20)/1000</f>
        <v>-3156.3200408245</v>
      </c>
      <c r="AI38" s="34" t="n">
        <f aca="false">-12_UTILITY!AI26*12_UTILITY!$C$14*(12_UTILITY!$C$15*06_CONSTRUCTION!AI17+(1-12_UTILITY!$C$15)*06_CONSTRUCTION!AI18/06_CONSTRUCTION!AI20)/1000</f>
        <v>-3362.4856348352</v>
      </c>
      <c r="AJ38" s="34" t="n">
        <f aca="false">-12_UTILITY!AJ26*12_UTILITY!$C$14*(12_UTILITY!$C$15*06_CONSTRUCTION!AJ17+(1-12_UTILITY!$C$15)*06_CONSTRUCTION!AJ18/06_CONSTRUCTION!AJ20)/1000</f>
        <v>-3582.11872780043</v>
      </c>
      <c r="AK38" s="34" t="n">
        <f aca="false">-12_UTILITY!AK26*12_UTILITY!$C$14*(12_UTILITY!$C$15*06_CONSTRUCTION!AK17+(1-12_UTILITY!$C$15)*06_CONSTRUCTION!AK18/06_CONSTRUCTION!AK20)/1000</f>
        <v>-3816.09913863791</v>
      </c>
      <c r="AL38" s="34" t="n">
        <f aca="false">-12_UTILITY!AL26*12_UTILITY!$C$14*(12_UTILITY!$C$15*06_CONSTRUCTION!AL17+(1-12_UTILITY!$C$15)*06_CONSTRUCTION!AL18/06_CONSTRUCTION!AL20)/1000</f>
        <v>-4065.36416870613</v>
      </c>
      <c r="AM38" s="34" t="n">
        <f aca="false">-12_UTILITY!AM26*12_UTILITY!$C$14*(12_UTILITY!$C$15*06_CONSTRUCTION!AM17+(1-12_UTILITY!$C$15)*06_CONSTRUCTION!AM18/06_CONSTRUCTION!AM20)/1000</f>
        <v>-4330.91235769232</v>
      </c>
      <c r="AN38" s="34" t="n">
        <f aca="false">-12_UTILITY!AN26*12_UTILITY!$C$14*(12_UTILITY!$C$15*06_CONSTRUCTION!AN17+(1-12_UTILITY!$C$15)*06_CONSTRUCTION!AN18/06_CONSTRUCTION!AN20)/1000</f>
        <v>-4613.80748492932</v>
      </c>
      <c r="AO38" s="34" t="n">
        <f aca="false">-12_UTILITY!AO26*12_UTILITY!$C$14*(12_UTILITY!$C$15*06_CONSTRUCTION!AO17+(1-12_UTILITY!$C$15)*06_CONSTRUCTION!AO18/06_CONSTRUCTION!AO20)/1000</f>
        <v>-4915.18283218005</v>
      </c>
      <c r="AP38" s="34" t="n">
        <f aca="false">-12_UTILITY!AP26*12_UTILITY!$C$14*(12_UTILITY!$C$15*06_CONSTRUCTION!AP17+(1-12_UTILITY!$C$15)*06_CONSTRUCTION!AP18/06_CONSTRUCTION!AP20)/1000</f>
        <v>-5236.24572497686</v>
      </c>
      <c r="AQ38" s="34" t="n">
        <f aca="false">-12_UTILITY!AQ26*12_UTILITY!$C$14*(12_UTILITY!$C$15*06_CONSTRUCTION!AQ17+(1-12_UTILITY!$C$15)*06_CONSTRUCTION!AQ18/06_CONSTRUCTION!AQ20)/1000</f>
        <v>-5578.28237071945</v>
      </c>
      <c r="AR38" s="34" t="n">
        <f aca="false">-12_UTILITY!AR26*12_UTILITY!$C$14*(12_UTILITY!$C$15*06_CONSTRUCTION!AR17+(1-12_UTILITY!$C$15)*06_CONSTRUCTION!AR18/06_CONSTRUCTION!AR20)/1000</f>
        <v>-5942.66301292517</v>
      </c>
    </row>
    <row r="39" customFormat="false" ht="15" hidden="false" customHeight="false" outlineLevel="0" collapsed="false">
      <c r="A39" s="8" t="s">
        <v>445</v>
      </c>
      <c r="B39" s="8" t="s">
        <v>84</v>
      </c>
      <c r="E39" s="34" t="n">
        <f aca="false">-12_UTILITY!$C$18</f>
        <v>-85</v>
      </c>
      <c r="F39" s="34" t="n">
        <f aca="false">-12_UTILITY!$C$18</f>
        <v>-85</v>
      </c>
      <c r="G39" s="34" t="n">
        <f aca="false">-12_UTILITY!$C$18</f>
        <v>-85</v>
      </c>
      <c r="H39" s="34" t="n">
        <f aca="false">-12_UTILITY!$C$18</f>
        <v>-85</v>
      </c>
      <c r="I39" s="34" t="n">
        <f aca="false">-12_UTILITY!$C$18</f>
        <v>-85</v>
      </c>
      <c r="J39" s="34" t="n">
        <f aca="false">-12_UTILITY!$C$18</f>
        <v>-85</v>
      </c>
      <c r="K39" s="34" t="n">
        <f aca="false">-12_UTILITY!$C$18</f>
        <v>-85</v>
      </c>
      <c r="L39" s="34" t="n">
        <f aca="false">-12_UTILITY!$C$18</f>
        <v>-85</v>
      </c>
      <c r="M39" s="34" t="n">
        <f aca="false">-12_UTILITY!$C$18</f>
        <v>-85</v>
      </c>
      <c r="N39" s="34" t="n">
        <f aca="false">-12_UTILITY!$C$18</f>
        <v>-85</v>
      </c>
      <c r="O39" s="34" t="n">
        <f aca="false">-12_UTILITY!$C$18</f>
        <v>-85</v>
      </c>
      <c r="P39" s="34" t="n">
        <f aca="false">-12_UTILITY!$C$18</f>
        <v>-85</v>
      </c>
      <c r="Q39" s="34" t="n">
        <f aca="false">-12_UTILITY!$C$18</f>
        <v>-85</v>
      </c>
      <c r="R39" s="34" t="n">
        <f aca="false">-12_UTILITY!$C$18</f>
        <v>-85</v>
      </c>
      <c r="S39" s="34" t="n">
        <f aca="false">-12_UTILITY!$C$18</f>
        <v>-85</v>
      </c>
      <c r="T39" s="34" t="n">
        <f aca="false">-12_UTILITY!$C$18</f>
        <v>-85</v>
      </c>
      <c r="U39" s="34" t="n">
        <f aca="false">-12_UTILITY!$C$18</f>
        <v>-85</v>
      </c>
      <c r="V39" s="34" t="n">
        <f aca="false">-12_UTILITY!$C$18</f>
        <v>-85</v>
      </c>
      <c r="W39" s="34" t="n">
        <f aca="false">-12_UTILITY!$C$18</f>
        <v>-85</v>
      </c>
      <c r="X39" s="34" t="n">
        <f aca="false">-12_UTILITY!$C$18</f>
        <v>-85</v>
      </c>
      <c r="Y39" s="34" t="n">
        <f aca="false">-12_UTILITY!$C$18</f>
        <v>-85</v>
      </c>
      <c r="Z39" s="34" t="n">
        <f aca="false">-12_UTILITY!$C$18</f>
        <v>-85</v>
      </c>
      <c r="AA39" s="34" t="n">
        <f aca="false">-12_UTILITY!$C$18</f>
        <v>-85</v>
      </c>
      <c r="AB39" s="34" t="n">
        <f aca="false">-12_UTILITY!$C$18</f>
        <v>-85</v>
      </c>
      <c r="AC39" s="34" t="n">
        <f aca="false">-12_UTILITY!$C$18</f>
        <v>-85</v>
      </c>
      <c r="AD39" s="34" t="n">
        <f aca="false">-12_UTILITY!$C$18</f>
        <v>-85</v>
      </c>
      <c r="AE39" s="34" t="n">
        <f aca="false">-12_UTILITY!$C$18</f>
        <v>-85</v>
      </c>
      <c r="AF39" s="34" t="n">
        <f aca="false">-12_UTILITY!$C$18</f>
        <v>-85</v>
      </c>
      <c r="AG39" s="34" t="n">
        <f aca="false">-12_UTILITY!$C$18</f>
        <v>-85</v>
      </c>
      <c r="AH39" s="34" t="n">
        <f aca="false">-12_UTILITY!$C$18</f>
        <v>-85</v>
      </c>
      <c r="AI39" s="34" t="n">
        <f aca="false">-12_UTILITY!$C$18</f>
        <v>-85</v>
      </c>
      <c r="AJ39" s="34" t="n">
        <f aca="false">-12_UTILITY!$C$18</f>
        <v>-85</v>
      </c>
      <c r="AK39" s="34" t="n">
        <f aca="false">-12_UTILITY!$C$18</f>
        <v>-85</v>
      </c>
      <c r="AL39" s="34" t="n">
        <f aca="false">-12_UTILITY!$C$18</f>
        <v>-85</v>
      </c>
      <c r="AM39" s="34" t="n">
        <f aca="false">-12_UTILITY!$C$18</f>
        <v>-85</v>
      </c>
      <c r="AN39" s="34" t="n">
        <f aca="false">-12_UTILITY!$C$18</f>
        <v>-85</v>
      </c>
      <c r="AO39" s="34" t="n">
        <f aca="false">-12_UTILITY!$C$18</f>
        <v>-85</v>
      </c>
      <c r="AP39" s="34" t="n">
        <f aca="false">-12_UTILITY!$C$18</f>
        <v>-85</v>
      </c>
      <c r="AQ39" s="34" t="n">
        <f aca="false">-12_UTILITY!$C$18</f>
        <v>-85</v>
      </c>
      <c r="AR39" s="34" t="n">
        <f aca="false">-12_UTILITY!$C$18</f>
        <v>-85</v>
      </c>
    </row>
    <row r="40" customFormat="false" ht="15" hidden="false" customHeight="false" outlineLevel="0" collapsed="false">
      <c r="A40" s="4" t="s">
        <v>446</v>
      </c>
      <c r="B40" s="8" t="s">
        <v>84</v>
      </c>
      <c r="E40" s="50" t="n">
        <f aca="false">12_UTILITY!E35+12_UTILITY!E36+12_UTILITY!E37+12_UTILITY!E38+12_UTILITY!E39</f>
        <v>151.364683511502</v>
      </c>
      <c r="F40" s="50" t="n">
        <f aca="false">12_UTILITY!F35+12_UTILITY!F36+12_UTILITY!F37+12_UTILITY!F38+12_UTILITY!F39</f>
        <v>167.063982546379</v>
      </c>
      <c r="G40" s="50" t="n">
        <f aca="false">12_UTILITY!G35+12_UTILITY!G36+12_UTILITY!G37+12_UTILITY!G38+12_UTILITY!G39</f>
        <v>183.77286099006</v>
      </c>
      <c r="H40" s="50" t="n">
        <f aca="false">12_UTILITY!H35+12_UTILITY!H36+12_UTILITY!H37+12_UTILITY!H38+12_UTILITY!H39</f>
        <v>201.555610106276</v>
      </c>
      <c r="I40" s="50" t="n">
        <f aca="false">12_UTILITY!I35+12_UTILITY!I36+12_UTILITY!I37+12_UTILITY!I38+12_UTILITY!I39</f>
        <v>220.480601253486</v>
      </c>
      <c r="J40" s="50" t="n">
        <f aca="false">12_UTILITY!J35+12_UTILITY!J36+12_UTILITY!J37+12_UTILITY!J38+12_UTILITY!J39</f>
        <v>348.942234410922</v>
      </c>
      <c r="K40" s="50" t="n">
        <f aca="false">12_UTILITY!K35+12_UTILITY!K36+12_UTILITY!K37+12_UTILITY!K38+12_UTILITY!K39</f>
        <v>391.894522395073</v>
      </c>
      <c r="L40" s="50" t="n">
        <f aca="false">12_UTILITY!L35+12_UTILITY!L36+12_UTILITY!L37+12_UTILITY!L38+12_UTILITY!L39</f>
        <v>417.151090189186</v>
      </c>
      <c r="M40" s="50" t="n">
        <f aca="false">12_UTILITY!M35+12_UTILITY!M36+12_UTILITY!M37+12_UTILITY!M38+12_UTILITY!M39</f>
        <v>443.915831884832</v>
      </c>
      <c r="N40" s="50" t="n">
        <f aca="false">12_UTILITY!N35+12_UTILITY!N36+12_UTILITY!N37+12_UTILITY!N38+12_UTILITY!N39</f>
        <v>472.28261233239</v>
      </c>
      <c r="O40" s="50" t="n">
        <f aca="false">12_UTILITY!O35+12_UTILITY!O36+12_UTILITY!O37+12_UTILITY!O38+12_UTILITY!O39</f>
        <v>502.351211142113</v>
      </c>
      <c r="P40" s="50" t="n">
        <f aca="false">12_UTILITY!P35+12_UTILITY!P36+12_UTILITY!P37+12_UTILITY!P38+12_UTILITY!P39</f>
        <v>534.227696565811</v>
      </c>
      <c r="Q40" s="50" t="n">
        <f aca="false">12_UTILITY!Q35+12_UTILITY!Q36+12_UTILITY!Q37+12_UTILITY!Q38+12_UTILITY!Q39</f>
        <v>568.024823019099</v>
      </c>
      <c r="R40" s="50" t="n">
        <f aca="false">12_UTILITY!R35+12_UTILITY!R36+12_UTILITY!R37+12_UTILITY!R38+12_UTILITY!R39</f>
        <v>603.862453738068</v>
      </c>
      <c r="S40" s="50" t="n">
        <f aca="false">12_UTILITY!S35+12_UTILITY!S36+12_UTILITY!S37+12_UTILITY!S38+12_UTILITY!S39</f>
        <v>641.868010158624</v>
      </c>
      <c r="T40" s="50" t="n">
        <f aca="false">12_UTILITY!T35+12_UTILITY!T36+12_UTILITY!T37+12_UTILITY!T38+12_UTILITY!T39</f>
        <v>682.176949706918</v>
      </c>
      <c r="U40" s="50" t="n">
        <f aca="false">12_UTILITY!U35+12_UTILITY!U36+12_UTILITY!U37+12_UTILITY!U38+12_UTILITY!U39</f>
        <v>724.933273795962</v>
      </c>
      <c r="V40" s="50" t="n">
        <f aca="false">12_UTILITY!V35+12_UTILITY!V36+12_UTILITY!V37+12_UTILITY!V38+12_UTILITY!V39</f>
        <v>770.290067936758</v>
      </c>
      <c r="W40" s="50" t="n">
        <f aca="false">12_UTILITY!W35+12_UTILITY!W36+12_UTILITY!W37+12_UTILITY!W38+12_UTILITY!W39</f>
        <v>818.410075992787</v>
      </c>
      <c r="X40" s="50" t="n">
        <f aca="false">12_UTILITY!X35+12_UTILITY!X36+12_UTILITY!X37+12_UTILITY!X38+12_UTILITY!X39</f>
        <v>869.466310734672</v>
      </c>
      <c r="Y40" s="50" t="n">
        <f aca="false">12_UTILITY!Y35+12_UTILITY!Y36+12_UTILITY!Y37+12_UTILITY!Y38+12_UTILITY!Y39</f>
        <v>923.64270298804</v>
      </c>
      <c r="Z40" s="50" t="n">
        <f aca="false">12_UTILITY!Z35+12_UTILITY!Z36+12_UTILITY!Z37+12_UTILITY!Z38+12_UTILITY!Z39</f>
        <v>981.134791812216</v>
      </c>
      <c r="AA40" s="50" t="n">
        <f aca="false">12_UTILITY!AA35+12_UTILITY!AA36+12_UTILITY!AA37+12_UTILITY!AA38+12_UTILITY!AA39</f>
        <v>1042.15045830127</v>
      </c>
      <c r="AB40" s="50" t="n">
        <f aca="false">12_UTILITY!AB35+12_UTILITY!AB36+12_UTILITY!AB37+12_UTILITY!AB38+12_UTILITY!AB39</f>
        <v>1106.91070576244</v>
      </c>
      <c r="AC40" s="50" t="n">
        <f aca="false">12_UTILITY!AC35+12_UTILITY!AC36+12_UTILITY!AC37+12_UTILITY!AC38+12_UTILITY!AC39</f>
        <v>1175.65048920069</v>
      </c>
      <c r="AD40" s="50" t="n">
        <f aca="false">12_UTILITY!AD35+12_UTILITY!AD36+12_UTILITY!AD37+12_UTILITY!AD38+12_UTILITY!AD39</f>
        <v>1248.61959722318</v>
      </c>
      <c r="AE40" s="50" t="n">
        <f aca="false">12_UTILITY!AE35+12_UTILITY!AE36+12_UTILITY!AE37+12_UTILITY!AE38+12_UTILITY!AE39</f>
        <v>1326.08358967343</v>
      </c>
      <c r="AF40" s="50" t="n">
        <f aca="false">12_UTILITY!AF35+12_UTILITY!AF36+12_UTILITY!AF37+12_UTILITY!AF38+12_UTILITY!AF39</f>
        <v>1408.32479451425</v>
      </c>
      <c r="AG40" s="50" t="n">
        <f aca="false">12_UTILITY!AG35+12_UTILITY!AG36+12_UTILITY!AG37+12_UTILITY!AG38+12_UTILITY!AG39</f>
        <v>1495.64336770011</v>
      </c>
      <c r="AH40" s="50" t="n">
        <f aca="false">12_UTILITY!AH35+12_UTILITY!AH36+12_UTILITY!AH37+12_UTILITY!AH38+12_UTILITY!AH39</f>
        <v>1588.35842001561</v>
      </c>
      <c r="AI40" s="50" t="n">
        <f aca="false">12_UTILITY!AI35+12_UTILITY!AI36+12_UTILITY!AI37+12_UTILITY!AI38+12_UTILITY!AI39</f>
        <v>1686.80921510769</v>
      </c>
      <c r="AJ40" s="50" t="n">
        <f aca="false">12_UTILITY!AJ35+12_UTILITY!AJ36+12_UTILITY!AJ37+12_UTILITY!AJ38+12_UTILITY!AJ39</f>
        <v>1791.35644320564</v>
      </c>
      <c r="AK40" s="50" t="n">
        <f aca="false">12_UTILITY!AK35+12_UTILITY!AK36+12_UTILITY!AK37+12_UTILITY!AK38+12_UTILITY!AK39</f>
        <v>1902.38357530642</v>
      </c>
      <c r="AL40" s="50" t="n">
        <f aca="false">12_UTILITY!AL35+12_UTILITY!AL36+12_UTILITY!AL37+12_UTILITY!AL38+12_UTILITY!AL39</f>
        <v>2020.29830290411</v>
      </c>
      <c r="AM40" s="50" t="n">
        <f aca="false">12_UTILITY!AM35+12_UTILITY!AM36+12_UTILITY!AM37+12_UTILITY!AM38+12_UTILITY!AM39</f>
        <v>2145.53406866233</v>
      </c>
      <c r="AN40" s="50" t="n">
        <f aca="false">12_UTILITY!AN35+12_UTILITY!AN36+12_UTILITY!AN37+12_UTILITY!AN38+12_UTILITY!AN39</f>
        <v>2055.28023592084</v>
      </c>
      <c r="AO40" s="50" t="n">
        <f aca="false">12_UTILITY!AO35+12_UTILITY!AO36+12_UTILITY!AO37+12_UTILITY!AO38+12_UTILITY!AO39</f>
        <v>2192.35698121134</v>
      </c>
      <c r="AP40" s="50" t="n">
        <f aca="false">12_UTILITY!AP35+12_UTILITY!AP36+12_UTILITY!AP37+12_UTILITY!AP38+12_UTILITY!AP39</f>
        <v>2338.14690930224</v>
      </c>
      <c r="AQ40" s="50" t="n">
        <f aca="false">12_UTILITY!AQ35+12_UTILITY!AQ36+12_UTILITY!AQ37+12_UTILITY!AQ38+12_UTILITY!AQ39</f>
        <v>2493.20230205373</v>
      </c>
      <c r="AR40" s="50" t="n">
        <f aca="false">12_UTILITY!AR35+12_UTILITY!AR36+12_UTILITY!AR37+12_UTILITY!AR38+12_UTILITY!AR39</f>
        <v>2658.11039573705</v>
      </c>
    </row>
    <row r="41" customFormat="false" ht="15" hidden="false" customHeight="false" outlineLevel="0" collapsed="false">
      <c r="A41" s="4" t="s">
        <v>447</v>
      </c>
      <c r="B41" s="8" t="s">
        <v>84</v>
      </c>
      <c r="E41" s="50" t="n">
        <f aca="false">MAX(0,12_UTILITY!E40)/12_UTILITY!$C$21</f>
        <v>126.137236259585</v>
      </c>
      <c r="F41" s="50" t="n">
        <f aca="false">MAX(0,12_UTILITY!F40)/12_UTILITY!$C$21</f>
        <v>139.219985455316</v>
      </c>
      <c r="G41" s="50" t="n">
        <f aca="false">MAX(0,12_UTILITY!G40)/12_UTILITY!$C$21</f>
        <v>153.14405082505</v>
      </c>
      <c r="H41" s="50" t="n">
        <f aca="false">MAX(0,12_UTILITY!H40)/12_UTILITY!$C$21</f>
        <v>167.963008421896</v>
      </c>
      <c r="I41" s="50" t="n">
        <f aca="false">MAX(0,12_UTILITY!I40)/12_UTILITY!$C$21</f>
        <v>183.733834377905</v>
      </c>
      <c r="J41" s="50" t="n">
        <f aca="false">MAX(0,12_UTILITY!J40)/12_UTILITY!$C$21</f>
        <v>290.785195342435</v>
      </c>
      <c r="K41" s="50" t="n">
        <f aca="false">MAX(0,12_UTILITY!K40)/12_UTILITY!$C$21</f>
        <v>326.578768662561</v>
      </c>
      <c r="L41" s="50" t="n">
        <f aca="false">MAX(0,12_UTILITY!L40)/12_UTILITY!$C$21</f>
        <v>347.625908490988</v>
      </c>
      <c r="M41" s="50" t="n">
        <f aca="false">MAX(0,12_UTILITY!M40)/12_UTILITY!$C$21</f>
        <v>369.929859904027</v>
      </c>
      <c r="N41" s="50" t="n">
        <f aca="false">MAX(0,12_UTILITY!N40)/12_UTILITY!$C$21</f>
        <v>393.568843610325</v>
      </c>
      <c r="O41" s="50" t="n">
        <f aca="false">MAX(0,12_UTILITY!O40)/12_UTILITY!$C$21</f>
        <v>418.626009285094</v>
      </c>
      <c r="P41" s="50" t="n">
        <f aca="false">MAX(0,12_UTILITY!P40)/12_UTILITY!$C$21</f>
        <v>445.189747138176</v>
      </c>
      <c r="Q41" s="50" t="n">
        <f aca="false">MAX(0,12_UTILITY!Q40)/12_UTILITY!$C$21</f>
        <v>473.354019182582</v>
      </c>
      <c r="R41" s="50" t="n">
        <f aca="false">MAX(0,12_UTILITY!R40)/12_UTILITY!$C$21</f>
        <v>503.21871144839</v>
      </c>
      <c r="S41" s="50" t="n">
        <f aca="false">MAX(0,12_UTILITY!S40)/12_UTILITY!$C$21</f>
        <v>534.89000846552</v>
      </c>
      <c r="T41" s="50" t="n">
        <f aca="false">MAX(0,12_UTILITY!T40)/12_UTILITY!$C$21</f>
        <v>568.480791422432</v>
      </c>
      <c r="U41" s="50" t="n">
        <f aca="false">MAX(0,12_UTILITY!U40)/12_UTILITY!$C$21</f>
        <v>604.111061496635</v>
      </c>
      <c r="V41" s="50" t="n">
        <f aca="false">MAX(0,12_UTILITY!V40)/12_UTILITY!$C$21</f>
        <v>641.908389947298</v>
      </c>
      <c r="W41" s="50" t="n">
        <f aca="false">MAX(0,12_UTILITY!W40)/12_UTILITY!$C$21</f>
        <v>682.008396660656</v>
      </c>
      <c r="X41" s="50" t="n">
        <f aca="false">MAX(0,12_UTILITY!X40)/12_UTILITY!$C$21</f>
        <v>724.55525894556</v>
      </c>
      <c r="Y41" s="50" t="n">
        <f aca="false">MAX(0,12_UTILITY!Y40)/12_UTILITY!$C$21</f>
        <v>769.702252490034</v>
      </c>
      <c r="Z41" s="50" t="n">
        <f aca="false">MAX(0,12_UTILITY!Z40)/12_UTILITY!$C$21</f>
        <v>817.61232651018</v>
      </c>
      <c r="AA41" s="50" t="n">
        <f aca="false">MAX(0,12_UTILITY!AA40)/12_UTILITY!$C$21</f>
        <v>868.458715251061</v>
      </c>
      <c r="AB41" s="50" t="n">
        <f aca="false">MAX(0,12_UTILITY!AB40)/12_UTILITY!$C$21</f>
        <v>922.425588135364</v>
      </c>
      <c r="AC41" s="50" t="n">
        <f aca="false">MAX(0,12_UTILITY!AC40)/12_UTILITY!$C$21</f>
        <v>979.708741000579</v>
      </c>
      <c r="AD41" s="50" t="n">
        <f aca="false">MAX(0,12_UTILITY!AD40)/12_UTILITY!$C$21</f>
        <v>1040.51633101932</v>
      </c>
      <c r="AE41" s="50" t="n">
        <f aca="false">MAX(0,12_UTILITY!AE40)/12_UTILITY!$C$21</f>
        <v>1105.06965806119</v>
      </c>
      <c r="AF41" s="50" t="n">
        <f aca="false">MAX(0,12_UTILITY!AF40)/12_UTILITY!$C$21</f>
        <v>1173.60399542854</v>
      </c>
      <c r="AG41" s="50" t="n">
        <f aca="false">MAX(0,12_UTILITY!AG40)/12_UTILITY!$C$21</f>
        <v>1246.36947308343</v>
      </c>
      <c r="AH41" s="50" t="n">
        <f aca="false">MAX(0,12_UTILITY!AH40)/12_UTILITY!$C$21</f>
        <v>1323.63201667968</v>
      </c>
      <c r="AI41" s="50" t="n">
        <f aca="false">MAX(0,12_UTILITY!AI40)/12_UTILITY!$C$21</f>
        <v>1405.67434592307</v>
      </c>
      <c r="AJ41" s="50" t="n">
        <f aca="false">MAX(0,12_UTILITY!AJ40)/12_UTILITY!$C$21</f>
        <v>1492.7970360047</v>
      </c>
      <c r="AK41" s="50" t="n">
        <f aca="false">MAX(0,12_UTILITY!AK40)/12_UTILITY!$C$21</f>
        <v>1585.31964608868</v>
      </c>
      <c r="AL41" s="50" t="n">
        <f aca="false">MAX(0,12_UTILITY!AL40)/12_UTILITY!$C$21</f>
        <v>1683.58191908676</v>
      </c>
      <c r="AM41" s="50" t="n">
        <f aca="false">MAX(0,12_UTILITY!AM40)/12_UTILITY!$C$21</f>
        <v>1787.94505721861</v>
      </c>
      <c r="AN41" s="50" t="n">
        <f aca="false">MAX(0,12_UTILITY!AN40)/12_UTILITY!$C$21</f>
        <v>1712.73352993403</v>
      </c>
      <c r="AO41" s="50" t="n">
        <f aca="false">MAX(0,12_UTILITY!AO40)/12_UTILITY!$C$21</f>
        <v>1826.96415100945</v>
      </c>
      <c r="AP41" s="50" t="n">
        <f aca="false">MAX(0,12_UTILITY!AP40)/12_UTILITY!$C$21</f>
        <v>1948.45575775187</v>
      </c>
      <c r="AQ41" s="50" t="n">
        <f aca="false">MAX(0,12_UTILITY!AQ40)/12_UTILITY!$C$21</f>
        <v>2077.66858504477</v>
      </c>
      <c r="AR41" s="50" t="n">
        <f aca="false">MAX(0,12_UTILITY!AR40)/12_UTILITY!$C$21</f>
        <v>2215.09199644754</v>
      </c>
    </row>
    <row r="42" customFormat="false" ht="15" hidden="false" customHeight="false" outlineLevel="0" collapsed="false">
      <c r="A42" s="8" t="s">
        <v>448</v>
      </c>
      <c r="B42" s="8" t="s">
        <v>84</v>
      </c>
      <c r="E42" s="57" t="n">
        <f aca="false">16_REVENUE!E15</f>
        <v>0</v>
      </c>
      <c r="F42" s="57" t="n">
        <f aca="false">16_REVENUE!F15</f>
        <v>0</v>
      </c>
      <c r="G42" s="57" t="n">
        <f aca="false">16_REVENUE!G15</f>
        <v>0</v>
      </c>
      <c r="H42" s="57" t="n">
        <f aca="false">16_REVENUE!H15</f>
        <v>0</v>
      </c>
      <c r="I42" s="57" t="n">
        <f aca="false">16_REVENUE!I15</f>
        <v>0</v>
      </c>
      <c r="J42" s="57" t="n">
        <f aca="false">16_REVENUE!J15</f>
        <v>129.741919549119</v>
      </c>
      <c r="K42" s="57" t="n">
        <f aca="false">16_REVENUE!K15</f>
        <v>154.629503458943</v>
      </c>
      <c r="L42" s="57" t="n">
        <f aca="false">16_REVENUE!L15</f>
        <v>156.661293528122</v>
      </c>
      <c r="M42" s="57" t="n">
        <f aca="false">16_REVENUE!M15</f>
        <v>158.733719398684</v>
      </c>
      <c r="N42" s="57" t="n">
        <f aca="false">16_REVENUE!N15</f>
        <v>160.847593786658</v>
      </c>
      <c r="O42" s="57" t="n">
        <f aca="false">16_REVENUE!O15</f>
        <v>163.003745662391</v>
      </c>
      <c r="P42" s="57" t="n">
        <f aca="false">16_REVENUE!P15</f>
        <v>165.203020575639</v>
      </c>
      <c r="Q42" s="57" t="n">
        <f aca="false">16_REVENUE!Q15</f>
        <v>167.446280987152</v>
      </c>
      <c r="R42" s="57" t="n">
        <f aca="false">16_REVENUE!R15</f>
        <v>169.734406606895</v>
      </c>
      <c r="S42" s="57" t="n">
        <f aca="false">16_REVENUE!S15</f>
        <v>172.068294739033</v>
      </c>
      <c r="T42" s="57" t="n">
        <f aca="false">16_REVENUE!T15</f>
        <v>174.448860633814</v>
      </c>
      <c r="U42" s="57" t="n">
        <f aca="false">16_REVENUE!U15</f>
        <v>176.87703784649</v>
      </c>
      <c r="V42" s="57" t="n">
        <f aca="false">16_REVENUE!V15</f>
        <v>179.35377860342</v>
      </c>
      <c r="W42" s="57" t="n">
        <f aca="false">16_REVENUE!W15</f>
        <v>181.880054175488</v>
      </c>
      <c r="X42" s="57" t="n">
        <f aca="false">16_REVENUE!X15</f>
        <v>184.456855258998</v>
      </c>
      <c r="Y42" s="57" t="n">
        <f aca="false">16_REVENUE!Y15</f>
        <v>187.085192364178</v>
      </c>
      <c r="Z42" s="57" t="n">
        <f aca="false">16_REVENUE!Z15</f>
        <v>189.766096211461</v>
      </c>
      <c r="AA42" s="57" t="n">
        <f aca="false">16_REVENUE!AA15</f>
        <v>192.50061813569</v>
      </c>
      <c r="AB42" s="57" t="n">
        <f aca="false">16_REVENUE!AB15</f>
        <v>195.289830498404</v>
      </c>
      <c r="AC42" s="57" t="n">
        <f aca="false">16_REVENUE!AC15</f>
        <v>198.134827108372</v>
      </c>
      <c r="AD42" s="57" t="n">
        <f aca="false">16_REVENUE!AD15</f>
        <v>201.03672365054</v>
      </c>
      <c r="AE42" s="57" t="n">
        <f aca="false">16_REVENUE!AE15</f>
        <v>203.996658123551</v>
      </c>
      <c r="AF42" s="57" t="n">
        <f aca="false">16_REVENUE!AF15</f>
        <v>207.015791286022</v>
      </c>
      <c r="AG42" s="57" t="n">
        <f aca="false">16_REVENUE!AG15</f>
        <v>210.095307111742</v>
      </c>
      <c r="AH42" s="57" t="n">
        <f aca="false">16_REVENUE!AH15</f>
        <v>213.236413253977</v>
      </c>
      <c r="AI42" s="57" t="n">
        <f aca="false">16_REVENUE!AI15</f>
        <v>216.440341519056</v>
      </c>
      <c r="AJ42" s="57" t="n">
        <f aca="false">16_REVENUE!AJ15</f>
        <v>219.708348349438</v>
      </c>
      <c r="AK42" s="57" t="n">
        <f aca="false">16_REVENUE!AK15</f>
        <v>223.041715316426</v>
      </c>
      <c r="AL42" s="57" t="n">
        <f aca="false">16_REVENUE!AL15</f>
        <v>226.441749622755</v>
      </c>
      <c r="AM42" s="57" t="n">
        <f aca="false">16_REVENUE!AM15</f>
        <v>229.90978461521</v>
      </c>
      <c r="AN42" s="57" t="n">
        <f aca="false">16_REVENUE!AN15</f>
        <v>0</v>
      </c>
      <c r="AO42" s="57" t="n">
        <f aca="false">16_REVENUE!AO15</f>
        <v>0</v>
      </c>
      <c r="AP42" s="57" t="n">
        <f aca="false">16_REVENUE!AP15</f>
        <v>0</v>
      </c>
      <c r="AQ42" s="57" t="n">
        <f aca="false">16_REVENUE!AQ15</f>
        <v>0</v>
      </c>
      <c r="AR42" s="57" t="n">
        <f aca="false">16_REVENUE!AR15</f>
        <v>0</v>
      </c>
    </row>
    <row r="43" customFormat="false" ht="15" hidden="false" customHeight="false" outlineLevel="0" collapsed="false">
      <c r="A43" s="4" t="s">
        <v>449</v>
      </c>
      <c r="B43" s="8" t="s">
        <v>84</v>
      </c>
      <c r="C43" s="34" t="n">
        <f aca="false">SUM(12_UTILITY!$E$43:$AR$43)</f>
        <v>0</v>
      </c>
      <c r="E43" s="50" t="n">
        <f aca="false">06_CONSTRUCTION!E14*MAX(0,12_UTILITY!E42-12_UTILITY!E41)</f>
        <v>0</v>
      </c>
      <c r="F43" s="50" t="n">
        <f aca="false">06_CONSTRUCTION!F14*MAX(0,12_UTILITY!F42-12_UTILITY!F41)</f>
        <v>0</v>
      </c>
      <c r="G43" s="50" t="n">
        <f aca="false">06_CONSTRUCTION!G14*MAX(0,12_UTILITY!G42-12_UTILITY!G41)</f>
        <v>0</v>
      </c>
      <c r="H43" s="50" t="n">
        <f aca="false">06_CONSTRUCTION!H14*MAX(0,12_UTILITY!H42-12_UTILITY!H41)</f>
        <v>0</v>
      </c>
      <c r="I43" s="50" t="n">
        <f aca="false">06_CONSTRUCTION!I14*MAX(0,12_UTILITY!I42-12_UTILITY!I41)</f>
        <v>0</v>
      </c>
      <c r="J43" s="50" t="n">
        <f aca="false">06_CONSTRUCTION!J14*MAX(0,12_UTILITY!J42-12_UTILITY!J41)</f>
        <v>0</v>
      </c>
      <c r="K43" s="50" t="n">
        <f aca="false">06_CONSTRUCTION!K14*MAX(0,12_UTILITY!K42-12_UTILITY!K41)</f>
        <v>0</v>
      </c>
      <c r="L43" s="50" t="n">
        <f aca="false">06_CONSTRUCTION!L14*MAX(0,12_UTILITY!L42-12_UTILITY!L41)</f>
        <v>0</v>
      </c>
      <c r="M43" s="50" t="n">
        <f aca="false">06_CONSTRUCTION!M14*MAX(0,12_UTILITY!M42-12_UTILITY!M41)</f>
        <v>0</v>
      </c>
      <c r="N43" s="50" t="n">
        <f aca="false">06_CONSTRUCTION!N14*MAX(0,12_UTILITY!N42-12_UTILITY!N41)</f>
        <v>0</v>
      </c>
      <c r="O43" s="50" t="n">
        <f aca="false">06_CONSTRUCTION!O14*MAX(0,12_UTILITY!O42-12_UTILITY!O41)</f>
        <v>0</v>
      </c>
      <c r="P43" s="50" t="n">
        <f aca="false">06_CONSTRUCTION!P14*MAX(0,12_UTILITY!P42-12_UTILITY!P41)</f>
        <v>0</v>
      </c>
      <c r="Q43" s="50" t="n">
        <f aca="false">06_CONSTRUCTION!Q14*MAX(0,12_UTILITY!Q42-12_UTILITY!Q41)</f>
        <v>0</v>
      </c>
      <c r="R43" s="50" t="n">
        <f aca="false">06_CONSTRUCTION!R14*MAX(0,12_UTILITY!R42-12_UTILITY!R41)</f>
        <v>0</v>
      </c>
      <c r="S43" s="50" t="n">
        <f aca="false">06_CONSTRUCTION!S14*MAX(0,12_UTILITY!S42-12_UTILITY!S41)</f>
        <v>0</v>
      </c>
      <c r="T43" s="50" t="n">
        <f aca="false">06_CONSTRUCTION!T14*MAX(0,12_UTILITY!T42-12_UTILITY!T41)</f>
        <v>0</v>
      </c>
      <c r="U43" s="50" t="n">
        <f aca="false">06_CONSTRUCTION!U14*MAX(0,12_UTILITY!U42-12_UTILITY!U41)</f>
        <v>0</v>
      </c>
      <c r="V43" s="50" t="n">
        <f aca="false">06_CONSTRUCTION!V14*MAX(0,12_UTILITY!V42-12_UTILITY!V41)</f>
        <v>0</v>
      </c>
      <c r="W43" s="50" t="n">
        <f aca="false">06_CONSTRUCTION!W14*MAX(0,12_UTILITY!W42-12_UTILITY!W41)</f>
        <v>0</v>
      </c>
      <c r="X43" s="50" t="n">
        <f aca="false">06_CONSTRUCTION!X14*MAX(0,12_UTILITY!X42-12_UTILITY!X41)</f>
        <v>0</v>
      </c>
      <c r="Y43" s="50" t="n">
        <f aca="false">06_CONSTRUCTION!Y14*MAX(0,12_UTILITY!Y42-12_UTILITY!Y41)</f>
        <v>0</v>
      </c>
      <c r="Z43" s="50" t="n">
        <f aca="false">06_CONSTRUCTION!Z14*MAX(0,12_UTILITY!Z42-12_UTILITY!Z41)</f>
        <v>0</v>
      </c>
      <c r="AA43" s="50" t="n">
        <f aca="false">06_CONSTRUCTION!AA14*MAX(0,12_UTILITY!AA42-12_UTILITY!AA41)</f>
        <v>0</v>
      </c>
      <c r="AB43" s="50" t="n">
        <f aca="false">06_CONSTRUCTION!AB14*MAX(0,12_UTILITY!AB42-12_UTILITY!AB41)</f>
        <v>0</v>
      </c>
      <c r="AC43" s="50" t="n">
        <f aca="false">06_CONSTRUCTION!AC14*MAX(0,12_UTILITY!AC42-12_UTILITY!AC41)</f>
        <v>0</v>
      </c>
      <c r="AD43" s="50" t="n">
        <f aca="false">06_CONSTRUCTION!AD14*MAX(0,12_UTILITY!AD42-12_UTILITY!AD41)</f>
        <v>0</v>
      </c>
      <c r="AE43" s="50" t="n">
        <f aca="false">06_CONSTRUCTION!AE14*MAX(0,12_UTILITY!AE42-12_UTILITY!AE41)</f>
        <v>0</v>
      </c>
      <c r="AF43" s="50" t="n">
        <f aca="false">06_CONSTRUCTION!AF14*MAX(0,12_UTILITY!AF42-12_UTILITY!AF41)</f>
        <v>0</v>
      </c>
      <c r="AG43" s="50" t="n">
        <f aca="false">06_CONSTRUCTION!AG14*MAX(0,12_UTILITY!AG42-12_UTILITY!AG41)</f>
        <v>0</v>
      </c>
      <c r="AH43" s="50" t="n">
        <f aca="false">06_CONSTRUCTION!AH14*MAX(0,12_UTILITY!AH42-12_UTILITY!AH41)</f>
        <v>0</v>
      </c>
      <c r="AI43" s="50" t="n">
        <f aca="false">06_CONSTRUCTION!AI14*MAX(0,12_UTILITY!AI42-12_UTILITY!AI41)</f>
        <v>0</v>
      </c>
      <c r="AJ43" s="50" t="n">
        <f aca="false">06_CONSTRUCTION!AJ14*MAX(0,12_UTILITY!AJ42-12_UTILITY!AJ41)</f>
        <v>0</v>
      </c>
      <c r="AK43" s="50" t="n">
        <f aca="false">06_CONSTRUCTION!AK14*MAX(0,12_UTILITY!AK42-12_UTILITY!AK41)</f>
        <v>0</v>
      </c>
      <c r="AL43" s="50" t="n">
        <f aca="false">06_CONSTRUCTION!AL14*MAX(0,12_UTILITY!AL42-12_UTILITY!AL41)</f>
        <v>0</v>
      </c>
      <c r="AM43" s="50" t="n">
        <f aca="false">06_CONSTRUCTION!AM14*MAX(0,12_UTILITY!AM42-12_UTILITY!AM41)</f>
        <v>0</v>
      </c>
      <c r="AN43" s="50" t="n">
        <f aca="false">06_CONSTRUCTION!AN14*MAX(0,12_UTILITY!AN42-12_UTILITY!AN41)</f>
        <v>0</v>
      </c>
      <c r="AO43" s="50" t="n">
        <f aca="false">06_CONSTRUCTION!AO14*MAX(0,12_UTILITY!AO42-12_UTILITY!AO41)</f>
        <v>0</v>
      </c>
      <c r="AP43" s="50" t="n">
        <f aca="false">06_CONSTRUCTION!AP14*MAX(0,12_UTILITY!AP42-12_UTILITY!AP41)</f>
        <v>0</v>
      </c>
      <c r="AQ43" s="50" t="n">
        <f aca="false">06_CONSTRUCTION!AQ14*MAX(0,12_UTILITY!AQ42-12_UTILITY!AQ41)</f>
        <v>0</v>
      </c>
      <c r="AR43" s="50" t="n">
        <f aca="false">06_CONSTRUCTION!AR14*MAX(0,12_UTILITY!AR42-12_UTILITY!AR41)</f>
        <v>0</v>
      </c>
    </row>
    <row r="44" customFormat="false" ht="15" hidden="false" customHeight="false" outlineLevel="0" collapsed="false">
      <c r="A44" s="8" t="s">
        <v>450</v>
      </c>
      <c r="B44" s="8" t="s">
        <v>82</v>
      </c>
      <c r="E44" s="54" t="n">
        <f aca="false">IF(12_UTILITY!E42&gt;0,12_UTILITY!E41/12_UTILITY!E42,99)</f>
        <v>99</v>
      </c>
      <c r="F44" s="54" t="n">
        <f aca="false">IF(12_UTILITY!F42&gt;0,12_UTILITY!F41/12_UTILITY!F42,99)</f>
        <v>99</v>
      </c>
      <c r="G44" s="54" t="n">
        <f aca="false">IF(12_UTILITY!G42&gt;0,12_UTILITY!G41/12_UTILITY!G42,99)</f>
        <v>99</v>
      </c>
      <c r="H44" s="54" t="n">
        <f aca="false">IF(12_UTILITY!H42&gt;0,12_UTILITY!H41/12_UTILITY!H42,99)</f>
        <v>99</v>
      </c>
      <c r="I44" s="54" t="n">
        <f aca="false">IF(12_UTILITY!I42&gt;0,12_UTILITY!I41/12_UTILITY!I42,99)</f>
        <v>99</v>
      </c>
      <c r="J44" s="54" t="n">
        <f aca="false">IF(12_UTILITY!J42&gt;0,12_UTILITY!J41/12_UTILITY!J42,99)</f>
        <v>2.24125861828602</v>
      </c>
      <c r="K44" s="54" t="n">
        <f aca="false">IF(12_UTILITY!K42&gt;0,12_UTILITY!K41/12_UTILITY!K42,99)</f>
        <v>2.11200813141894</v>
      </c>
      <c r="L44" s="54" t="n">
        <f aca="false">IF(12_UTILITY!L42&gt;0,12_UTILITY!L41/12_UTILITY!L42,99)</f>
        <v>2.21896488061735</v>
      </c>
      <c r="M44" s="54" t="n">
        <f aca="false">IF(12_UTILITY!M42&gt;0,12_UTILITY!M41/12_UTILITY!M42,99)</f>
        <v>2.33050583899499</v>
      </c>
      <c r="N44" s="54" t="n">
        <f aca="false">IF(12_UTILITY!N42&gt;0,12_UTILITY!N41/12_UTILITY!N42,99)</f>
        <v>2.44684321564884</v>
      </c>
      <c r="O44" s="54" t="n">
        <f aca="false">IF(12_UTILITY!O42&gt;0,12_UTILITY!O41/12_UTILITY!O42,99)</f>
        <v>2.56819870969186</v>
      </c>
      <c r="P44" s="54" t="n">
        <f aca="false">IF(12_UTILITY!P42&gt;0,12_UTILITY!P41/12_UTILITY!P42,99)</f>
        <v>2.69480391815441</v>
      </c>
      <c r="Q44" s="54" t="n">
        <f aca="false">IF(12_UTILITY!Q42&gt;0,12_UTILITY!Q41/12_UTILITY!Q42,99)</f>
        <v>2.82690076119936</v>
      </c>
      <c r="R44" s="54" t="n">
        <f aca="false">IF(12_UTILITY!R42&gt;0,12_UTILITY!R41/12_UTILITY!R42,99)</f>
        <v>2.96474192538844</v>
      </c>
      <c r="S44" s="54" t="n">
        <f aca="false">IF(12_UTILITY!S42&gt;0,12_UTILITY!S41/12_UTILITY!S42,99)</f>
        <v>3.10859132576841</v>
      </c>
      <c r="T44" s="54" t="n">
        <f aca="false">IF(12_UTILITY!T42&gt;0,12_UTILITY!T41/12_UTILITY!T42,99)</f>
        <v>3.25872458757832</v>
      </c>
      <c r="U44" s="54" t="n">
        <f aca="false">IF(12_UTILITY!U42&gt;0,12_UTILITY!U41/12_UTILITY!U42,99)</f>
        <v>3.41542954841282</v>
      </c>
      <c r="V44" s="54" t="n">
        <f aca="false">IF(12_UTILITY!V42&gt;0,12_UTILITY!V41/12_UTILITY!V42,99)</f>
        <v>3.57900678171193</v>
      </c>
      <c r="W44" s="54" t="n">
        <f aca="false">IF(12_UTILITY!W42&gt;0,12_UTILITY!W41/12_UTILITY!W42,99)</f>
        <v>3.74977014248422</v>
      </c>
      <c r="X44" s="54" t="n">
        <f aca="false">IF(12_UTILITY!X42&gt;0,12_UTILITY!X41/12_UTILITY!X42,99)</f>
        <v>3.92804733620881</v>
      </c>
      <c r="Y44" s="54" t="n">
        <f aca="false">IF(12_UTILITY!Y42&gt;0,12_UTILITY!Y41/12_UTILITY!Y42,99)</f>
        <v>4.11418051190145</v>
      </c>
      <c r="Z44" s="54" t="n">
        <f aca="false">IF(12_UTILITY!Z42&gt;0,12_UTILITY!Z41/12_UTILITY!Z42,99)</f>
        <v>4.30852688037116</v>
      </c>
      <c r="AA44" s="54" t="n">
        <f aca="false">IF(12_UTILITY!AA42&gt;0,12_UTILITY!AA41/12_UTILITY!AA42,99)</f>
        <v>4.51145935873774</v>
      </c>
      <c r="AB44" s="54" t="n">
        <f aca="false">IF(12_UTILITY!AB42&gt;0,12_UTILITY!AB41/12_UTILITY!AB42,99)</f>
        <v>4.723367242325</v>
      </c>
      <c r="AC44" s="54" t="n">
        <f aca="false">IF(12_UTILITY!AC42&gt;0,12_UTILITY!AC41/12_UTILITY!AC42,99)</f>
        <v>4.94465690509178</v>
      </c>
      <c r="AD44" s="54" t="n">
        <f aca="false">IF(12_UTILITY!AD42&gt;0,12_UTILITY!AD41/12_UTILITY!AD42,99)</f>
        <v>5.1757525298116</v>
      </c>
      <c r="AE44" s="54" t="n">
        <f aca="false">IF(12_UTILITY!AE42&gt;0,12_UTILITY!AE41/12_UTILITY!AE42,99)</f>
        <v>5.41709686926294</v>
      </c>
      <c r="AF44" s="54" t="n">
        <f aca="false">IF(12_UTILITY!AF42&gt;0,12_UTILITY!AF41/12_UTILITY!AF42,99)</f>
        <v>5.66915203974484</v>
      </c>
      <c r="AG44" s="54" t="n">
        <f aca="false">IF(12_UTILITY!AG42&gt;0,12_UTILITY!AG41/12_UTILITY!AG42,99)</f>
        <v>5.93240034828826</v>
      </c>
      <c r="AH44" s="54" t="n">
        <f aca="false">IF(12_UTILITY!AH42&gt;0,12_UTILITY!AH41/12_UTILITY!AH42,99)</f>
        <v>6.20734515499074</v>
      </c>
      <c r="AI44" s="54" t="n">
        <f aca="false">IF(12_UTILITY!AI42&gt;0,12_UTILITY!AI41/12_UTILITY!AI42,99)</f>
        <v>6.4945117719624</v>
      </c>
      <c r="AJ44" s="54" t="n">
        <f aca="false">IF(12_UTILITY!AJ42&gt;0,12_UTILITY!AJ41/12_UTILITY!AJ42,99)</f>
        <v>6.79444840043338</v>
      </c>
      <c r="AK44" s="54" t="n">
        <f aca="false">IF(12_UTILITY!AK42&gt;0,12_UTILITY!AK41/12_UTILITY!AK42,99)</f>
        <v>7.10772710763819</v>
      </c>
      <c r="AL44" s="54" t="n">
        <f aca="false">IF(12_UTILITY!AL42&gt;0,12_UTILITY!AL41/12_UTILITY!AL42,99)</f>
        <v>7.43494484516019</v>
      </c>
      <c r="AM44" s="54" t="n">
        <f aca="false">IF(12_UTILITY!AM42&gt;0,12_UTILITY!AM41/12_UTILITY!AM42,99)</f>
        <v>7.77672451049013</v>
      </c>
      <c r="AN44" s="54" t="n">
        <f aca="false">IF(12_UTILITY!AN42&gt;0,12_UTILITY!AN41/12_UTILITY!AN42,99)</f>
        <v>99</v>
      </c>
      <c r="AO44" s="54" t="n">
        <f aca="false">IF(12_UTILITY!AO42&gt;0,12_UTILITY!AO41/12_UTILITY!AO42,99)</f>
        <v>99</v>
      </c>
      <c r="AP44" s="54" t="n">
        <f aca="false">IF(12_UTILITY!AP42&gt;0,12_UTILITY!AP41/12_UTILITY!AP42,99)</f>
        <v>99</v>
      </c>
      <c r="AQ44" s="54" t="n">
        <f aca="false">IF(12_UTILITY!AQ42&gt;0,12_UTILITY!AQ41/12_UTILITY!AQ42,99)</f>
        <v>99</v>
      </c>
      <c r="AR44" s="54" t="n">
        <f aca="false">IF(12_UTILITY!AR42&gt;0,12_UTILITY!AR41/12_UTILITY!AR42,99)</f>
        <v>99</v>
      </c>
    </row>
    <row r="45" customFormat="false" ht="15" hidden="false" customHeight="false" outlineLevel="0" collapsed="false">
      <c r="A45" s="8" t="s">
        <v>451</v>
      </c>
      <c r="B45" s="8" t="s">
        <v>82</v>
      </c>
      <c r="C45" s="54" t="n">
        <f aca="false">IF(COUNT(12_UTILITY!$E$45:$AR$45)=0,99,MIN(12_UTILITY!$E$45:$AR$45))</f>
        <v>2.11200813141894</v>
      </c>
      <c r="E45" s="54" t="str">
        <f aca="false">IF(AND(06_CONSTRUCTION!E5&gt;=1,06_CONSTRUCTION!E5&lt;=10),12_UTILITY!E44,"")</f>
        <v/>
      </c>
      <c r="F45" s="54" t="str">
        <f aca="false">IF(AND(06_CONSTRUCTION!F5&gt;=1,06_CONSTRUCTION!F5&lt;=10),12_UTILITY!F44,"")</f>
        <v/>
      </c>
      <c r="G45" s="54" t="str">
        <f aca="false">IF(AND(06_CONSTRUCTION!G5&gt;=1,06_CONSTRUCTION!G5&lt;=10),12_UTILITY!G44,"")</f>
        <v/>
      </c>
      <c r="H45" s="54" t="str">
        <f aca="false">IF(AND(06_CONSTRUCTION!H5&gt;=1,06_CONSTRUCTION!H5&lt;=10),12_UTILITY!H44,"")</f>
        <v/>
      </c>
      <c r="I45" s="54" t="str">
        <f aca="false">IF(AND(06_CONSTRUCTION!I5&gt;=1,06_CONSTRUCTION!I5&lt;=10),12_UTILITY!I44,"")</f>
        <v/>
      </c>
      <c r="J45" s="54" t="n">
        <f aca="false">IF(AND(06_CONSTRUCTION!J5&gt;=1,06_CONSTRUCTION!J5&lt;=10),12_UTILITY!J44,"")</f>
        <v>2.24125861828602</v>
      </c>
      <c r="K45" s="54" t="n">
        <f aca="false">IF(AND(06_CONSTRUCTION!K5&gt;=1,06_CONSTRUCTION!K5&lt;=10),12_UTILITY!K44,"")</f>
        <v>2.11200813141894</v>
      </c>
      <c r="L45" s="54" t="n">
        <f aca="false">IF(AND(06_CONSTRUCTION!L5&gt;=1,06_CONSTRUCTION!L5&lt;=10),12_UTILITY!L44,"")</f>
        <v>2.21896488061735</v>
      </c>
      <c r="M45" s="54" t="n">
        <f aca="false">IF(AND(06_CONSTRUCTION!M5&gt;=1,06_CONSTRUCTION!M5&lt;=10),12_UTILITY!M44,"")</f>
        <v>2.33050583899499</v>
      </c>
      <c r="N45" s="54" t="n">
        <f aca="false">IF(AND(06_CONSTRUCTION!N5&gt;=1,06_CONSTRUCTION!N5&lt;=10),12_UTILITY!N44,"")</f>
        <v>2.44684321564884</v>
      </c>
      <c r="O45" s="54" t="n">
        <f aca="false">IF(AND(06_CONSTRUCTION!O5&gt;=1,06_CONSTRUCTION!O5&lt;=10),12_UTILITY!O44,"")</f>
        <v>2.56819870969186</v>
      </c>
      <c r="P45" s="54" t="n">
        <f aca="false">IF(AND(06_CONSTRUCTION!P5&gt;=1,06_CONSTRUCTION!P5&lt;=10),12_UTILITY!P44,"")</f>
        <v>2.69480391815441</v>
      </c>
      <c r="Q45" s="54" t="n">
        <f aca="false">IF(AND(06_CONSTRUCTION!Q5&gt;=1,06_CONSTRUCTION!Q5&lt;=10),12_UTILITY!Q44,"")</f>
        <v>2.82690076119936</v>
      </c>
      <c r="R45" s="54" t="n">
        <f aca="false">IF(AND(06_CONSTRUCTION!R5&gt;=1,06_CONSTRUCTION!R5&lt;=10),12_UTILITY!R44,"")</f>
        <v>2.96474192538844</v>
      </c>
      <c r="S45" s="54" t="n">
        <f aca="false">IF(AND(06_CONSTRUCTION!S5&gt;=1,06_CONSTRUCTION!S5&lt;=10),12_UTILITY!S44,"")</f>
        <v>3.10859132576841</v>
      </c>
      <c r="T45" s="54" t="str">
        <f aca="false">IF(AND(06_CONSTRUCTION!T5&gt;=1,06_CONSTRUCTION!T5&lt;=10),12_UTILITY!T44,"")</f>
        <v/>
      </c>
      <c r="U45" s="54" t="str">
        <f aca="false">IF(AND(06_CONSTRUCTION!U5&gt;=1,06_CONSTRUCTION!U5&lt;=10),12_UTILITY!U44,"")</f>
        <v/>
      </c>
      <c r="V45" s="54" t="str">
        <f aca="false">IF(AND(06_CONSTRUCTION!V5&gt;=1,06_CONSTRUCTION!V5&lt;=10),12_UTILITY!V44,"")</f>
        <v/>
      </c>
      <c r="W45" s="54" t="str">
        <f aca="false">IF(AND(06_CONSTRUCTION!W5&gt;=1,06_CONSTRUCTION!W5&lt;=10),12_UTILITY!W44,"")</f>
        <v/>
      </c>
      <c r="X45" s="54" t="str">
        <f aca="false">IF(AND(06_CONSTRUCTION!X5&gt;=1,06_CONSTRUCTION!X5&lt;=10),12_UTILITY!X44,"")</f>
        <v/>
      </c>
      <c r="Y45" s="54" t="str">
        <f aca="false">IF(AND(06_CONSTRUCTION!Y5&gt;=1,06_CONSTRUCTION!Y5&lt;=10),12_UTILITY!Y44,"")</f>
        <v/>
      </c>
      <c r="Z45" s="54" t="str">
        <f aca="false">IF(AND(06_CONSTRUCTION!Z5&gt;=1,06_CONSTRUCTION!Z5&lt;=10),12_UTILITY!Z44,"")</f>
        <v/>
      </c>
      <c r="AA45" s="54" t="str">
        <f aca="false">IF(AND(06_CONSTRUCTION!AA5&gt;=1,06_CONSTRUCTION!AA5&lt;=10),12_UTILITY!AA44,"")</f>
        <v/>
      </c>
      <c r="AB45" s="54" t="str">
        <f aca="false">IF(AND(06_CONSTRUCTION!AB5&gt;=1,06_CONSTRUCTION!AB5&lt;=10),12_UTILITY!AB44,"")</f>
        <v/>
      </c>
      <c r="AC45" s="54" t="str">
        <f aca="false">IF(AND(06_CONSTRUCTION!AC5&gt;=1,06_CONSTRUCTION!AC5&lt;=10),12_UTILITY!AC44,"")</f>
        <v/>
      </c>
      <c r="AD45" s="54" t="str">
        <f aca="false">IF(AND(06_CONSTRUCTION!AD5&gt;=1,06_CONSTRUCTION!AD5&lt;=10),12_UTILITY!AD44,"")</f>
        <v/>
      </c>
      <c r="AE45" s="54" t="str">
        <f aca="false">IF(AND(06_CONSTRUCTION!AE5&gt;=1,06_CONSTRUCTION!AE5&lt;=10),12_UTILITY!AE44,"")</f>
        <v/>
      </c>
      <c r="AF45" s="54" t="str">
        <f aca="false">IF(AND(06_CONSTRUCTION!AF5&gt;=1,06_CONSTRUCTION!AF5&lt;=10),12_UTILITY!AF44,"")</f>
        <v/>
      </c>
      <c r="AG45" s="54" t="str">
        <f aca="false">IF(AND(06_CONSTRUCTION!AG5&gt;=1,06_CONSTRUCTION!AG5&lt;=10),12_UTILITY!AG44,"")</f>
        <v/>
      </c>
      <c r="AH45" s="54" t="str">
        <f aca="false">IF(AND(06_CONSTRUCTION!AH5&gt;=1,06_CONSTRUCTION!AH5&lt;=10),12_UTILITY!AH44,"")</f>
        <v/>
      </c>
      <c r="AI45" s="54" t="str">
        <f aca="false">IF(AND(06_CONSTRUCTION!AI5&gt;=1,06_CONSTRUCTION!AI5&lt;=10),12_UTILITY!AI44,"")</f>
        <v/>
      </c>
      <c r="AJ45" s="54" t="str">
        <f aca="false">IF(AND(06_CONSTRUCTION!AJ5&gt;=1,06_CONSTRUCTION!AJ5&lt;=10),12_UTILITY!AJ44,"")</f>
        <v/>
      </c>
      <c r="AK45" s="54" t="str">
        <f aca="false">IF(AND(06_CONSTRUCTION!AK5&gt;=1,06_CONSTRUCTION!AK5&lt;=10),12_UTILITY!AK44,"")</f>
        <v/>
      </c>
      <c r="AL45" s="54" t="str">
        <f aca="false">IF(AND(06_CONSTRUCTION!AL5&gt;=1,06_CONSTRUCTION!AL5&lt;=10),12_UTILITY!AL44,"")</f>
        <v/>
      </c>
      <c r="AM45" s="54" t="str">
        <f aca="false">IF(AND(06_CONSTRUCTION!AM5&gt;=1,06_CONSTRUCTION!AM5&lt;=10),12_UTILITY!AM44,"")</f>
        <v/>
      </c>
      <c r="AN45" s="54" t="str">
        <f aca="false">IF(AND(06_CONSTRUCTION!AN5&gt;=1,06_CONSTRUCTION!AN5&lt;=10),12_UTILITY!AN44,"")</f>
        <v/>
      </c>
      <c r="AO45" s="54" t="str">
        <f aca="false">IF(AND(06_CONSTRUCTION!AO5&gt;=1,06_CONSTRUCTION!AO5&lt;=10),12_UTILITY!AO44,"")</f>
        <v/>
      </c>
      <c r="AP45" s="54" t="str">
        <f aca="false">IF(AND(06_CONSTRUCTION!AP5&gt;=1,06_CONSTRUCTION!AP5&lt;=10),12_UTILITY!AP44,"")</f>
        <v/>
      </c>
      <c r="AQ45" s="54" t="str">
        <f aca="false">IF(AND(06_CONSTRUCTION!AQ5&gt;=1,06_CONSTRUCTION!AQ5&lt;=10),12_UTILITY!AQ44,"")</f>
        <v/>
      </c>
      <c r="AR45" s="54" t="str">
        <f aca="false">IF(AND(06_CONSTRUCTION!AR5&gt;=1,06_CONSTRUCTION!AR5&lt;=10),12_UTILITY!AR44,"")</f>
        <v/>
      </c>
    </row>
    <row r="46" customFormat="false" ht="15" hidden="false" customHeight="false" outlineLevel="0" collapsed="false">
      <c r="A46" s="8" t="s">
        <v>452</v>
      </c>
      <c r="B46" s="8" t="s">
        <v>84</v>
      </c>
      <c r="C46" s="34" t="n">
        <f aca="false">SUM(12_UTILITY!$E$46:$AR$46)</f>
        <v>0</v>
      </c>
      <c r="E46" s="34" t="n">
        <f aca="false">MAX(0,-12_UTILITY!E40)</f>
        <v>0</v>
      </c>
      <c r="F46" s="34" t="n">
        <f aca="false">MAX(0,-12_UTILITY!F40)</f>
        <v>0</v>
      </c>
      <c r="G46" s="34" t="n">
        <f aca="false">MAX(0,-12_UTILITY!G40)</f>
        <v>0</v>
      </c>
      <c r="H46" s="34" t="n">
        <f aca="false">MAX(0,-12_UTILITY!H40)</f>
        <v>0</v>
      </c>
      <c r="I46" s="34" t="n">
        <f aca="false">MAX(0,-12_UTILITY!I40)</f>
        <v>0</v>
      </c>
      <c r="J46" s="34" t="n">
        <f aca="false">MAX(0,-12_UTILITY!J40)</f>
        <v>0</v>
      </c>
      <c r="K46" s="34" t="n">
        <f aca="false">MAX(0,-12_UTILITY!K40)</f>
        <v>0</v>
      </c>
      <c r="L46" s="34" t="n">
        <f aca="false">MAX(0,-12_UTILITY!L40)</f>
        <v>0</v>
      </c>
      <c r="M46" s="34" t="n">
        <f aca="false">MAX(0,-12_UTILITY!M40)</f>
        <v>0</v>
      </c>
      <c r="N46" s="34" t="n">
        <f aca="false">MAX(0,-12_UTILITY!N40)</f>
        <v>0</v>
      </c>
      <c r="O46" s="34" t="n">
        <f aca="false">MAX(0,-12_UTILITY!O40)</f>
        <v>0</v>
      </c>
      <c r="P46" s="34" t="n">
        <f aca="false">MAX(0,-12_UTILITY!P40)</f>
        <v>0</v>
      </c>
      <c r="Q46" s="34" t="n">
        <f aca="false">MAX(0,-12_UTILITY!Q40)</f>
        <v>0</v>
      </c>
      <c r="R46" s="34" t="n">
        <f aca="false">MAX(0,-12_UTILITY!R40)</f>
        <v>0</v>
      </c>
      <c r="S46" s="34" t="n">
        <f aca="false">MAX(0,-12_UTILITY!S40)</f>
        <v>0</v>
      </c>
      <c r="T46" s="34" t="n">
        <f aca="false">MAX(0,-12_UTILITY!T40)</f>
        <v>0</v>
      </c>
      <c r="U46" s="34" t="n">
        <f aca="false">MAX(0,-12_UTILITY!U40)</f>
        <v>0</v>
      </c>
      <c r="V46" s="34" t="n">
        <f aca="false">MAX(0,-12_UTILITY!V40)</f>
        <v>0</v>
      </c>
      <c r="W46" s="34" t="n">
        <f aca="false">MAX(0,-12_UTILITY!W40)</f>
        <v>0</v>
      </c>
      <c r="X46" s="34" t="n">
        <f aca="false">MAX(0,-12_UTILITY!X40)</f>
        <v>0</v>
      </c>
      <c r="Y46" s="34" t="n">
        <f aca="false">MAX(0,-12_UTILITY!Y40)</f>
        <v>0</v>
      </c>
      <c r="Z46" s="34" t="n">
        <f aca="false">MAX(0,-12_UTILITY!Z40)</f>
        <v>0</v>
      </c>
      <c r="AA46" s="34" t="n">
        <f aca="false">MAX(0,-12_UTILITY!AA40)</f>
        <v>0</v>
      </c>
      <c r="AB46" s="34" t="n">
        <f aca="false">MAX(0,-12_UTILITY!AB40)</f>
        <v>0</v>
      </c>
      <c r="AC46" s="34" t="n">
        <f aca="false">MAX(0,-12_UTILITY!AC40)</f>
        <v>0</v>
      </c>
      <c r="AD46" s="34" t="n">
        <f aca="false">MAX(0,-12_UTILITY!AD40)</f>
        <v>0</v>
      </c>
      <c r="AE46" s="34" t="n">
        <f aca="false">MAX(0,-12_UTILITY!AE40)</f>
        <v>0</v>
      </c>
      <c r="AF46" s="34" t="n">
        <f aca="false">MAX(0,-12_UTILITY!AF40)</f>
        <v>0</v>
      </c>
      <c r="AG46" s="34" t="n">
        <f aca="false">MAX(0,-12_UTILITY!AG40)</f>
        <v>0</v>
      </c>
      <c r="AH46" s="34" t="n">
        <f aca="false">MAX(0,-12_UTILITY!AH40)</f>
        <v>0</v>
      </c>
      <c r="AI46" s="34" t="n">
        <f aca="false">MAX(0,-12_UTILITY!AI40)</f>
        <v>0</v>
      </c>
      <c r="AJ46" s="34" t="n">
        <f aca="false">MAX(0,-12_UTILITY!AJ40)</f>
        <v>0</v>
      </c>
      <c r="AK46" s="34" t="n">
        <f aca="false">MAX(0,-12_UTILITY!AK40)</f>
        <v>0</v>
      </c>
      <c r="AL46" s="34" t="n">
        <f aca="false">MAX(0,-12_UTILITY!AL40)</f>
        <v>0</v>
      </c>
      <c r="AM46" s="34" t="n">
        <f aca="false">MAX(0,-12_UTILITY!AM40)</f>
        <v>0</v>
      </c>
      <c r="AN46" s="34" t="n">
        <f aca="false">MAX(0,-12_UTILITY!AN40)</f>
        <v>0</v>
      </c>
      <c r="AO46" s="34" t="n">
        <f aca="false">MAX(0,-12_UTILITY!AO40)</f>
        <v>0</v>
      </c>
      <c r="AP46" s="34" t="n">
        <f aca="false">MAX(0,-12_UTILITY!AP40)</f>
        <v>0</v>
      </c>
      <c r="AQ46" s="34" t="n">
        <f aca="false">MAX(0,-12_UTILITY!AQ40)</f>
        <v>0</v>
      </c>
      <c r="AR46" s="34" t="n">
        <f aca="false">MAX(0,-12_UTILITY!AR40)</f>
        <v>0</v>
      </c>
    </row>
    <row r="47" customFormat="false" ht="15" hidden="false" customHeight="false" outlineLevel="0" collapsed="false">
      <c r="A47" s="6" t="s">
        <v>453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</row>
    <row r="48" customFormat="false" ht="15" hidden="false" customHeight="false" outlineLevel="0" collapsed="false">
      <c r="A48" s="8" t="s">
        <v>454</v>
      </c>
      <c r="B48" s="8" t="s">
        <v>84</v>
      </c>
      <c r="E48" s="34" t="n">
        <f aca="false">12_UTILITY!E33+12_UTILITY!E37+12_UTILITY!E38-12_UTILITY!E42</f>
        <v>270.557618002068</v>
      </c>
      <c r="F48" s="34" t="n">
        <f aca="false">12_UTILITY!F33+12_UTILITY!F37+12_UTILITY!F38-12_UTILITY!F42</f>
        <v>292.206911184699</v>
      </c>
      <c r="G48" s="34" t="n">
        <f aca="false">12_UTILITY!G33+12_UTILITY!G37+12_UTILITY!G38-12_UTILITY!G42</f>
        <v>315.321361334214</v>
      </c>
      <c r="H48" s="34" t="n">
        <f aca="false">12_UTILITY!H33+12_UTILITY!H37+12_UTILITY!H38-12_UTILITY!H42</f>
        <v>339.996073731765</v>
      </c>
      <c r="I48" s="34" t="n">
        <f aca="false">12_UTILITY!I33+12_UTILITY!I37+12_UTILITY!I38-12_UTILITY!I42</f>
        <v>366.332253045553</v>
      </c>
      <c r="J48" s="34" t="n">
        <f aca="false">12_UTILITY!J33+12_UTILITY!J37+12_UTILITY!J38-12_UTILITY!J42</f>
        <v>389.605630143429</v>
      </c>
      <c r="K48" s="34" t="n">
        <f aca="false">12_UTILITY!K33+12_UTILITY!K37+12_UTILITY!K38-12_UTILITY!K42</f>
        <v>419.522773725863</v>
      </c>
      <c r="L48" s="34" t="n">
        <f aca="false">12_UTILITY!L33+12_UTILITY!L37+12_UTILITY!L38-12_UTILITY!L42</f>
        <v>452.310792473319</v>
      </c>
      <c r="M48" s="34" t="n">
        <f aca="false">12_UTILITY!M33+12_UTILITY!M37+12_UTILITY!M38-12_UTILITY!M42</f>
        <v>487.246932895419</v>
      </c>
      <c r="N48" s="34" t="n">
        <f aca="false">12_UTILITY!N33+12_UTILITY!N37+12_UTILITY!N38-12_UTILITY!N42</f>
        <v>524.469456204741</v>
      </c>
      <c r="O48" s="34" t="n">
        <f aca="false">12_UTILITY!O33+12_UTILITY!O37+12_UTILITY!O38-12_UTILITY!O42</f>
        <v>564.125469872293</v>
      </c>
      <c r="P48" s="34" t="n">
        <f aca="false">12_UTILITY!P33+12_UTILITY!P37+12_UTILITY!P38-12_UTILITY!P42</f>
        <v>606.371492368069</v>
      </c>
      <c r="Q48" s="34" t="n">
        <f aca="false">12_UTILITY!Q33+12_UTILITY!Q37+12_UTILITY!Q38-12_UTILITY!Q42</f>
        <v>651.37405391634</v>
      </c>
      <c r="R48" s="34" t="n">
        <f aca="false">12_UTILITY!R33+12_UTILITY!R37+12_UTILITY!R38-12_UTILITY!R42</f>
        <v>699.310335560793</v>
      </c>
      <c r="S48" s="34" t="n">
        <f aca="false">12_UTILITY!S33+12_UTILITY!S37+12_UTILITY!S38-12_UTILITY!S42</f>
        <v>750.368848980871</v>
      </c>
      <c r="T48" s="34" t="n">
        <f aca="false">12_UTILITY!T33+12_UTILITY!T37+12_UTILITY!T38-12_UTILITY!T42</f>
        <v>804.750159656093</v>
      </c>
      <c r="U48" s="34" t="n">
        <f aca="false">12_UTILITY!U33+12_UTILITY!U37+12_UTILITY!U38-12_UTILITY!U42</f>
        <v>862.667656140575</v>
      </c>
      <c r="V48" s="34" t="n">
        <f aca="false">12_UTILITY!V33+12_UTILITY!V37+12_UTILITY!V38-12_UTILITY!V42</f>
        <v>924.348368385808</v>
      </c>
      <c r="W48" s="34" t="n">
        <f aca="false">12_UTILITY!W33+12_UTILITY!W37+12_UTILITY!W38-12_UTILITY!W42</f>
        <v>990.033838236942</v>
      </c>
      <c r="X48" s="34" t="n">
        <f aca="false">12_UTILITY!X33+12_UTILITY!X37+12_UTILITY!X38-12_UTILITY!X42</f>
        <v>1059.98104542671</v>
      </c>
      <c r="Y48" s="34" t="n">
        <f aca="false">12_UTILITY!Y33+12_UTILITY!Y37+12_UTILITY!Y38-12_UTILITY!Y42</f>
        <v>1134.46339260294</v>
      </c>
      <c r="Z48" s="34" t="n">
        <f aca="false">12_UTILITY!Z33+12_UTILITY!Z37+12_UTILITY!Z38-12_UTILITY!Z42</f>
        <v>1213.77175315069</v>
      </c>
      <c r="AA48" s="34" t="n">
        <f aca="false">12_UTILITY!AA33+12_UTILITY!AA37+12_UTILITY!AA38-12_UTILITY!AA42</f>
        <v>1298.21558580936</v>
      </c>
      <c r="AB48" s="34" t="n">
        <f aca="false">12_UTILITY!AB33+12_UTILITY!AB37+12_UTILITY!AB38-12_UTILITY!AB42</f>
        <v>1388.12412034027</v>
      </c>
      <c r="AC48" s="34" t="n">
        <f aca="false">12_UTILITY!AC33+12_UTILITY!AC37+12_UTILITY!AC38-12_UTILITY!AC42</f>
        <v>1483.84761877054</v>
      </c>
      <c r="AD48" s="34" t="n">
        <f aca="false">12_UTILITY!AD33+12_UTILITY!AD37+12_UTILITY!AD38-12_UTILITY!AD42</f>
        <v>1585.75871702779</v>
      </c>
      <c r="AE48" s="34" t="n">
        <f aca="false">12_UTILITY!AE33+12_UTILITY!AE37+12_UTILITY!AE38-12_UTILITY!AE42</f>
        <v>1694.25385208631</v>
      </c>
      <c r="AF48" s="34" t="n">
        <f aca="false">12_UTILITY!AF33+12_UTILITY!AF37+12_UTILITY!AF38-12_UTILITY!AF42</f>
        <v>1809.7547800716</v>
      </c>
      <c r="AG48" s="34" t="n">
        <f aca="false">12_UTILITY!AG33+12_UTILITY!AG37+12_UTILITY!AG38-12_UTILITY!AG42</f>
        <v>1932.7101911167</v>
      </c>
      <c r="AH48" s="34" t="n">
        <f aca="false">12_UTILITY!AH33+12_UTILITY!AH37+12_UTILITY!AH38-12_UTILITY!AH42</f>
        <v>2063.59742713268</v>
      </c>
      <c r="AI48" s="34" t="n">
        <f aca="false">12_UTILITY!AI33+12_UTILITY!AI37+12_UTILITY!AI38-12_UTILITY!AI42</f>
        <v>2202.92430904783</v>
      </c>
      <c r="AJ48" s="34" t="n">
        <f aca="false">12_UTILITY!AJ33+12_UTILITY!AJ37+12_UTILITY!AJ38-12_UTILITY!AJ42</f>
        <v>2351.23108048746</v>
      </c>
      <c r="AK48" s="34" t="n">
        <f aca="false">12_UTILITY!AK33+12_UTILITY!AK37+12_UTILITY!AK38-12_UTILITY!AK42</f>
        <v>2509.09247530961</v>
      </c>
      <c r="AL48" s="34" t="n">
        <f aca="false">12_UTILITY!AL33+12_UTILITY!AL37+12_UTILITY!AL38-12_UTILITY!AL42</f>
        <v>2677.11991688448</v>
      </c>
      <c r="AM48" s="34" t="n">
        <f aca="false">12_UTILITY!AM33+12_UTILITY!AM37+12_UTILITY!AM38-12_UTILITY!AM42</f>
        <v>2855.96385750691</v>
      </c>
      <c r="AN48" s="34" t="n">
        <f aca="false">12_UTILITY!AN33+12_UTILITY!AN37+12_UTILITY!AN38-12_UTILITY!AN42</f>
        <v>3022.3004392816</v>
      </c>
      <c r="AO48" s="34" t="n">
        <f aca="false">12_UTILITY!AO33+12_UTILITY!AO37+12_UTILITY!AO38-12_UTILITY!AO42</f>
        <v>3223.64780247962</v>
      </c>
      <c r="AP48" s="34" t="n">
        <f aca="false">12_UTILITY!AP33+12_UTILITY!AP37+12_UTILITY!AP38-12_UTILITY!AP42</f>
        <v>3438.00338909071</v>
      </c>
      <c r="AQ48" s="34" t="n">
        <f aca="false">12_UTILITY!AQ33+12_UTILITY!AQ37+12_UTILITY!AQ38-12_UTILITY!AQ42</f>
        <v>3666.20000228726</v>
      </c>
      <c r="AR48" s="34" t="n">
        <f aca="false">12_UTILITY!AR33+12_UTILITY!AR37+12_UTILITY!AR38-12_UTILITY!AR42</f>
        <v>3909.12360243295</v>
      </c>
    </row>
    <row r="49" customFormat="false" ht="15" hidden="false" customHeight="false" outlineLevel="0" collapsed="false">
      <c r="A49" s="8" t="s">
        <v>455</v>
      </c>
      <c r="B49" s="8" t="s">
        <v>84</v>
      </c>
      <c r="E49" s="34" t="n">
        <f aca="false">12_UTILITY!E48+12_UTILITY!E36</f>
        <v>352.067051964332</v>
      </c>
      <c r="F49" s="34" t="n">
        <f aca="false">12_UTILITY!F48+12_UTILITY!F36</f>
        <v>375.254258995308</v>
      </c>
      <c r="G49" s="34" t="n">
        <f aca="false">12_UTILITY!G48+12_UTILITY!G36</f>
        <v>399.935640235589</v>
      </c>
      <c r="H49" s="34" t="n">
        <f aca="false">12_UTILITY!H48+12_UTILITY!H36</f>
        <v>426.206848461468</v>
      </c>
      <c r="I49" s="34" t="n">
        <f aca="false">12_UTILITY!I48+12_UTILITY!I36</f>
        <v>454.169646166382</v>
      </c>
      <c r="J49" s="34" t="n">
        <f aca="false">12_UTILITY!J48+12_UTILITY!J36</f>
        <v>479.100332568425</v>
      </c>
      <c r="K49" s="34" t="n">
        <f aca="false">12_UTILITY!K48+12_UTILITY!K36</f>
        <v>510.706055441896</v>
      </c>
      <c r="L49" s="34" t="n">
        <f aca="false">12_UTILITY!L48+12_UTILITY!L36</f>
        <v>545.214513467014</v>
      </c>
      <c r="M49" s="34" t="n">
        <f aca="false">12_UTILITY!M48+12_UTILITY!M36</f>
        <v>581.903554285221</v>
      </c>
      <c r="N49" s="34" t="n">
        <f aca="false">12_UTILITY!N48+12_UTILITY!N36</f>
        <v>620.91205158303</v>
      </c>
      <c r="O49" s="34" t="n">
        <f aca="false">12_UTILITY!O48+12_UTILITY!O36</f>
        <v>662.387736861493</v>
      </c>
      <c r="P49" s="34" t="n">
        <f aca="false">12_UTILITY!P48+12_UTILITY!P36</f>
        <v>706.487764394801</v>
      </c>
      <c r="Q49" s="34" t="n">
        <f aca="false">12_UTILITY!Q48+12_UTILITY!Q36</f>
        <v>753.379312207728</v>
      </c>
      <c r="R49" s="34" t="n">
        <f aca="false">12_UTILITY!R48+12_UTILITY!R36</f>
        <v>803.240221367113</v>
      </c>
      <c r="S49" s="34" t="n">
        <f aca="false">12_UTILITY!S48+12_UTILITY!S36</f>
        <v>856.259676028819</v>
      </c>
      <c r="T49" s="34" t="n">
        <f aca="false">12_UTILITY!T48+12_UTILITY!T36</f>
        <v>912.638926837021</v>
      </c>
      <c r="U49" s="34" t="n">
        <f aca="false">12_UTILITY!U48+12_UTILITY!U36</f>
        <v>972.592060438124</v>
      </c>
      <c r="V49" s="34" t="n">
        <f aca="false">12_UTILITY!V48+12_UTILITY!V36</f>
        <v>1036.34681804746</v>
      </c>
      <c r="W49" s="34" t="n">
        <f aca="false">12_UTILITY!W48+12_UTILITY!W36</f>
        <v>1104.1454661941</v>
      </c>
      <c r="X49" s="34" t="n">
        <f aca="false">12_UTILITY!X48+12_UTILITY!X36</f>
        <v>1176.24572296796</v>
      </c>
      <c r="Y49" s="34" t="n">
        <f aca="false">12_UTILITY!Y48+12_UTILITY!Y36</f>
        <v>1252.92174330535</v>
      </c>
      <c r="Z49" s="34" t="n">
        <f aca="false">12_UTILITY!Z48+12_UTILITY!Z36</f>
        <v>1334.4651670739</v>
      </c>
      <c r="AA49" s="34" t="n">
        <f aca="false">12_UTILITY!AA48+12_UTILITY!AA36</f>
        <v>1421.18623395754</v>
      </c>
      <c r="AB49" s="34" t="n">
        <f aca="false">12_UTILITY!AB48+12_UTILITY!AB36</f>
        <v>1513.41496939691</v>
      </c>
      <c r="AC49" s="34" t="n">
        <f aca="false">12_UTILITY!AC48+12_UTILITY!AC36</f>
        <v>1611.50244611126</v>
      </c>
      <c r="AD49" s="34" t="n">
        <f aca="false">12_UTILITY!AD48+12_UTILITY!AD36</f>
        <v>1715.82212601644</v>
      </c>
      <c r="AE49" s="34" t="n">
        <f aca="false">12_UTILITY!AE48+12_UTILITY!AE36</f>
        <v>1826.77128765966</v>
      </c>
      <c r="AF49" s="34" t="n">
        <f aca="false">12_UTILITY!AF48+12_UTILITY!AF36</f>
        <v>1944.77254461803</v>
      </c>
      <c r="AG49" s="34" t="n">
        <f aca="false">12_UTILITY!AG48+12_UTILITY!AG36</f>
        <v>2070.27546065458</v>
      </c>
      <c r="AH49" s="34" t="n">
        <f aca="false">12_UTILITY!AH48+12_UTILITY!AH36</f>
        <v>2203.75826779391</v>
      </c>
      <c r="AI49" s="34" t="n">
        <f aca="false">12_UTILITY!AI48+12_UTILITY!AI36</f>
        <v>2345.72969387248</v>
      </c>
      <c r="AJ49" s="34" t="n">
        <f aca="false">12_UTILITY!AJ48+12_UTILITY!AJ36</f>
        <v>2496.73090653521</v>
      </c>
      <c r="AK49" s="34" t="n">
        <f aca="false">12_UTILITY!AK48+12_UTILITY!AK36</f>
        <v>2657.33758109412</v>
      </c>
      <c r="AL49" s="34" t="n">
        <f aca="false">12_UTILITY!AL48+12_UTILITY!AL36</f>
        <v>2828.16210013662</v>
      </c>
      <c r="AM49" s="34" t="n">
        <f aca="false">12_UTILITY!AM48+12_UTILITY!AM36</f>
        <v>3009.85589327324</v>
      </c>
      <c r="AN49" s="34" t="n">
        <f aca="false">12_UTILITY!AN48+12_UTILITY!AN36</f>
        <v>3179.09609836428</v>
      </c>
      <c r="AO49" s="34" t="n">
        <f aca="false">12_UTILITY!AO48+12_UTILITY!AO36</f>
        <v>3383.40187022423</v>
      </c>
      <c r="AP49" s="34" t="n">
        <f aca="false">12_UTILITY!AP48+12_UTILITY!AP36</f>
        <v>3600.77168452862</v>
      </c>
      <c r="AQ49" s="34" t="n">
        <f aca="false">12_UTILITY!AQ48+12_UTILITY!AQ36</f>
        <v>3832.03939763909</v>
      </c>
      <c r="AR49" s="34" t="n">
        <f aca="false">12_UTILITY!AR48+12_UTILITY!AR36</f>
        <v>4078.0920429801</v>
      </c>
    </row>
    <row r="50" customFormat="false" ht="15" hidden="false" customHeight="false" outlineLevel="0" collapsed="false">
      <c r="A50" s="8" t="s">
        <v>456</v>
      </c>
      <c r="B50" s="8" t="s">
        <v>56</v>
      </c>
      <c r="E50" s="42" t="n">
        <f aca="false">IF(12_UTILITY!E33&gt;0,12_UTILITY!E48/12_UTILITY!E33,0)</f>
        <v>0.280607169882476</v>
      </c>
      <c r="F50" s="42" t="n">
        <f aca="false">IF(12_UTILITY!F33&gt;0,12_UTILITY!F48/12_UTILITY!F33,0)</f>
        <v>0.28463958644253</v>
      </c>
      <c r="G50" s="42" t="n">
        <f aca="false">IF(12_UTILITY!G33&gt;0,12_UTILITY!G48/12_UTILITY!G33,0)</f>
        <v>0.288485525983512</v>
      </c>
      <c r="H50" s="42" t="n">
        <f aca="false">IF(12_UTILITY!H33&gt;0,12_UTILITY!H48/12_UTILITY!H33,0)</f>
        <v>0.292153004358195</v>
      </c>
      <c r="I50" s="42" t="n">
        <f aca="false">IF(12_UTILITY!I33&gt;0,12_UTILITY!I48/12_UTILITY!I33,0)</f>
        <v>0.295649692223247</v>
      </c>
      <c r="J50" s="42" t="n">
        <f aca="false">IF(12_UTILITY!J33&gt;0,12_UTILITY!J48/12_UTILITY!J33,0)</f>
        <v>0.267310868405025</v>
      </c>
      <c r="K50" s="42" t="n">
        <f aca="false">IF(12_UTILITY!K33&gt;0,12_UTILITY!K48/12_UTILITY!K33,0)</f>
        <v>0.267153767462764</v>
      </c>
      <c r="L50" s="42" t="n">
        <f aca="false">IF(12_UTILITY!L33&gt;0,12_UTILITY!L48/12_UTILITY!L33,0)</f>
        <v>0.27176053101897</v>
      </c>
      <c r="M50" s="42" t="n">
        <f aca="false">IF(12_UTILITY!M33&gt;0,12_UTILITY!M48/12_UTILITY!M33,0)</f>
        <v>0.276163016133901</v>
      </c>
      <c r="N50" s="42" t="n">
        <f aca="false">IF(12_UTILITY!N33&gt;0,12_UTILITY!N48/12_UTILITY!N33,0)</f>
        <v>0.280368703617495</v>
      </c>
      <c r="O50" s="42" t="n">
        <f aca="false">IF(12_UTILITY!O33&gt;0,12_UTILITY!O48/12_UTILITY!O33,0)</f>
        <v>0.284384889967232</v>
      </c>
      <c r="P50" s="42" t="n">
        <f aca="false">IF(12_UTILITY!P33&gt;0,12_UTILITY!P48/12_UTILITY!P33,0)</f>
        <v>0.288218683943003</v>
      </c>
      <c r="Q50" s="42" t="n">
        <f aca="false">IF(12_UTILITY!Q33&gt;0,12_UTILITY!Q48/12_UTILITY!Q33,0)</f>
        <v>0.291877004008071</v>
      </c>
      <c r="R50" s="42" t="n">
        <f aca="false">IF(12_UTILITY!R33&gt;0,12_UTILITY!R48/12_UTILITY!R33,0)</f>
        <v>0.29536657657481</v>
      </c>
      <c r="S50" s="42" t="n">
        <f aca="false">IF(12_UTILITY!S33&gt;0,12_UTILITY!S48/12_UTILITY!S33,0)</f>
        <v>0.298693934994657</v>
      </c>
      <c r="T50" s="42" t="n">
        <f aca="false">IF(12_UTILITY!T33&gt;0,12_UTILITY!T48/12_UTILITY!T33,0)</f>
        <v>0.301865419232832</v>
      </c>
      <c r="U50" s="42" t="n">
        <f aca="false">IF(12_UTILITY!U33&gt;0,12_UTILITY!U48/12_UTILITY!U33,0)</f>
        <v>0.304887176169915</v>
      </c>
      <c r="V50" s="42" t="n">
        <f aca="false">IF(12_UTILITY!V33&gt;0,12_UTILITY!V48/12_UTILITY!V33,0)</f>
        <v>0.307765160474209</v>
      </c>
      <c r="W50" s="42" t="n">
        <f aca="false">IF(12_UTILITY!W33&gt;0,12_UTILITY!W48/12_UTILITY!W33,0)</f>
        <v>0.31050513599089</v>
      </c>
      <c r="X50" s="42" t="n">
        <f aca="false">IF(12_UTILITY!X33&gt;0,12_UTILITY!X48/12_UTILITY!X33,0)</f>
        <v>0.313112677596222</v>
      </c>
      <c r="Y50" s="42" t="n">
        <f aca="false">IF(12_UTILITY!Y33&gt;0,12_UTILITY!Y48/12_UTILITY!Y33,0)</f>
        <v>0.315593173467565</v>
      </c>
      <c r="Z50" s="42" t="n">
        <f aca="false">IF(12_UTILITY!Z33&gt;0,12_UTILITY!Z48/12_UTILITY!Z33,0)</f>
        <v>0.317951827722431</v>
      </c>
      <c r="AA50" s="42" t="n">
        <f aca="false">IF(12_UTILITY!AA33&gt;0,12_UTILITY!AA48/12_UTILITY!AA33,0)</f>
        <v>0.32019366338243</v>
      </c>
      <c r="AB50" s="42" t="n">
        <f aca="false">IF(12_UTILITY!AB33&gt;0,12_UTILITY!AB48/12_UTILITY!AB33,0)</f>
        <v>0.322323525620641</v>
      </c>
      <c r="AC50" s="42" t="n">
        <f aca="false">IF(12_UTILITY!AC33&gt;0,12_UTILITY!AC48/12_UTILITY!AC33,0)</f>
        <v>0.324346085253524</v>
      </c>
      <c r="AD50" s="42" t="n">
        <f aca="false">IF(12_UTILITY!AD33&gt;0,12_UTILITY!AD48/12_UTILITY!AD33,0)</f>
        <v>0.326265842441168</v>
      </c>
      <c r="AE50" s="42" t="n">
        <f aca="false">IF(12_UTILITY!AE33&gt;0,12_UTILITY!AE48/12_UTILITY!AE33,0)</f>
        <v>0.328087130562223</v>
      </c>
      <c r="AF50" s="42" t="n">
        <f aca="false">IF(12_UTILITY!AF33&gt;0,12_UTILITY!AF48/12_UTILITY!AF33,0)</f>
        <v>0.329814120232406</v>
      </c>
      <c r="AG50" s="42" t="n">
        <f aca="false">IF(12_UTILITY!AG33&gt;0,12_UTILITY!AG48/12_UTILITY!AG33,0)</f>
        <v>0.331450823437899</v>
      </c>
      <c r="AH50" s="42" t="n">
        <f aca="false">IF(12_UTILITY!AH33&gt;0,12_UTILITY!AH48/12_UTILITY!AH33,0)</f>
        <v>0.333001097757354</v>
      </c>
      <c r="AI50" s="42" t="n">
        <f aca="false">IF(12_UTILITY!AI33&gt;0,12_UTILITY!AI48/12_UTILITY!AI33,0)</f>
        <v>0.334468650648448</v>
      </c>
      <c r="AJ50" s="42" t="n">
        <f aca="false">IF(12_UTILITY!AJ33&gt;0,12_UTILITY!AJ48/12_UTILITY!AJ33,0)</f>
        <v>0.335857043777131</v>
      </c>
      <c r="AK50" s="42" t="n">
        <f aca="false">IF(12_UTILITY!AK33&gt;0,12_UTILITY!AK48/12_UTILITY!AK33,0)</f>
        <v>0.337169697369744</v>
      </c>
      <c r="AL50" s="42" t="n">
        <f aca="false">IF(12_UTILITY!AL33&gt;0,12_UTILITY!AL48/12_UTILITY!AL33,0)</f>
        <v>0.338409894570137</v>
      </c>
      <c r="AM50" s="42" t="n">
        <f aca="false">IF(12_UTILITY!AM33&gt;0,12_UTILITY!AM48/12_UTILITY!AM33,0)</f>
        <v>0.339580785785758</v>
      </c>
      <c r="AN50" s="42" t="n">
        <f aca="false">IF(12_UTILITY!AN33&gt;0,12_UTILITY!AN48/12_UTILITY!AN33,0)</f>
        <v>0.349124484738543</v>
      </c>
      <c r="AO50" s="42" t="n">
        <f aca="false">IF(12_UTILITY!AO33&gt;0,12_UTILITY!AO48/12_UTILITY!AO33,0)</f>
        <v>0.349748676695024</v>
      </c>
      <c r="AP50" s="42" t="n">
        <f aca="false">IF(12_UTILITY!AP33&gt;0,12_UTILITY!AP48/12_UTILITY!AP33,0)</f>
        <v>0.350332648709416</v>
      </c>
      <c r="AQ50" s="42" t="n">
        <f aca="false">IF(12_UTILITY!AQ33&gt;0,12_UTILITY!AQ48/12_UTILITY!AQ33,0)</f>
        <v>0.350878117917767</v>
      </c>
      <c r="AR50" s="42" t="n">
        <f aca="false">IF(12_UTILITY!AR33&gt;0,12_UTILITY!AR48/12_UTILITY!AR33,0)</f>
        <v>0.351386727495998</v>
      </c>
    </row>
    <row r="51" customFormat="false" ht="15" hidden="false" customHeight="false" outlineLevel="0" collapsed="false">
      <c r="A51" s="8" t="s">
        <v>457</v>
      </c>
      <c r="B51" s="8" t="s">
        <v>84</v>
      </c>
      <c r="E51" s="34" t="n">
        <f aca="false">12_UTILITY!E42-12_UTILITY!E43</f>
        <v>0</v>
      </c>
      <c r="F51" s="34" t="n">
        <f aca="false">12_UTILITY!F42-12_UTILITY!F43</f>
        <v>0</v>
      </c>
      <c r="G51" s="34" t="n">
        <f aca="false">12_UTILITY!G42-12_UTILITY!G43</f>
        <v>0</v>
      </c>
      <c r="H51" s="34" t="n">
        <f aca="false">12_UTILITY!H42-12_UTILITY!H43</f>
        <v>0</v>
      </c>
      <c r="I51" s="34" t="n">
        <f aca="false">12_UTILITY!I42-12_UTILITY!I43</f>
        <v>0</v>
      </c>
      <c r="J51" s="34" t="n">
        <f aca="false">12_UTILITY!J42-12_UTILITY!J43</f>
        <v>129.741919549119</v>
      </c>
      <c r="K51" s="34" t="n">
        <f aca="false">12_UTILITY!K42-12_UTILITY!K43</f>
        <v>154.629503458943</v>
      </c>
      <c r="L51" s="34" t="n">
        <f aca="false">12_UTILITY!L42-12_UTILITY!L43</f>
        <v>156.661293528122</v>
      </c>
      <c r="M51" s="34" t="n">
        <f aca="false">12_UTILITY!M42-12_UTILITY!M43</f>
        <v>158.733719398684</v>
      </c>
      <c r="N51" s="34" t="n">
        <f aca="false">12_UTILITY!N42-12_UTILITY!N43</f>
        <v>160.847593786658</v>
      </c>
      <c r="O51" s="34" t="n">
        <f aca="false">12_UTILITY!O42-12_UTILITY!O43</f>
        <v>163.003745662391</v>
      </c>
      <c r="P51" s="34" t="n">
        <f aca="false">12_UTILITY!P42-12_UTILITY!P43</f>
        <v>165.203020575639</v>
      </c>
      <c r="Q51" s="34" t="n">
        <f aca="false">12_UTILITY!Q42-12_UTILITY!Q43</f>
        <v>167.446280987152</v>
      </c>
      <c r="R51" s="34" t="n">
        <f aca="false">12_UTILITY!R42-12_UTILITY!R43</f>
        <v>169.734406606895</v>
      </c>
      <c r="S51" s="34" t="n">
        <f aca="false">12_UTILITY!S42-12_UTILITY!S43</f>
        <v>172.068294739033</v>
      </c>
      <c r="T51" s="34" t="n">
        <f aca="false">12_UTILITY!T42-12_UTILITY!T43</f>
        <v>174.448860633814</v>
      </c>
      <c r="U51" s="34" t="n">
        <f aca="false">12_UTILITY!U42-12_UTILITY!U43</f>
        <v>176.87703784649</v>
      </c>
      <c r="V51" s="34" t="n">
        <f aca="false">12_UTILITY!V42-12_UTILITY!V43</f>
        <v>179.35377860342</v>
      </c>
      <c r="W51" s="34" t="n">
        <f aca="false">12_UTILITY!W42-12_UTILITY!W43</f>
        <v>181.880054175488</v>
      </c>
      <c r="X51" s="34" t="n">
        <f aca="false">12_UTILITY!X42-12_UTILITY!X43</f>
        <v>184.456855258998</v>
      </c>
      <c r="Y51" s="34" t="n">
        <f aca="false">12_UTILITY!Y42-12_UTILITY!Y43</f>
        <v>187.085192364178</v>
      </c>
      <c r="Z51" s="34" t="n">
        <f aca="false">12_UTILITY!Z42-12_UTILITY!Z43</f>
        <v>189.766096211461</v>
      </c>
      <c r="AA51" s="34" t="n">
        <f aca="false">12_UTILITY!AA42-12_UTILITY!AA43</f>
        <v>192.50061813569</v>
      </c>
      <c r="AB51" s="34" t="n">
        <f aca="false">12_UTILITY!AB42-12_UTILITY!AB43</f>
        <v>195.289830498404</v>
      </c>
      <c r="AC51" s="34" t="n">
        <f aca="false">12_UTILITY!AC42-12_UTILITY!AC43</f>
        <v>198.134827108372</v>
      </c>
      <c r="AD51" s="34" t="n">
        <f aca="false">12_UTILITY!AD42-12_UTILITY!AD43</f>
        <v>201.03672365054</v>
      </c>
      <c r="AE51" s="34" t="n">
        <f aca="false">12_UTILITY!AE42-12_UTILITY!AE43</f>
        <v>203.996658123551</v>
      </c>
      <c r="AF51" s="34" t="n">
        <f aca="false">12_UTILITY!AF42-12_UTILITY!AF43</f>
        <v>207.015791286022</v>
      </c>
      <c r="AG51" s="34" t="n">
        <f aca="false">12_UTILITY!AG42-12_UTILITY!AG43</f>
        <v>210.095307111742</v>
      </c>
      <c r="AH51" s="34" t="n">
        <f aca="false">12_UTILITY!AH42-12_UTILITY!AH43</f>
        <v>213.236413253977</v>
      </c>
      <c r="AI51" s="34" t="n">
        <f aca="false">12_UTILITY!AI42-12_UTILITY!AI43</f>
        <v>216.440341519056</v>
      </c>
      <c r="AJ51" s="34" t="n">
        <f aca="false">12_UTILITY!AJ42-12_UTILITY!AJ43</f>
        <v>219.708348349438</v>
      </c>
      <c r="AK51" s="34" t="n">
        <f aca="false">12_UTILITY!AK42-12_UTILITY!AK43</f>
        <v>223.041715316426</v>
      </c>
      <c r="AL51" s="34" t="n">
        <f aca="false">12_UTILITY!AL42-12_UTILITY!AL43</f>
        <v>226.441749622755</v>
      </c>
      <c r="AM51" s="34" t="n">
        <f aca="false">12_UTILITY!AM42-12_UTILITY!AM43</f>
        <v>229.90978461521</v>
      </c>
      <c r="AN51" s="34" t="n">
        <f aca="false">12_UTILITY!AN42-12_UTILITY!AN43</f>
        <v>0</v>
      </c>
      <c r="AO51" s="34" t="n">
        <f aca="false">12_UTILITY!AO42-12_UTILITY!AO43</f>
        <v>0</v>
      </c>
      <c r="AP51" s="34" t="n">
        <f aca="false">12_UTILITY!AP42-12_UTILITY!AP43</f>
        <v>0</v>
      </c>
      <c r="AQ51" s="34" t="n">
        <f aca="false">12_UTILITY!AQ42-12_UTILITY!AQ43</f>
        <v>0</v>
      </c>
      <c r="AR51" s="34" t="n">
        <f aca="false">12_UTILITY!AR42-12_UTILITY!AR43</f>
        <v>0</v>
      </c>
    </row>
    <row r="52" customFormat="false" ht="15" hidden="false" customHeight="false" outlineLevel="0" collapsed="false">
      <c r="A52" s="8" t="s">
        <v>458</v>
      </c>
      <c r="B52" s="8" t="s">
        <v>84</v>
      </c>
      <c r="E52" s="34" t="n">
        <f aca="false">12_UTILITY!E40-12_UTILITY!E51</f>
        <v>151.364683511502</v>
      </c>
      <c r="F52" s="34" t="n">
        <f aca="false">12_UTILITY!F40-12_UTILITY!F51</f>
        <v>167.063982546379</v>
      </c>
      <c r="G52" s="34" t="n">
        <f aca="false">12_UTILITY!G40-12_UTILITY!G51</f>
        <v>183.77286099006</v>
      </c>
      <c r="H52" s="34" t="n">
        <f aca="false">12_UTILITY!H40-12_UTILITY!H51</f>
        <v>201.555610106276</v>
      </c>
      <c r="I52" s="34" t="n">
        <f aca="false">12_UTILITY!I40-12_UTILITY!I51</f>
        <v>220.480601253486</v>
      </c>
      <c r="J52" s="34" t="n">
        <f aca="false">12_UTILITY!J40-12_UTILITY!J51</f>
        <v>219.200314861802</v>
      </c>
      <c r="K52" s="34" t="n">
        <f aca="false">12_UTILITY!K40-12_UTILITY!K51</f>
        <v>237.26501893613</v>
      </c>
      <c r="L52" s="34" t="n">
        <f aca="false">12_UTILITY!L40-12_UTILITY!L51</f>
        <v>260.489796661064</v>
      </c>
      <c r="M52" s="34" t="n">
        <f aca="false">12_UTILITY!M40-12_UTILITY!M51</f>
        <v>285.182112486148</v>
      </c>
      <c r="N52" s="34" t="n">
        <f aca="false">12_UTILITY!N40-12_UTILITY!N51</f>
        <v>311.435018545732</v>
      </c>
      <c r="O52" s="34" t="n">
        <f aca="false">12_UTILITY!O40-12_UTILITY!O51</f>
        <v>339.347465479721</v>
      </c>
      <c r="P52" s="34" t="n">
        <f aca="false">12_UTILITY!P40-12_UTILITY!P51</f>
        <v>369.024675990172</v>
      </c>
      <c r="Q52" s="34" t="n">
        <f aca="false">12_UTILITY!Q40-12_UTILITY!Q51</f>
        <v>400.578542031947</v>
      </c>
      <c r="R52" s="34" t="n">
        <f aca="false">12_UTILITY!R40-12_UTILITY!R51</f>
        <v>434.128047131173</v>
      </c>
      <c r="S52" s="34" t="n">
        <f aca="false">12_UTILITY!S40-12_UTILITY!S51</f>
        <v>469.799715419591</v>
      </c>
      <c r="T52" s="34" t="n">
        <f aca="false">12_UTILITY!T40-12_UTILITY!T51</f>
        <v>507.728089073105</v>
      </c>
      <c r="U52" s="34" t="n">
        <f aca="false">12_UTILITY!U40-12_UTILITY!U51</f>
        <v>548.056235949472</v>
      </c>
      <c r="V52" s="34" t="n">
        <f aca="false">12_UTILITY!V40-12_UTILITY!V51</f>
        <v>590.936289333338</v>
      </c>
      <c r="W52" s="34" t="n">
        <f aca="false">12_UTILITY!W40-12_UTILITY!W51</f>
        <v>636.5300218173</v>
      </c>
      <c r="X52" s="34" t="n">
        <f aca="false">12_UTILITY!X40-12_UTILITY!X51</f>
        <v>685.009455475674</v>
      </c>
      <c r="Y52" s="34" t="n">
        <f aca="false">12_UTILITY!Y40-12_UTILITY!Y51</f>
        <v>736.557510623863</v>
      </c>
      <c r="Z52" s="34" t="n">
        <f aca="false">12_UTILITY!Z40-12_UTILITY!Z51</f>
        <v>791.368695600755</v>
      </c>
      <c r="AA52" s="34" t="n">
        <f aca="false">12_UTILITY!AA40-12_UTILITY!AA51</f>
        <v>849.649840165582</v>
      </c>
      <c r="AB52" s="34" t="n">
        <f aca="false">12_UTILITY!AB40-12_UTILITY!AB51</f>
        <v>911.620875264033</v>
      </c>
      <c r="AC52" s="34" t="n">
        <f aca="false">12_UTILITY!AC40-12_UTILITY!AC51</f>
        <v>977.515662092322</v>
      </c>
      <c r="AD52" s="34" t="n">
        <f aca="false">12_UTILITY!AD40-12_UTILITY!AD51</f>
        <v>1047.58287357264</v>
      </c>
      <c r="AE52" s="34" t="n">
        <f aca="false">12_UTILITY!AE40-12_UTILITY!AE51</f>
        <v>1122.08693154988</v>
      </c>
      <c r="AF52" s="34" t="n">
        <f aca="false">12_UTILITY!AF40-12_UTILITY!AF51</f>
        <v>1201.30900322823</v>
      </c>
      <c r="AG52" s="34" t="n">
        <f aca="false">12_UTILITY!AG40-12_UTILITY!AG51</f>
        <v>1285.54806058837</v>
      </c>
      <c r="AH52" s="34" t="n">
        <f aca="false">12_UTILITY!AH40-12_UTILITY!AH51</f>
        <v>1375.12200676163</v>
      </c>
      <c r="AI52" s="34" t="n">
        <f aca="false">12_UTILITY!AI40-12_UTILITY!AI51</f>
        <v>1470.36887358863</v>
      </c>
      <c r="AJ52" s="34" t="n">
        <f aca="false">12_UTILITY!AJ40-12_UTILITY!AJ51</f>
        <v>1571.6480948562</v>
      </c>
      <c r="AK52" s="34" t="n">
        <f aca="false">12_UTILITY!AK40-12_UTILITY!AK51</f>
        <v>1679.34185998999</v>
      </c>
      <c r="AL52" s="34" t="n">
        <f aca="false">12_UTILITY!AL40-12_UTILITY!AL51</f>
        <v>1793.85655328135</v>
      </c>
      <c r="AM52" s="34" t="n">
        <f aca="false">12_UTILITY!AM40-12_UTILITY!AM51</f>
        <v>1915.62428404712</v>
      </c>
      <c r="AN52" s="34" t="n">
        <f aca="false">12_UTILITY!AN40-12_UTILITY!AN51</f>
        <v>2055.28023592084</v>
      </c>
      <c r="AO52" s="34" t="n">
        <f aca="false">12_UTILITY!AO40-12_UTILITY!AO51</f>
        <v>2192.35698121134</v>
      </c>
      <c r="AP52" s="34" t="n">
        <f aca="false">12_UTILITY!AP40-12_UTILITY!AP51</f>
        <v>2338.14690930224</v>
      </c>
      <c r="AQ52" s="34" t="n">
        <f aca="false">12_UTILITY!AQ40-12_UTILITY!AQ51</f>
        <v>2493.20230205373</v>
      </c>
      <c r="AR52" s="34" t="n">
        <f aca="false">12_UTILITY!AR40-12_UTILITY!AR51</f>
        <v>2658.11039573705</v>
      </c>
    </row>
    <row r="53" customFormat="false" ht="15" hidden="false" customHeight="false" outlineLevel="0" collapsed="false">
      <c r="A53" s="8" t="s">
        <v>459</v>
      </c>
      <c r="B53" s="8" t="s">
        <v>82</v>
      </c>
      <c r="E53" s="54" t="n">
        <f aca="false">(12_UTILITY!E40-12_UTILITY!E39-12_UTILITY!E51)/-12_UTILITY!E39</f>
        <v>2.78076098248826</v>
      </c>
      <c r="F53" s="54" t="n">
        <f aca="false">(12_UTILITY!F40-12_UTILITY!F39-12_UTILITY!F51)/-12_UTILITY!F39</f>
        <v>2.9654586181927</v>
      </c>
      <c r="G53" s="54" t="n">
        <f aca="false">(12_UTILITY!G40-12_UTILITY!G39-12_UTILITY!G51)/-12_UTILITY!G39</f>
        <v>3.16203365870659</v>
      </c>
      <c r="H53" s="54" t="n">
        <f aca="false">(12_UTILITY!H40-12_UTILITY!H39-12_UTILITY!H51)/-12_UTILITY!H39</f>
        <v>3.37124247183854</v>
      </c>
      <c r="I53" s="54" t="n">
        <f aca="false">(12_UTILITY!I40-12_UTILITY!I39-12_UTILITY!I51)/-12_UTILITY!I39</f>
        <v>3.5938894265116</v>
      </c>
      <c r="J53" s="54" t="n">
        <f aca="false">(12_UTILITY!J40-12_UTILITY!J39-12_UTILITY!J51)/-12_UTILITY!J39</f>
        <v>3.57882723366826</v>
      </c>
      <c r="K53" s="54" t="n">
        <f aca="false">(12_UTILITY!K40-12_UTILITY!K39-12_UTILITY!K51)/-12_UTILITY!K39</f>
        <v>3.79135316395447</v>
      </c>
      <c r="L53" s="54" t="n">
        <f aca="false">(12_UTILITY!L40-12_UTILITY!L39-12_UTILITY!L51)/-12_UTILITY!L39</f>
        <v>4.06458584307134</v>
      </c>
      <c r="M53" s="54" t="n">
        <f aca="false">(12_UTILITY!M40-12_UTILITY!M39-12_UTILITY!M51)/-12_UTILITY!M39</f>
        <v>4.35508367630762</v>
      </c>
      <c r="N53" s="54" t="n">
        <f aca="false">(12_UTILITY!N40-12_UTILITY!N39-12_UTILITY!N51)/-12_UTILITY!N39</f>
        <v>4.66394139465567</v>
      </c>
      <c r="O53" s="54" t="n">
        <f aca="false">(12_UTILITY!O40-12_UTILITY!O39-12_UTILITY!O51)/-12_UTILITY!O39</f>
        <v>4.99232312329084</v>
      </c>
      <c r="P53" s="54" t="n">
        <f aca="false">(12_UTILITY!P40-12_UTILITY!P39-12_UTILITY!P51)/-12_UTILITY!P39</f>
        <v>5.34146677635497</v>
      </c>
      <c r="Q53" s="54" t="n">
        <f aca="false">(12_UTILITY!Q40-12_UTILITY!Q39-12_UTILITY!Q51)/-12_UTILITY!Q39</f>
        <v>5.71268872978761</v>
      </c>
      <c r="R53" s="54" t="n">
        <f aca="false">(12_UTILITY!R40-12_UTILITY!R39-12_UTILITY!R51)/-12_UTILITY!R39</f>
        <v>6.10738878977851</v>
      </c>
      <c r="S53" s="54" t="n">
        <f aca="false">(12_UTILITY!S40-12_UTILITY!S39-12_UTILITY!S51)/-12_UTILITY!S39</f>
        <v>6.5270554755246</v>
      </c>
      <c r="T53" s="54" t="n">
        <f aca="false">(12_UTILITY!T40-12_UTILITY!T39-12_UTILITY!T51)/-12_UTILITY!T39</f>
        <v>6.97327163615417</v>
      </c>
      <c r="U53" s="54" t="n">
        <f aca="false">(12_UTILITY!U40-12_UTILITY!U39-12_UTILITY!U51)/-12_UTILITY!U39</f>
        <v>7.44772042293496</v>
      </c>
      <c r="V53" s="54" t="n">
        <f aca="false">(12_UTILITY!V40-12_UTILITY!V39-12_UTILITY!V51)/-12_UTILITY!V39</f>
        <v>7.95219163921574</v>
      </c>
      <c r="W53" s="54" t="n">
        <f aca="false">(12_UTILITY!W40-12_UTILITY!W39-12_UTILITY!W51)/-12_UTILITY!W39</f>
        <v>8.48858849196823</v>
      </c>
      <c r="X53" s="54" t="n">
        <f aca="false">(12_UTILITY!X40-12_UTILITY!X39-12_UTILITY!X51)/-12_UTILITY!X39</f>
        <v>9.05893477030205</v>
      </c>
      <c r="Y53" s="54" t="n">
        <f aca="false">(12_UTILITY!Y40-12_UTILITY!Y39-12_UTILITY!Y51)/-12_UTILITY!Y39</f>
        <v>9.6653824779278</v>
      </c>
      <c r="Z53" s="54" t="n">
        <f aca="false">(12_UTILITY!Z40-12_UTILITY!Z39-12_UTILITY!Z51)/-12_UTILITY!Z39</f>
        <v>10.3102199482442</v>
      </c>
      <c r="AA53" s="54" t="n">
        <f aca="false">(12_UTILITY!AA40-12_UTILITY!AA39-12_UTILITY!AA51)/-12_UTILITY!AA39</f>
        <v>10.9958804725363</v>
      </c>
      <c r="AB53" s="54" t="n">
        <f aca="false">(12_UTILITY!AB40-12_UTILITY!AB39-12_UTILITY!AB51)/-12_UTILITY!AB39</f>
        <v>11.7249514736945</v>
      </c>
      <c r="AC53" s="54" t="n">
        <f aca="false">(12_UTILITY!AC40-12_UTILITY!AC39-12_UTILITY!AC51)/-12_UTILITY!AC39</f>
        <v>12.5001842599097</v>
      </c>
      <c r="AD53" s="54" t="n">
        <f aca="false">(12_UTILITY!AD40-12_UTILITY!AD39-12_UTILITY!AD51)/-12_UTILITY!AD39</f>
        <v>13.3245043949722</v>
      </c>
      <c r="AE53" s="54" t="n">
        <f aca="false">(12_UTILITY!AE40-12_UTILITY!AE39-12_UTILITY!AE51)/-12_UTILITY!AE39</f>
        <v>14.2010227241162</v>
      </c>
      <c r="AF53" s="54" t="n">
        <f aca="false">(12_UTILITY!AF40-12_UTILITY!AF39-12_UTILITY!AF51)/-12_UTILITY!AF39</f>
        <v>15.1330470968027</v>
      </c>
      <c r="AG53" s="54" t="n">
        <f aca="false">(12_UTILITY!AG40-12_UTILITY!AG39-12_UTILITY!AG51)/-12_UTILITY!AG39</f>
        <v>16.1240948304514</v>
      </c>
      <c r="AH53" s="54" t="n">
        <f aca="false">(12_UTILITY!AH40-12_UTILITY!AH39-12_UTILITY!AH51)/-12_UTILITY!AH39</f>
        <v>17.1779059619016</v>
      </c>
      <c r="AI53" s="54" t="n">
        <f aca="false">(12_UTILITY!AI40-12_UTILITY!AI39-12_UTILITY!AI51)/-12_UTILITY!AI39</f>
        <v>18.2984573363368</v>
      </c>
      <c r="AJ53" s="54" t="n">
        <f aca="false">(12_UTILITY!AJ40-12_UTILITY!AJ39-12_UTILITY!AJ51)/-12_UTILITY!AJ39</f>
        <v>19.4899775865435</v>
      </c>
      <c r="AK53" s="54" t="n">
        <f aca="false">(12_UTILITY!AK40-12_UTILITY!AK39-12_UTILITY!AK51)/-12_UTILITY!AK39</f>
        <v>20.7569630587058</v>
      </c>
      <c r="AL53" s="54" t="n">
        <f aca="false">(12_UTILITY!AL40-12_UTILITY!AL39-12_UTILITY!AL51)/-12_UTILITY!AL39</f>
        <v>22.1041947444865</v>
      </c>
      <c r="AM53" s="54" t="n">
        <f aca="false">(12_UTILITY!AM40-12_UTILITY!AM39-12_UTILITY!AM51)/-12_UTILITY!AM39</f>
        <v>23.5367562829073</v>
      </c>
      <c r="AN53" s="54" t="n">
        <f aca="false">(12_UTILITY!AN40-12_UTILITY!AN39-12_UTILITY!AN51)/-12_UTILITY!AN39</f>
        <v>25.1797674814216</v>
      </c>
      <c r="AO53" s="54" t="n">
        <f aca="false">(12_UTILITY!AO40-12_UTILITY!AO39-12_UTILITY!AO51)/-12_UTILITY!AO39</f>
        <v>26.7924350730746</v>
      </c>
      <c r="AP53" s="54" t="n">
        <f aca="false">(12_UTILITY!AP40-12_UTILITY!AP39-12_UTILITY!AP51)/-12_UTILITY!AP39</f>
        <v>28.5076106976735</v>
      </c>
      <c r="AQ53" s="54" t="n">
        <f aca="false">(12_UTILITY!AQ40-12_UTILITY!AQ39-12_UTILITY!AQ51)/-12_UTILITY!AQ39</f>
        <v>30.3317917888674</v>
      </c>
      <c r="AR53" s="54" t="n">
        <f aca="false">(12_UTILITY!AR40-12_UTILITY!AR39-12_UTILITY!AR51)/-12_UTILITY!AR39</f>
        <v>32.2718870086711</v>
      </c>
    </row>
    <row r="54" customFormat="false" ht="15" hidden="false" customHeight="false" outlineLevel="0" collapsed="false">
      <c r="A54" s="8" t="s">
        <v>460</v>
      </c>
      <c r="B54" s="8" t="s">
        <v>84</v>
      </c>
      <c r="E54" s="34" t="n">
        <f aca="false">IF(1=1,12_UTILITY!$C$19,12_UTILITY!D54)*(1-12_UTILITY!$C$20)+12_UTILITY!E33-12_UTILITY!E35</f>
        <v>241.70236845283</v>
      </c>
      <c r="F54" s="34" t="n">
        <f aca="false">IF(2=1,12_UTILITY!$C$19,12_UTILITY!E54)*(1-12_UTILITY!$C$20)+12_UTILITY!F33-12_UTILITY!F35</f>
        <v>292.38193436591</v>
      </c>
      <c r="G54" s="34" t="n">
        <f aca="false">IF(3=1,12_UTILITY!$C$19,12_UTILITY!F54)*(1-12_UTILITY!$C$20)+12_UTILITY!G33-12_UTILITY!G35</f>
        <v>335.830133301666</v>
      </c>
      <c r="H54" s="34" t="n">
        <f aca="false">IF(4=1,12_UTILITY!$C$19,12_UTILITY!G54)*(1-12_UTILITY!$C$20)+12_UTILITY!H33-12_UTILITY!H35</f>
        <v>374.732331666358</v>
      </c>
      <c r="I54" s="34" t="n">
        <f aca="false">IF(5=1,12_UTILITY!$C$19,12_UTILITY!H54)*(1-12_UTILITY!$C$20)+12_UTILITY!I33-12_UTILITY!I35</f>
        <v>411.001677079347</v>
      </c>
      <c r="J54" s="34" t="n">
        <f aca="false">IF(6=1,12_UTILITY!$C$19,12_UTILITY!I54)*(1-12_UTILITY!$C$20)+12_UTILITY!J33-12_UTILITY!J35</f>
        <v>462.601191662166</v>
      </c>
      <c r="K54" s="34" t="n">
        <f aca="false">IF(7=1,12_UTILITY!$C$19,12_UTILITY!J54)*(1-12_UTILITY!$C$20)+12_UTILITY!K33-12_UTILITY!K35</f>
        <v>512.261870669282</v>
      </c>
      <c r="L54" s="34" t="n">
        <f aca="false">IF(8=1,12_UTILITY!$C$19,12_UTILITY!K54)*(1-12_UTILITY!$C$20)+12_UTILITY!L33-12_UTILITY!L35</f>
        <v>558.308026274447</v>
      </c>
      <c r="M54" s="34" t="n">
        <f aca="false">IF(9=1,12_UTILITY!$C$19,12_UTILITY!L54)*(1-12_UTILITY!$C$20)+12_UTILITY!M33-12_UTILITY!M35</f>
        <v>602.537060191186</v>
      </c>
      <c r="N54" s="34" t="n">
        <f aca="false">IF(10=1,12_UTILITY!$C$19,12_UTILITY!M54)*(1-12_UTILITY!$C$20)+12_UTILITY!N33-12_UTILITY!N35</f>
        <v>646.252975171129</v>
      </c>
      <c r="O54" s="34" t="n">
        <f aca="false">IF(11=1,12_UTILITY!$C$19,12_UTILITY!N54)*(1-12_UTILITY!$C$20)+12_UTILITY!O33-12_UTILITY!O35</f>
        <v>690.417354001562</v>
      </c>
      <c r="P54" s="34" t="n">
        <f aca="false">IF(12=1,12_UTILITY!$C$19,12_UTILITY!O54)*(1-12_UTILITY!$C$20)+12_UTILITY!P33-12_UTILITY!P35</f>
        <v>735.755236205722</v>
      </c>
      <c r="Q54" s="34" t="n">
        <f aca="false">IF(13=1,12_UTILITY!$C$19,12_UTILITY!P54)*(1-12_UTILITY!$C$20)+12_UTILITY!Q33-12_UTILITY!Q35</f>
        <v>782.829435519786</v>
      </c>
      <c r="R54" s="34" t="n">
        <f aca="false">IF(14=1,12_UTILITY!$C$19,12_UTILITY!Q54)*(1-12_UTILITY!$C$20)+12_UTILITY!R33-12_UTILITY!R35</f>
        <v>832.09277909979</v>
      </c>
      <c r="S54" s="34" t="n">
        <f aca="false">IF(15=1,12_UTILITY!$C$19,12_UTILITY!R54)*(1-12_UTILITY!$C$20)+12_UTILITY!S33-12_UTILITY!S35</f>
        <v>883.92490597908</v>
      </c>
      <c r="T54" s="34" t="n">
        <f aca="false">IF(16=1,12_UTILITY!$C$19,12_UTILITY!S54)*(1-12_UTILITY!$C$20)+12_UTILITY!T33-12_UTILITY!T35</f>
        <v>938.658271949273</v>
      </c>
      <c r="U54" s="34" t="n">
        <f aca="false">IF(17=1,12_UTILITY!$C$19,12_UTILITY!T54)*(1-12_UTILITY!$C$20)+12_UTILITY!U33-12_UTILITY!U35</f>
        <v>996.596614853143</v>
      </c>
      <c r="V54" s="34" t="n">
        <f aca="false">IF(18=1,12_UTILITY!$C$19,12_UTILITY!U54)*(1-12_UTILITY!$C$20)+12_UTILITY!V33-12_UTILITY!V35</f>
        <v>1058.02815911132</v>
      </c>
      <c r="W54" s="34" t="n">
        <f aca="false">IF(19=1,12_UTILITY!$C$19,12_UTILITY!V54)*(1-12_UTILITY!$C$20)+12_UTILITY!W33-12_UTILITY!W35</f>
        <v>1123.23515575473</v>
      </c>
      <c r="X54" s="34" t="n">
        <f aca="false">IF(20=1,12_UTILITY!$C$19,12_UTILITY!W54)*(1-12_UTILITY!$C$20)+12_UTILITY!X33-12_UTILITY!X35</f>
        <v>1192.50087652059</v>
      </c>
      <c r="Y54" s="34" t="n">
        <f aca="false">IF(21=1,12_UTILITY!$C$19,12_UTILITY!X54)*(1-12_UTILITY!$C$20)+12_UTILITY!Y33-12_UTILITY!Y35</f>
        <v>1266.11484624591</v>
      </c>
      <c r="Z54" s="34" t="n">
        <f aca="false">IF(22=1,12_UTILITY!$C$19,12_UTILITY!Y54)*(1-12_UTILITY!$C$20)+12_UTILITY!Z33-12_UTILITY!Z35</f>
        <v>1344.37686384528</v>
      </c>
      <c r="AA54" s="34" t="n">
        <f aca="false">IF(23=1,12_UTILITY!$C$19,12_UTILITY!Z54)*(1-12_UTILITY!$C$20)+12_UTILITY!AA33-12_UTILITY!AA35</f>
        <v>1427.60019848365</v>
      </c>
      <c r="AB54" s="34" t="n">
        <f aca="false">IF(24=1,12_UTILITY!$C$19,12_UTILITY!AA54)*(1-12_UTILITY!$C$20)+12_UTILITY!AB33-12_UTILITY!AB35</f>
        <v>1516.11423307143</v>
      </c>
      <c r="AC54" s="34" t="n">
        <f aca="false">IF(25=1,12_UTILITY!$C$19,12_UTILITY!AB54)*(1-12_UTILITY!$C$20)+12_UTILITY!AC33-12_UTILITY!AC35</f>
        <v>1610.26674716894</v>
      </c>
      <c r="AD54" s="34" t="n">
        <f aca="false">IF(26=1,12_UTILITY!$C$19,12_UTILITY!AC54)*(1-12_UTILITY!$C$20)+12_UTILITY!AD33-12_UTILITY!AD35</f>
        <v>1710.42597546206</v>
      </c>
      <c r="AE54" s="34" t="n">
        <f aca="false">IF(27=1,12_UTILITY!$C$19,12_UTILITY!AD54)*(1-12_UTILITY!$C$20)+12_UTILITY!AE33-12_UTILITY!AE35</f>
        <v>1816.98253893322</v>
      </c>
      <c r="AF54" s="34" t="n">
        <f aca="false">IF(28=1,12_UTILITY!$C$19,12_UTILITY!AE54)*(1-12_UTILITY!$C$20)+12_UTILITY!AF33-12_UTILITY!AF35</f>
        <v>1930.35131864306</v>
      </c>
      <c r="AG54" s="34" t="n">
        <f aca="false">IF(29=1,12_UTILITY!$C$19,12_UTILITY!AF54)*(1-12_UTILITY!$C$20)+12_UTILITY!AG33-12_UTILITY!AG35</f>
        <v>2050.97332311635</v>
      </c>
      <c r="AH54" s="34" t="n">
        <f aca="false">IF(30=1,12_UTILITY!$C$19,12_UTILITY!AG54)*(1-12_UTILITY!$C$20)+12_UTILITY!AH33-12_UTILITY!AH35</f>
        <v>2179.31758721372</v>
      </c>
      <c r="AI54" s="34" t="n">
        <f aca="false">IF(31=1,12_UTILITY!$C$19,12_UTILITY!AH54)*(1-12_UTILITY!$C$20)+12_UTILITY!AI33-12_UTILITY!AI35</f>
        <v>2315.88313133345</v>
      </c>
      <c r="AJ54" s="34" t="n">
        <f aca="false">IF(32=1,12_UTILITY!$C$19,12_UTILITY!AI54)*(1-12_UTILITY!$C$20)+12_UTILITY!AJ33-12_UTILITY!AJ35</f>
        <v>2461.20100361243</v>
      </c>
      <c r="AK54" s="34" t="n">
        <f aca="false">IF(33=1,12_UTILITY!$C$19,12_UTILITY!AJ54)*(1-12_UTILITY!$C$20)+12_UTILITY!AK33-12_UTILITY!AK35</f>
        <v>2615.83642363282</v>
      </c>
      <c r="AL54" s="34" t="n">
        <f aca="false">IF(34=1,12_UTILITY!$C$19,12_UTILITY!AK54)*(1-12_UTILITY!$C$20)+12_UTILITY!AL33-12_UTILITY!AL35</f>
        <v>2780.39104339825</v>
      </c>
      <c r="AM54" s="34" t="n">
        <f aca="false">IF(35=1,12_UTILITY!$C$19,12_UTILITY!AL54)*(1-12_UTILITY!$C$20)+12_UTILITY!AM33-12_UTILITY!AM35</f>
        <v>2955.50533960489</v>
      </c>
      <c r="AN54" s="34" t="n">
        <f aca="false">IF(36=1,12_UTILITY!$C$19,12_UTILITY!AM54)*(1-12_UTILITY!$C$20)+12_UTILITY!AN33-12_UTILITY!AN35</f>
        <v>3107.66960016686</v>
      </c>
      <c r="AO54" s="34" t="n">
        <f aca="false">IF(37=1,12_UTILITY!$C$19,12_UTILITY!AN54)*(1-12_UTILITY!$C$20)+12_UTILITY!AO33-12_UTILITY!AO35</f>
        <v>3281.4136091297</v>
      </c>
      <c r="AP54" s="34" t="n">
        <f aca="false">IF(38=1,12_UTILITY!$C$19,12_UTILITY!AO54)*(1-12_UTILITY!$C$20)+12_UTILITY!AP33-12_UTILITY!AP35</f>
        <v>3474.61430161716</v>
      </c>
      <c r="AQ54" s="34" t="n">
        <f aca="false">IF(39=1,12_UTILITY!$C$19,12_UTILITY!AP54)*(1-12_UTILITY!$C$20)+12_UTILITY!AQ33-12_UTILITY!AQ35</f>
        <v>3686.06710671737</v>
      </c>
      <c r="AR54" s="34" t="n">
        <f aca="false">IF(40=1,12_UTILITY!$C$19,12_UTILITY!AQ54)*(1-12_UTILITY!$C$20)+12_UTILITY!AR33-12_UTILITY!AR35</f>
        <v>3915.22862194521</v>
      </c>
    </row>
    <row r="55" customFormat="false" ht="15" hidden="false" customHeight="false" outlineLevel="0" collapsed="false">
      <c r="A55" s="8" t="s">
        <v>461</v>
      </c>
      <c r="B55" s="8" t="s">
        <v>176</v>
      </c>
      <c r="E55" s="47" t="n">
        <f aca="false">IF(12_UTILITY!E33&gt;0,12_UTILITY!E54/12_UTILITY!E33*365,0)</f>
        <v>91.4982457126616</v>
      </c>
      <c r="F55" s="47" t="n">
        <f aca="false">IF(12_UTILITY!F33&gt;0,12_UTILITY!F54/12_UTILITY!F33*365,0)</f>
        <v>103.95567811341</v>
      </c>
      <c r="G55" s="47" t="n">
        <f aca="false">IF(12_UTILITY!G33&gt;0,12_UTILITY!G54/12_UTILITY!G33*365,0)</f>
        <v>112.14583834853</v>
      </c>
      <c r="H55" s="47" t="n">
        <f aca="false">IF(12_UTILITY!H33&gt;0,12_UTILITY!H54/12_UTILITY!H33*365,0)</f>
        <v>117.530473200965</v>
      </c>
      <c r="I55" s="47" t="n">
        <f aca="false">IF(12_UTILITY!I33&gt;0,12_UTILITY!I54/12_UTILITY!I33*365,0)</f>
        <v>121.070610592873</v>
      </c>
      <c r="J55" s="47" t="n">
        <f aca="false">IF(12_UTILITY!J33&gt;0,12_UTILITY!J54/12_UTILITY!J33*365,0)</f>
        <v>115.848657195623</v>
      </c>
      <c r="K55" s="47" t="n">
        <f aca="false">IF(12_UTILITY!K33&gt;0,12_UTILITY!K54/12_UTILITY!K33*365,0)</f>
        <v>119.066793259907</v>
      </c>
      <c r="L55" s="47" t="n">
        <f aca="false">IF(12_UTILITY!L33&gt;0,12_UTILITY!L54/12_UTILITY!L33*365,0)</f>
        <v>122.437983349752</v>
      </c>
      <c r="M55" s="47" t="n">
        <f aca="false">IF(12_UTILITY!M33&gt;0,12_UTILITY!M54/12_UTILITY!M33*365,0)</f>
        <v>124.650214981152</v>
      </c>
      <c r="N55" s="47" t="n">
        <f aca="false">IF(12_UTILITY!N33&gt;0,12_UTILITY!N54/12_UTILITY!N33*365,0)</f>
        <v>126.096999454694</v>
      </c>
      <c r="O55" s="47" t="n">
        <f aca="false">IF(12_UTILITY!O33&gt;0,12_UTILITY!O54/12_UTILITY!O33*365,0)</f>
        <v>127.038504576264</v>
      </c>
      <c r="P55" s="47" t="n">
        <f aca="false">IF(12_UTILITY!P33&gt;0,12_UTILITY!P54/12_UTILITY!P33*365,0)</f>
        <v>127.646696986298</v>
      </c>
      <c r="Q55" s="47" t="n">
        <f aca="false">IF(12_UTILITY!Q33&gt;0,12_UTILITY!Q54/12_UTILITY!Q33*365,0)</f>
        <v>128.035215332878</v>
      </c>
      <c r="R55" s="47" t="n">
        <f aca="false">IF(12_UTILITY!R33&gt;0,12_UTILITY!R54/12_UTILITY!R33*365,0)</f>
        <v>128.279134192626</v>
      </c>
      <c r="S55" s="47" t="n">
        <f aca="false">IF(12_UTILITY!S33&gt;0,12_UTILITY!S54/12_UTILITY!S33*365,0)</f>
        <v>128.42803669065</v>
      </c>
      <c r="T55" s="47" t="n">
        <f aca="false">IF(12_UTILITY!T33&gt;0,12_UTILITY!T54/12_UTILITY!T33*365,0)</f>
        <v>128.514659268025</v>
      </c>
      <c r="U55" s="47" t="n">
        <f aca="false">IF(12_UTILITY!U33&gt;0,12_UTILITY!U54/12_UTILITY!U33*365,0)</f>
        <v>128.560607106207</v>
      </c>
      <c r="V55" s="47" t="n">
        <f aca="false">IF(12_UTILITY!V33&gt;0,12_UTILITY!V54/12_UTILITY!V33*365,0)</f>
        <v>128.580132035582</v>
      </c>
      <c r="W55" s="47" t="n">
        <f aca="false">IF(12_UTILITY!W33&gt;0,12_UTILITY!W54/12_UTILITY!W33*365,0)</f>
        <v>128.582629230218</v>
      </c>
      <c r="X55" s="47" t="n">
        <f aca="false">IF(12_UTILITY!X33&gt;0,12_UTILITY!X54/12_UTILITY!X33*365,0)</f>
        <v>128.574286865202</v>
      </c>
      <c r="Y55" s="47" t="n">
        <f aca="false">IF(12_UTILITY!Y33&gt;0,12_UTILITY!Y54/12_UTILITY!Y33*365,0)</f>
        <v>128.559175898383</v>
      </c>
      <c r="Z55" s="47" t="n">
        <f aca="false">IF(12_UTILITY!Z33&gt;0,12_UTILITY!Z54/12_UTILITY!Z33*365,0)</f>
        <v>128.539969860639</v>
      </c>
      <c r="AA55" s="47" t="n">
        <f aca="false">IF(12_UTILITY!AA33&gt;0,12_UTILITY!AA54/12_UTILITY!AA33*365,0)</f>
        <v>128.518420186921</v>
      </c>
      <c r="AB55" s="47" t="n">
        <f aca="false">IF(12_UTILITY!AB33&gt;0,12_UTILITY!AB54/12_UTILITY!AB33*365,0)</f>
        <v>128.495670059757</v>
      </c>
      <c r="AC55" s="47" t="n">
        <f aca="false">IF(12_UTILITY!AC33&gt;0,12_UTILITY!AC54/12_UTILITY!AC33*365,0)</f>
        <v>128.472461594934</v>
      </c>
      <c r="AD55" s="47" t="n">
        <f aca="false">IF(12_UTILITY!AD33&gt;0,12_UTILITY!AD54/12_UTILITY!AD33*365,0)</f>
        <v>128.449272594966</v>
      </c>
      <c r="AE55" s="47" t="n">
        <f aca="false">IF(12_UTILITY!AE33&gt;0,12_UTILITY!AE54/12_UTILITY!AE33*365,0)</f>
        <v>128.426406799878</v>
      </c>
      <c r="AF55" s="47" t="n">
        <f aca="false">IF(12_UTILITY!AF33&gt;0,12_UTILITY!AF54/12_UTILITY!AF33*365,0)</f>
        <v>128.404053439481</v>
      </c>
      <c r="AG55" s="47" t="n">
        <f aca="false">IF(12_UTILITY!AG33&gt;0,12_UTILITY!AG54/12_UTILITY!AG33*365,0)</f>
        <v>128.382326523152</v>
      </c>
      <c r="AH55" s="47" t="n">
        <f aca="false">IF(12_UTILITY!AH33&gt;0,12_UTILITY!AH54/12_UTILITY!AH33*365,0)</f>
        <v>128.3612907572</v>
      </c>
      <c r="AI55" s="47" t="n">
        <f aca="false">IF(12_UTILITY!AI33&gt;0,12_UTILITY!AI54/12_UTILITY!AI33*365,0)</f>
        <v>128.340978638055</v>
      </c>
      <c r="AJ55" s="47" t="n">
        <f aca="false">IF(12_UTILITY!AJ33&gt;0,12_UTILITY!AJ54/12_UTILITY!AJ33*365,0)</f>
        <v>128.321401723207</v>
      </c>
      <c r="AK55" s="47" t="n">
        <f aca="false">IF(12_UTILITY!AK33&gt;0,12_UTILITY!AK54/12_UTILITY!AK33*365,0)</f>
        <v>128.302558060924</v>
      </c>
      <c r="AL55" s="47" t="n">
        <f aca="false">IF(12_UTILITY!AL33&gt;0,12_UTILITY!AL54/12_UTILITY!AL33*365,0)</f>
        <v>128.284437085892</v>
      </c>
      <c r="AM55" s="47" t="n">
        <f aca="false">IF(12_UTILITY!AM33&gt;0,12_UTILITY!AM54/12_UTILITY!AM33*365,0)</f>
        <v>128.267022843208</v>
      </c>
      <c r="AN55" s="47" t="n">
        <f aca="false">IF(12_UTILITY!AN33&gt;0,12_UTILITY!AN54/12_UTILITY!AN33*365,0)</f>
        <v>131.029890289839</v>
      </c>
      <c r="AO55" s="47" t="n">
        <f aca="false">IF(12_UTILITY!AO33&gt;0,12_UTILITY!AO54/12_UTILITY!AO33*365,0)</f>
        <v>129.94582544308</v>
      </c>
      <c r="AP55" s="47" t="n">
        <f aca="false">IF(12_UTILITY!AP33&gt;0,12_UTILITY!AP54/12_UTILITY!AP33*365,0)</f>
        <v>129.233105155738</v>
      </c>
      <c r="AQ55" s="47" t="n">
        <f aca="false">IF(12_UTILITY!AQ33&gt;0,12_UTILITY!AQ54/12_UTILITY!AQ33*365,0)</f>
        <v>128.764525984013</v>
      </c>
      <c r="AR55" s="47" t="n">
        <f aca="false">IF(12_UTILITY!AR33&gt;0,12_UTILITY!AR54/12_UTILITY!AR33*365,0)</f>
        <v>128.456457806254</v>
      </c>
    </row>
    <row r="56" customFormat="false" ht="15" hidden="false" customHeight="false" outlineLevel="0" collapsed="false">
      <c r="A56" s="8" t="s">
        <v>462</v>
      </c>
      <c r="B56" s="8" t="s">
        <v>84</v>
      </c>
      <c r="E56" s="34" t="n">
        <f aca="false">12_UTILITY!D56+16_REVENUE!E24</f>
        <v>0</v>
      </c>
      <c r="F56" s="34" t="n">
        <f aca="false">12_UTILITY!E56+16_REVENUE!F24</f>
        <v>0</v>
      </c>
      <c r="G56" s="34" t="n">
        <f aca="false">12_UTILITY!F56+16_REVENUE!G24</f>
        <v>0</v>
      </c>
      <c r="H56" s="34" t="n">
        <f aca="false">12_UTILITY!G56+16_REVENUE!H24</f>
        <v>0</v>
      </c>
      <c r="I56" s="34" t="n">
        <f aca="false">12_UTILITY!H56+16_REVENUE!I24</f>
        <v>0</v>
      </c>
      <c r="J56" s="34" t="n">
        <f aca="false">12_UTILITY!I56+16_REVENUE!J24</f>
        <v>0</v>
      </c>
      <c r="K56" s="34" t="n">
        <f aca="false">12_UTILITY!J56+16_REVENUE!K24</f>
        <v>0</v>
      </c>
      <c r="L56" s="34" t="n">
        <f aca="false">12_UTILITY!K56+16_REVENUE!L24</f>
        <v>0</v>
      </c>
      <c r="M56" s="34" t="n">
        <f aca="false">12_UTILITY!L56+16_REVENUE!M24</f>
        <v>0</v>
      </c>
      <c r="N56" s="34" t="n">
        <f aca="false">12_UTILITY!M56+16_REVENUE!N24</f>
        <v>0</v>
      </c>
      <c r="O56" s="34" t="n">
        <f aca="false">12_UTILITY!N56+16_REVENUE!O24</f>
        <v>0</v>
      </c>
      <c r="P56" s="34" t="n">
        <f aca="false">12_UTILITY!O56+16_REVENUE!P24</f>
        <v>0</v>
      </c>
      <c r="Q56" s="34" t="n">
        <f aca="false">12_UTILITY!P56+16_REVENUE!Q24</f>
        <v>0</v>
      </c>
      <c r="R56" s="34" t="n">
        <f aca="false">12_UTILITY!Q56+16_REVENUE!R24</f>
        <v>0</v>
      </c>
      <c r="S56" s="34" t="n">
        <f aca="false">12_UTILITY!R56+16_REVENUE!S24</f>
        <v>0</v>
      </c>
      <c r="T56" s="34" t="n">
        <f aca="false">12_UTILITY!S56+16_REVENUE!T24</f>
        <v>0</v>
      </c>
      <c r="U56" s="34" t="n">
        <f aca="false">12_UTILITY!T56+16_REVENUE!U24</f>
        <v>0</v>
      </c>
      <c r="V56" s="34" t="n">
        <f aca="false">12_UTILITY!U56+16_REVENUE!V24</f>
        <v>0</v>
      </c>
      <c r="W56" s="34" t="n">
        <f aca="false">12_UTILITY!V56+16_REVENUE!W24</f>
        <v>0</v>
      </c>
      <c r="X56" s="34" t="n">
        <f aca="false">12_UTILITY!W56+16_REVENUE!X24</f>
        <v>0</v>
      </c>
      <c r="Y56" s="34" t="n">
        <f aca="false">12_UTILITY!X56+16_REVENUE!Y24</f>
        <v>0</v>
      </c>
      <c r="Z56" s="34" t="n">
        <f aca="false">12_UTILITY!Y56+16_REVENUE!Z24</f>
        <v>0</v>
      </c>
      <c r="AA56" s="34" t="n">
        <f aca="false">12_UTILITY!Z56+16_REVENUE!AA24</f>
        <v>0</v>
      </c>
      <c r="AB56" s="34" t="n">
        <f aca="false">12_UTILITY!AA56+16_REVENUE!AB24</f>
        <v>0</v>
      </c>
      <c r="AC56" s="34" t="n">
        <f aca="false">12_UTILITY!AB56+16_REVENUE!AC24</f>
        <v>0</v>
      </c>
      <c r="AD56" s="34" t="n">
        <f aca="false">12_UTILITY!AC56+16_REVENUE!AD24</f>
        <v>0</v>
      </c>
      <c r="AE56" s="34" t="n">
        <f aca="false">12_UTILITY!AD56+16_REVENUE!AE24</f>
        <v>0</v>
      </c>
      <c r="AF56" s="34" t="n">
        <f aca="false">12_UTILITY!AE56+16_REVENUE!AF24</f>
        <v>0</v>
      </c>
      <c r="AG56" s="34" t="n">
        <f aca="false">12_UTILITY!AF56+16_REVENUE!AG24</f>
        <v>0</v>
      </c>
      <c r="AH56" s="34" t="n">
        <f aca="false">12_UTILITY!AG56+16_REVENUE!AH24</f>
        <v>0</v>
      </c>
      <c r="AI56" s="34" t="n">
        <f aca="false">12_UTILITY!AH56+16_REVENUE!AI24</f>
        <v>0</v>
      </c>
      <c r="AJ56" s="34" t="n">
        <f aca="false">12_UTILITY!AI56+16_REVENUE!AJ24</f>
        <v>0</v>
      </c>
      <c r="AK56" s="34" t="n">
        <f aca="false">12_UTILITY!AJ56+16_REVENUE!AK24</f>
        <v>0</v>
      </c>
      <c r="AL56" s="34" t="n">
        <f aca="false">12_UTILITY!AK56+16_REVENUE!AL24</f>
        <v>0</v>
      </c>
      <c r="AM56" s="34" t="n">
        <f aca="false">12_UTILITY!AL56+16_REVENUE!AM24</f>
        <v>0</v>
      </c>
      <c r="AN56" s="34" t="n">
        <f aca="false">12_UTILITY!AM56+16_REVENUE!AN24</f>
        <v>0</v>
      </c>
      <c r="AO56" s="34" t="n">
        <f aca="false">12_UTILITY!AN56+16_REVENUE!AO24</f>
        <v>0</v>
      </c>
      <c r="AP56" s="34" t="n">
        <f aca="false">12_UTILITY!AO56+16_REVENUE!AP24</f>
        <v>0</v>
      </c>
      <c r="AQ56" s="34" t="n">
        <f aca="false">12_UTILITY!AP56+16_REVENUE!AQ24</f>
        <v>0</v>
      </c>
      <c r="AR56" s="34" t="n">
        <f aca="false">12_UTILITY!AQ56+16_REVENUE!AR24</f>
        <v>0</v>
      </c>
    </row>
    <row r="57" customFormat="false" ht="15" hidden="false" customHeight="false" outlineLevel="0" collapsed="false">
      <c r="A57" s="8" t="s">
        <v>463</v>
      </c>
      <c r="B57" s="8" t="s">
        <v>181</v>
      </c>
      <c r="E57" s="32" t="n">
        <f aca="false">MIN(12_UTILITY!E24+04_GENERATION!E20*11_OFFTAKER!$C$7/(1-12_UTILITY!$C$11-12_UTILITY!$C$12)*06_CONSTRUCTION!E14,10_DEMAND!E31)</f>
        <v>8987</v>
      </c>
      <c r="F57" s="32" t="n">
        <f aca="false">MIN(12_UTILITY!F24+04_GENERATION!F20*11_OFFTAKER!$C$7/(1-12_UTILITY!$C$11-12_UTILITY!$C$12)*06_CONSTRUCTION!F14,10_DEMAND!F31)</f>
        <v>9391.415</v>
      </c>
      <c r="G57" s="32" t="n">
        <f aca="false">MIN(12_UTILITY!G24+04_GENERATION!G20*11_OFFTAKER!$C$7/(1-12_UTILITY!$C$11-12_UTILITY!$C$12)*06_CONSTRUCTION!G14,10_DEMAND!G31)</f>
        <v>9814.028675</v>
      </c>
      <c r="H57" s="32" t="n">
        <f aca="false">MIN(12_UTILITY!H24+04_GENERATION!H20*11_OFFTAKER!$C$7/(1-12_UTILITY!$C$11-12_UTILITY!$C$12)*06_CONSTRUCTION!H14,10_DEMAND!H31)</f>
        <v>10255.659965375</v>
      </c>
      <c r="I57" s="32" t="n">
        <f aca="false">MIN(12_UTILITY!I24+04_GENERATION!I20*11_OFFTAKER!$C$7/(1-12_UTILITY!$C$11-12_UTILITY!$C$12)*06_CONSTRUCTION!I14,10_DEMAND!I31)</f>
        <v>10717.1646638169</v>
      </c>
      <c r="J57" s="32" t="n">
        <f aca="false">MIN(12_UTILITY!J24+04_GENERATION!J20*11_OFFTAKER!$C$7/(1-12_UTILITY!$C$11-12_UTILITY!$C$12)*06_CONSTRUCTION!J14,10_DEMAND!J31)</f>
        <v>11199.4370736886</v>
      </c>
      <c r="K57" s="32" t="n">
        <f aca="false">MIN(12_UTILITY!K24+04_GENERATION!K20*11_OFFTAKER!$C$7/(1-12_UTILITY!$C$11-12_UTILITY!$C$12)*06_CONSTRUCTION!K14,10_DEMAND!K31)</f>
        <v>11703.4117420046</v>
      </c>
      <c r="L57" s="32" t="n">
        <f aca="false">MIN(12_UTILITY!L24+04_GENERATION!L20*11_OFFTAKER!$C$7/(1-12_UTILITY!$C$11-12_UTILITY!$C$12)*06_CONSTRUCTION!L14,10_DEMAND!L31)</f>
        <v>12230.0652703948</v>
      </c>
      <c r="M57" s="32" t="n">
        <f aca="false">MIN(12_UTILITY!M24+04_GENERATION!M20*11_OFFTAKER!$C$7/(1-12_UTILITY!$C$11-12_UTILITY!$C$12)*06_CONSTRUCTION!M14,10_DEMAND!M31)</f>
        <v>12780.4182075626</v>
      </c>
      <c r="N57" s="32" t="n">
        <f aca="false">MIN(12_UTILITY!N24+04_GENERATION!N20*11_OFFTAKER!$C$7/(1-12_UTILITY!$C$11-12_UTILITY!$C$12)*06_CONSTRUCTION!N14,10_DEMAND!N31)</f>
        <v>13355.5370269029</v>
      </c>
      <c r="O57" s="32" t="n">
        <f aca="false">MIN(12_UTILITY!O24+04_GENERATION!O20*11_OFFTAKER!$C$7/(1-12_UTILITY!$C$11-12_UTILITY!$C$12)*06_CONSTRUCTION!O14,10_DEMAND!O31)</f>
        <v>13956.5361931135</v>
      </c>
      <c r="P57" s="32" t="n">
        <f aca="false">MIN(12_UTILITY!P24+04_GENERATION!P20*11_OFFTAKER!$C$7/(1-12_UTILITY!$C$11-12_UTILITY!$C$12)*06_CONSTRUCTION!P14,10_DEMAND!P31)</f>
        <v>14584.5803218036</v>
      </c>
      <c r="Q57" s="32" t="n">
        <f aca="false">MIN(12_UTILITY!Q24+04_GENERATION!Q20*11_OFFTAKER!$C$7/(1-12_UTILITY!$C$11-12_UTILITY!$C$12)*06_CONSTRUCTION!Q14,10_DEMAND!Q31)</f>
        <v>15240.8864362848</v>
      </c>
      <c r="R57" s="32" t="n">
        <f aca="false">MIN(12_UTILITY!R24+04_GENERATION!R20*11_OFFTAKER!$C$7/(1-12_UTILITY!$C$11-12_UTILITY!$C$12)*06_CONSTRUCTION!R14,10_DEMAND!R31)</f>
        <v>15926.7263259176</v>
      </c>
      <c r="S57" s="32" t="n">
        <f aca="false">MIN(12_UTILITY!S24+04_GENERATION!S20*11_OFFTAKER!$C$7/(1-12_UTILITY!$C$11-12_UTILITY!$C$12)*06_CONSTRUCTION!S14,10_DEMAND!S31)</f>
        <v>16643.4290105839</v>
      </c>
      <c r="T57" s="32" t="n">
        <f aca="false">MIN(12_UTILITY!T24+04_GENERATION!T20*11_OFFTAKER!$C$7/(1-12_UTILITY!$C$11-12_UTILITY!$C$12)*06_CONSTRUCTION!T14,10_DEMAND!T31)</f>
        <v>17392.3833160602</v>
      </c>
      <c r="U57" s="32" t="n">
        <f aca="false">MIN(12_UTILITY!U24+04_GENERATION!U20*11_OFFTAKER!$C$7/(1-12_UTILITY!$C$11-12_UTILITY!$C$12)*06_CONSTRUCTION!U14,10_DEMAND!U31)</f>
        <v>18175.0405652829</v>
      </c>
      <c r="V57" s="32" t="n">
        <f aca="false">MIN(12_UTILITY!V24+04_GENERATION!V20*11_OFFTAKER!$C$7/(1-12_UTILITY!$C$11-12_UTILITY!$C$12)*06_CONSTRUCTION!V14,10_DEMAND!V31)</f>
        <v>18992.9173907206</v>
      </c>
      <c r="W57" s="32" t="n">
        <f aca="false">MIN(12_UTILITY!W24+04_GENERATION!W20*11_OFFTAKER!$C$7/(1-12_UTILITY!$C$11-12_UTILITY!$C$12)*06_CONSTRUCTION!W14,10_DEMAND!W31)</f>
        <v>19847.5986733031</v>
      </c>
      <c r="X57" s="32" t="n">
        <f aca="false">MIN(12_UTILITY!X24+04_GENERATION!X20*11_OFFTAKER!$C$7/(1-12_UTILITY!$C$11-12_UTILITY!$C$12)*06_CONSTRUCTION!X14,10_DEMAND!X31)</f>
        <v>20740.7406136017</v>
      </c>
      <c r="Y57" s="32" t="n">
        <f aca="false">MIN(12_UTILITY!Y24+04_GENERATION!Y20*11_OFFTAKER!$C$7/(1-12_UTILITY!$C$11-12_UTILITY!$C$12)*06_CONSTRUCTION!Y14,10_DEMAND!Y31)</f>
        <v>21674.0739412138</v>
      </c>
      <c r="Z57" s="32" t="n">
        <f aca="false">MIN(12_UTILITY!Z24+04_GENERATION!Z20*11_OFFTAKER!$C$7/(1-12_UTILITY!$C$11-12_UTILITY!$C$12)*06_CONSTRUCTION!Z14,10_DEMAND!Z31)</f>
        <v>22649.4072685684</v>
      </c>
      <c r="AA57" s="32" t="n">
        <f aca="false">MIN(12_UTILITY!AA24+04_GENERATION!AA20*11_OFFTAKER!$C$7/(1-12_UTILITY!$C$11-12_UTILITY!$C$12)*06_CONSTRUCTION!AA14,10_DEMAND!AA31)</f>
        <v>23668.630595654</v>
      </c>
      <c r="AB57" s="32" t="n">
        <f aca="false">MIN(12_UTILITY!AB24+04_GENERATION!AB20*11_OFFTAKER!$C$7/(1-12_UTILITY!$C$11-12_UTILITY!$C$12)*06_CONSTRUCTION!AB14,10_DEMAND!AB31)</f>
        <v>24733.7189724584</v>
      </c>
      <c r="AC57" s="32" t="n">
        <f aca="false">MIN(12_UTILITY!AC24+04_GENERATION!AC20*11_OFFTAKER!$C$7/(1-12_UTILITY!$C$11-12_UTILITY!$C$12)*06_CONSTRUCTION!AC14,10_DEMAND!AC31)</f>
        <v>25846.736326219</v>
      </c>
      <c r="AD57" s="32" t="n">
        <f aca="false">MIN(12_UTILITY!AD24+04_GENERATION!AD20*11_OFFTAKER!$C$7/(1-12_UTILITY!$C$11-12_UTILITY!$C$12)*06_CONSTRUCTION!AD14,10_DEMAND!AD31)</f>
        <v>27009.8394608989</v>
      </c>
      <c r="AE57" s="32" t="n">
        <f aca="false">MIN(12_UTILITY!AE24+04_GENERATION!AE20*11_OFFTAKER!$C$7/(1-12_UTILITY!$C$11-12_UTILITY!$C$12)*06_CONSTRUCTION!AE14,10_DEMAND!AE31)</f>
        <v>28225.2822366393</v>
      </c>
      <c r="AF57" s="32" t="n">
        <f aca="false">MIN(12_UTILITY!AF24+04_GENERATION!AF20*11_OFFTAKER!$C$7/(1-12_UTILITY!$C$11-12_UTILITY!$C$12)*06_CONSTRUCTION!AF14,10_DEMAND!AF31)</f>
        <v>29495.4199372881</v>
      </c>
      <c r="AG57" s="32" t="n">
        <f aca="false">MIN(12_UTILITY!AG24+04_GENERATION!AG20*11_OFFTAKER!$C$7/(1-12_UTILITY!$C$11-12_UTILITY!$C$12)*06_CONSTRUCTION!AG14,10_DEMAND!AG31)</f>
        <v>30822.713834466</v>
      </c>
      <c r="AH57" s="32" t="n">
        <f aca="false">MIN(12_UTILITY!AH24+04_GENERATION!AH20*11_OFFTAKER!$C$7/(1-12_UTILITY!$C$11-12_UTILITY!$C$12)*06_CONSTRUCTION!AH14,10_DEMAND!AH31)</f>
        <v>32209.735957017</v>
      </c>
      <c r="AI57" s="32" t="n">
        <f aca="false">MIN(12_UTILITY!AI24+04_GENERATION!AI20*11_OFFTAKER!$C$7/(1-12_UTILITY!$C$11-12_UTILITY!$C$12)*06_CONSTRUCTION!AI14,10_DEMAND!AI31)</f>
        <v>33659.1740750828</v>
      </c>
      <c r="AJ57" s="32" t="n">
        <f aca="false">MIN(12_UTILITY!AJ24+04_GENERATION!AJ20*11_OFFTAKER!$C$7/(1-12_UTILITY!$C$11-12_UTILITY!$C$12)*06_CONSTRUCTION!AJ14,10_DEMAND!AJ31)</f>
        <v>35173.8369084615</v>
      </c>
      <c r="AK57" s="32" t="n">
        <f aca="false">MIN(12_UTILITY!AK24+04_GENERATION!AK20*11_OFFTAKER!$C$7/(1-12_UTILITY!$C$11-12_UTILITY!$C$12)*06_CONSTRUCTION!AK14,10_DEMAND!AK31)</f>
        <v>36756.6595693423</v>
      </c>
      <c r="AL57" s="32" t="n">
        <f aca="false">MIN(12_UTILITY!AL24+04_GENERATION!AL20*11_OFFTAKER!$C$7/(1-12_UTILITY!$C$11-12_UTILITY!$C$12)*06_CONSTRUCTION!AL14,10_DEMAND!AL31)</f>
        <v>38410.7092499627</v>
      </c>
      <c r="AM57" s="32" t="n">
        <f aca="false">MIN(12_UTILITY!AM24+04_GENERATION!AM20*11_OFFTAKER!$C$7/(1-12_UTILITY!$C$11-12_UTILITY!$C$12)*06_CONSTRUCTION!AM14,10_DEMAND!AM31)</f>
        <v>40139.191166211</v>
      </c>
      <c r="AN57" s="32" t="n">
        <f aca="false">MIN(12_UTILITY!AN24+04_GENERATION!AN20*11_OFFTAKER!$C$7/(1-12_UTILITY!$C$11-12_UTILITY!$C$12)*06_CONSTRUCTION!AN14,10_DEMAND!AN31)</f>
        <v>41945.4547686905</v>
      </c>
      <c r="AO57" s="32" t="n">
        <f aca="false">MIN(12_UTILITY!AO24+04_GENERATION!AO20*11_OFFTAKER!$C$7/(1-12_UTILITY!$C$11-12_UTILITY!$C$12)*06_CONSTRUCTION!AO14,10_DEMAND!AO31)</f>
        <v>43833.0002332815</v>
      </c>
      <c r="AP57" s="32" t="n">
        <f aca="false">MIN(12_UTILITY!AP24+04_GENERATION!AP20*11_OFFTAKER!$C$7/(1-12_UTILITY!$C$11-12_UTILITY!$C$12)*06_CONSTRUCTION!AP14,10_DEMAND!AP31)</f>
        <v>45805.4852437792</v>
      </c>
      <c r="AQ57" s="32" t="n">
        <f aca="false">MIN(12_UTILITY!AQ24+04_GENERATION!AQ20*11_OFFTAKER!$C$7/(1-12_UTILITY!$C$11-12_UTILITY!$C$12)*06_CONSTRUCTION!AQ14,10_DEMAND!AQ31)</f>
        <v>47866.7320797493</v>
      </c>
      <c r="AR57" s="32" t="n">
        <f aca="false">MIN(12_UTILITY!AR24+04_GENERATION!AR20*11_OFFTAKER!$C$7/(1-12_UTILITY!$C$11-12_UTILITY!$C$12)*06_CONSTRUCTION!AR14,10_DEMAND!AR31)</f>
        <v>50020.735023338</v>
      </c>
    </row>
    <row r="58" customFormat="false" ht="15" hidden="false" customHeight="false" outlineLevel="0" collapsed="false">
      <c r="A58" s="8" t="s">
        <v>464</v>
      </c>
      <c r="B58" s="8" t="s">
        <v>181</v>
      </c>
      <c r="E58" s="32" t="n">
        <f aca="false">12_UTILITY!E57*(1-12_UTILITY!$C$11-12_UTILITY!$C$12)</f>
        <v>7009.86</v>
      </c>
      <c r="F58" s="32" t="n">
        <f aca="false">12_UTILITY!F57*(1-12_UTILITY!$C$11-12_UTILITY!$C$12)</f>
        <v>7325.3037</v>
      </c>
      <c r="G58" s="32" t="n">
        <f aca="false">12_UTILITY!G57*(1-12_UTILITY!$C$11-12_UTILITY!$C$12)</f>
        <v>7654.9423665</v>
      </c>
      <c r="H58" s="32" t="n">
        <f aca="false">12_UTILITY!H57*(1-12_UTILITY!$C$11-12_UTILITY!$C$12)</f>
        <v>7999.4147729925</v>
      </c>
      <c r="I58" s="32" t="n">
        <f aca="false">12_UTILITY!I57*(1-12_UTILITY!$C$11-12_UTILITY!$C$12)</f>
        <v>8359.38843777716</v>
      </c>
      <c r="J58" s="32" t="n">
        <f aca="false">12_UTILITY!J57*(1-12_UTILITY!$C$11-12_UTILITY!$C$12)</f>
        <v>8735.56091747713</v>
      </c>
      <c r="K58" s="32" t="n">
        <f aca="false">12_UTILITY!K57*(1-12_UTILITY!$C$11-12_UTILITY!$C$12)</f>
        <v>9128.6611587636</v>
      </c>
      <c r="L58" s="32" t="n">
        <f aca="false">12_UTILITY!L57*(1-12_UTILITY!$C$11-12_UTILITY!$C$12)</f>
        <v>9539.45091090796</v>
      </c>
      <c r="M58" s="32" t="n">
        <f aca="false">12_UTILITY!M57*(1-12_UTILITY!$C$11-12_UTILITY!$C$12)</f>
        <v>9968.72620189882</v>
      </c>
      <c r="N58" s="32" t="n">
        <f aca="false">12_UTILITY!N57*(1-12_UTILITY!$C$11-12_UTILITY!$C$12)</f>
        <v>10417.3188809843</v>
      </c>
      <c r="O58" s="32" t="n">
        <f aca="false">12_UTILITY!O57*(1-12_UTILITY!$C$11-12_UTILITY!$C$12)</f>
        <v>10886.0982306286</v>
      </c>
      <c r="P58" s="32" t="n">
        <f aca="false">12_UTILITY!P57*(1-12_UTILITY!$C$11-12_UTILITY!$C$12)</f>
        <v>11375.9726510068</v>
      </c>
      <c r="Q58" s="32" t="n">
        <f aca="false">12_UTILITY!Q57*(1-12_UTILITY!$C$11-12_UTILITY!$C$12)</f>
        <v>11887.8914203022</v>
      </c>
      <c r="R58" s="32" t="n">
        <f aca="false">12_UTILITY!R57*(1-12_UTILITY!$C$11-12_UTILITY!$C$12)</f>
        <v>12422.8465342157</v>
      </c>
      <c r="S58" s="32" t="n">
        <f aca="false">12_UTILITY!S57*(1-12_UTILITY!$C$11-12_UTILITY!$C$12)</f>
        <v>12981.8746282555</v>
      </c>
      <c r="T58" s="32" t="n">
        <f aca="false">12_UTILITY!T57*(1-12_UTILITY!$C$11-12_UTILITY!$C$12)</f>
        <v>13566.0589865269</v>
      </c>
      <c r="U58" s="32" t="n">
        <f aca="false">12_UTILITY!U57*(1-12_UTILITY!$C$11-12_UTILITY!$C$12)</f>
        <v>14176.5316409207</v>
      </c>
      <c r="V58" s="32" t="n">
        <f aca="false">12_UTILITY!V57*(1-12_UTILITY!$C$11-12_UTILITY!$C$12)</f>
        <v>14814.4755647621</v>
      </c>
      <c r="W58" s="32" t="n">
        <f aca="false">12_UTILITY!W57*(1-12_UTILITY!$C$11-12_UTILITY!$C$12)</f>
        <v>15481.1269651764</v>
      </c>
      <c r="X58" s="32" t="n">
        <f aca="false">12_UTILITY!X57*(1-12_UTILITY!$C$11-12_UTILITY!$C$12)</f>
        <v>16177.7776786093</v>
      </c>
      <c r="Y58" s="32" t="n">
        <f aca="false">12_UTILITY!Y57*(1-12_UTILITY!$C$11-12_UTILITY!$C$12)</f>
        <v>16905.7776741467</v>
      </c>
      <c r="Z58" s="32" t="n">
        <f aca="false">12_UTILITY!Z57*(1-12_UTILITY!$C$11-12_UTILITY!$C$12)</f>
        <v>17666.5376694833</v>
      </c>
      <c r="AA58" s="32" t="n">
        <f aca="false">12_UTILITY!AA57*(1-12_UTILITY!$C$11-12_UTILITY!$C$12)</f>
        <v>18461.5318646101</v>
      </c>
      <c r="AB58" s="32" t="n">
        <f aca="false">12_UTILITY!AB57*(1-12_UTILITY!$C$11-12_UTILITY!$C$12)</f>
        <v>19292.3007985175</v>
      </c>
      <c r="AC58" s="32" t="n">
        <f aca="false">12_UTILITY!AC57*(1-12_UTILITY!$C$11-12_UTILITY!$C$12)</f>
        <v>20160.4543344508</v>
      </c>
      <c r="AD58" s="32" t="n">
        <f aca="false">12_UTILITY!AD57*(1-12_UTILITY!$C$11-12_UTILITY!$C$12)</f>
        <v>21067.6747795011</v>
      </c>
      <c r="AE58" s="32" t="n">
        <f aca="false">12_UTILITY!AE57*(1-12_UTILITY!$C$11-12_UTILITY!$C$12)</f>
        <v>22015.7201445787</v>
      </c>
      <c r="AF58" s="32" t="n">
        <f aca="false">12_UTILITY!AF57*(1-12_UTILITY!$C$11-12_UTILITY!$C$12)</f>
        <v>23006.4275510847</v>
      </c>
      <c r="AG58" s="32" t="n">
        <f aca="false">12_UTILITY!AG57*(1-12_UTILITY!$C$11-12_UTILITY!$C$12)</f>
        <v>24041.7167908835</v>
      </c>
      <c r="AH58" s="32" t="n">
        <f aca="false">12_UTILITY!AH57*(1-12_UTILITY!$C$11-12_UTILITY!$C$12)</f>
        <v>25123.5940464733</v>
      </c>
      <c r="AI58" s="32" t="n">
        <f aca="false">12_UTILITY!AI57*(1-12_UTILITY!$C$11-12_UTILITY!$C$12)</f>
        <v>26254.1557785646</v>
      </c>
      <c r="AJ58" s="32" t="n">
        <f aca="false">12_UTILITY!AJ57*(1-12_UTILITY!$C$11-12_UTILITY!$C$12)</f>
        <v>27435.5927886</v>
      </c>
      <c r="AK58" s="32" t="n">
        <f aca="false">12_UTILITY!AK57*(1-12_UTILITY!$C$11-12_UTILITY!$C$12)</f>
        <v>28670.194464087</v>
      </c>
      <c r="AL58" s="32" t="n">
        <f aca="false">12_UTILITY!AL57*(1-12_UTILITY!$C$11-12_UTILITY!$C$12)</f>
        <v>29960.3532149709</v>
      </c>
      <c r="AM58" s="32" t="n">
        <f aca="false">12_UTILITY!AM57*(1-12_UTILITY!$C$11-12_UTILITY!$C$12)</f>
        <v>31308.5691096446</v>
      </c>
      <c r="AN58" s="32" t="n">
        <f aca="false">12_UTILITY!AN57*(1-12_UTILITY!$C$11-12_UTILITY!$C$12)</f>
        <v>32717.4547195786</v>
      </c>
      <c r="AO58" s="32" t="n">
        <f aca="false">12_UTILITY!AO57*(1-12_UTILITY!$C$11-12_UTILITY!$C$12)</f>
        <v>34189.7401819596</v>
      </c>
      <c r="AP58" s="32" t="n">
        <f aca="false">12_UTILITY!AP57*(1-12_UTILITY!$C$11-12_UTILITY!$C$12)</f>
        <v>35728.2784901478</v>
      </c>
      <c r="AQ58" s="32" t="n">
        <f aca="false">12_UTILITY!AQ57*(1-12_UTILITY!$C$11-12_UTILITY!$C$12)</f>
        <v>37336.0510222044</v>
      </c>
      <c r="AR58" s="32" t="n">
        <f aca="false">12_UTILITY!AR57*(1-12_UTILITY!$C$11-12_UTILITY!$C$12)</f>
        <v>39016.1733182036</v>
      </c>
    </row>
    <row r="59" customFormat="false" ht="15" hidden="false" customHeight="false" outlineLevel="0" collapsed="false">
      <c r="A59" s="8" t="s">
        <v>465</v>
      </c>
      <c r="B59" s="8" t="s">
        <v>84</v>
      </c>
      <c r="E59" s="34" t="n">
        <f aca="false">12_UTILITY!E58*12_UTILITY!E31/06_CONSTRUCTION!E19*12_UTILITY!E34+12_UTILITY!E36-12_UTILITY!$C$16*06_CONSTRUCTION!E18/06_CONSTRUCTION!E20*(0.5+0.5*12_UTILITY!E58/10_DEMAND!$C$99)-12_UTILITY!E57*12_UTILITY!$C$14*(12_UTILITY!$C$15*06_CONSTRUCTION!E17+(1-12_UTILITY!$C$15)*06_CONSTRUCTION!E18/06_CONSTRUCTION!E20)/1000+12_UTILITY!E39</f>
        <v>151.364683511502</v>
      </c>
      <c r="F59" s="34" t="n">
        <f aca="false">12_UTILITY!F58*12_UTILITY!F31/06_CONSTRUCTION!F19*12_UTILITY!F34+12_UTILITY!F36-12_UTILITY!$C$16*06_CONSTRUCTION!F18/06_CONSTRUCTION!F20*(0.5+0.5*12_UTILITY!F58/10_DEMAND!$C$99)-12_UTILITY!F57*12_UTILITY!$C$14*(12_UTILITY!$C$15*06_CONSTRUCTION!F17+(1-12_UTILITY!$C$15)*06_CONSTRUCTION!F18/06_CONSTRUCTION!F20)/1000+12_UTILITY!F39</f>
        <v>167.063982546379</v>
      </c>
      <c r="G59" s="34" t="n">
        <f aca="false">12_UTILITY!G58*12_UTILITY!G31/06_CONSTRUCTION!G19*12_UTILITY!G34+12_UTILITY!G36-12_UTILITY!$C$16*06_CONSTRUCTION!G18/06_CONSTRUCTION!G20*(0.5+0.5*12_UTILITY!G58/10_DEMAND!$C$99)-12_UTILITY!G57*12_UTILITY!$C$14*(12_UTILITY!$C$15*06_CONSTRUCTION!G17+(1-12_UTILITY!$C$15)*06_CONSTRUCTION!G18/06_CONSTRUCTION!G20)/1000+12_UTILITY!G39</f>
        <v>183.77286099006</v>
      </c>
      <c r="H59" s="34" t="n">
        <f aca="false">12_UTILITY!H58*12_UTILITY!H31/06_CONSTRUCTION!H19*12_UTILITY!H34+12_UTILITY!H36-12_UTILITY!$C$16*06_CONSTRUCTION!H18/06_CONSTRUCTION!H20*(0.5+0.5*12_UTILITY!H58/10_DEMAND!$C$99)-12_UTILITY!H57*12_UTILITY!$C$14*(12_UTILITY!$C$15*06_CONSTRUCTION!H17+(1-12_UTILITY!$C$15)*06_CONSTRUCTION!H18/06_CONSTRUCTION!H20)/1000+12_UTILITY!H39</f>
        <v>201.555610106276</v>
      </c>
      <c r="I59" s="34" t="n">
        <f aca="false">12_UTILITY!I58*12_UTILITY!I31/06_CONSTRUCTION!I19*12_UTILITY!I34+12_UTILITY!I36-12_UTILITY!$C$16*06_CONSTRUCTION!I18/06_CONSTRUCTION!I20*(0.5+0.5*12_UTILITY!I58/10_DEMAND!$C$99)-12_UTILITY!I57*12_UTILITY!$C$14*(12_UTILITY!$C$15*06_CONSTRUCTION!I17+(1-12_UTILITY!$C$15)*06_CONSTRUCTION!I18/06_CONSTRUCTION!I20)/1000+12_UTILITY!I39</f>
        <v>220.480601253486</v>
      </c>
      <c r="J59" s="34" t="n">
        <f aca="false">12_UTILITY!J58*12_UTILITY!J31/06_CONSTRUCTION!J19*12_UTILITY!J34+12_UTILITY!J36-12_UTILITY!$C$16*06_CONSTRUCTION!J18/06_CONSTRUCTION!J20*(0.5+0.5*12_UTILITY!J58/10_DEMAND!$C$99)-12_UTILITY!J57*12_UTILITY!$C$14*(12_UTILITY!$C$15*06_CONSTRUCTION!J17+(1-12_UTILITY!$C$15)*06_CONSTRUCTION!J18/06_CONSTRUCTION!J20)/1000+12_UTILITY!J39</f>
        <v>240.62054440063</v>
      </c>
      <c r="K59" s="34" t="n">
        <f aca="false">12_UTILITY!K58*12_UTILITY!K31/06_CONSTRUCTION!K19*12_UTILITY!K34+12_UTILITY!K36-12_UTILITY!$C$16*06_CONSTRUCTION!K18/06_CONSTRUCTION!K20*(0.5+0.5*12_UTILITY!K58/10_DEMAND!$C$99)-12_UTILITY!K57*12_UTILITY!$C$14*(12_UTILITY!$C$15*06_CONSTRUCTION!K17+(1-12_UTILITY!$C$15)*06_CONSTRUCTION!K18/06_CONSTRUCTION!K20)/1000+12_UTILITY!K39</f>
        <v>262.052763004269</v>
      </c>
      <c r="L59" s="34" t="n">
        <f aca="false">12_UTILITY!L58*12_UTILITY!L31/06_CONSTRUCTION!L19*12_UTILITY!L34+12_UTILITY!L36-12_UTILITY!$C$16*06_CONSTRUCTION!L18/06_CONSTRUCTION!L20*(0.5+0.5*12_UTILITY!L58/10_DEMAND!$C$99)-12_UTILITY!L57*12_UTILITY!$C$14*(12_UTILITY!$C$15*06_CONSTRUCTION!L17+(1-12_UTILITY!$C$15)*06_CONSTRUCTION!L18/06_CONSTRUCTION!L20)/1000+12_UTILITY!L39</f>
        <v>284.859486281573</v>
      </c>
      <c r="M59" s="34" t="n">
        <f aca="false">12_UTILITY!M58*12_UTILITY!M31/06_CONSTRUCTION!M19*12_UTILITY!M34+12_UTILITY!M36-12_UTILITY!$C$16*06_CONSTRUCTION!M18/06_CONSTRUCTION!M20*(0.5+0.5*12_UTILITY!M58/10_DEMAND!$C$99)-12_UTILITY!M57*12_UTILITY!$C$14*(12_UTILITY!$C$15*06_CONSTRUCTION!M17+(1-12_UTILITY!$C$15)*06_CONSTRUCTION!M18/06_CONSTRUCTION!M20)/1000+12_UTILITY!M39</f>
        <v>309.128159978962</v>
      </c>
      <c r="N59" s="34" t="n">
        <f aca="false">12_UTILITY!N58*12_UTILITY!N31/06_CONSTRUCTION!N19*12_UTILITY!N34+12_UTILITY!N36-12_UTILITY!$C$16*06_CONSTRUCTION!N18/06_CONSTRUCTION!N20*(0.5+0.5*12_UTILITY!N58/10_DEMAND!$C$99)-12_UTILITY!N57*12_UTILITY!$C$14*(12_UTILITY!$C$15*06_CONSTRUCTION!N17+(1-12_UTILITY!$C$15)*06_CONSTRUCTION!N18/06_CONSTRUCTION!N20)/1000+12_UTILITY!N39</f>
        <v>334.951776805656</v>
      </c>
      <c r="O59" s="34" t="n">
        <f aca="false">12_UTILITY!O58*12_UTILITY!O31/06_CONSTRUCTION!O19*12_UTILITY!O34+12_UTILITY!O36-12_UTILITY!$C$16*06_CONSTRUCTION!O18/06_CONSTRUCTION!O20*(0.5+0.5*12_UTILITY!O58/10_DEMAND!$C$99)-12_UTILITY!O57*12_UTILITY!$C$14*(12_UTILITY!$C$15*06_CONSTRUCTION!O17+(1-12_UTILITY!$C$15)*06_CONSTRUCTION!O18/06_CONSTRUCTION!O20)/1000+12_UTILITY!O39</f>
        <v>362.429227775251</v>
      </c>
      <c r="P59" s="34" t="n">
        <f aca="false">12_UTILITY!P58*12_UTILITY!P31/06_CONSTRUCTION!P19*12_UTILITY!P34+12_UTILITY!P36-12_UTILITY!$C$16*06_CONSTRUCTION!P18/06_CONSTRUCTION!P20*(0.5+0.5*12_UTILITY!P58/10_DEMAND!$C$99)-12_UTILITY!P57*12_UTILITY!$C$14*(12_UTILITY!$C$15*06_CONSTRUCTION!P17+(1-12_UTILITY!$C$15)*06_CONSTRUCTION!P18/06_CONSTRUCTION!P20)/1000+12_UTILITY!P39</f>
        <v>391.665675776934</v>
      </c>
      <c r="Q59" s="34" t="n">
        <f aca="false">12_UTILITY!Q58*12_UTILITY!Q31/06_CONSTRUCTION!Q19*12_UTILITY!Q34+12_UTILITY!Q36-12_UTILITY!$C$16*06_CONSTRUCTION!Q18/06_CONSTRUCTION!Q20*(0.5+0.5*12_UTILITY!Q58/10_DEMAND!$C$99)-12_UTILITY!Q57*12_UTILITY!$C$14*(12_UTILITY!$C$15*06_CONSTRUCTION!Q17+(1-12_UTILITY!$C$15)*06_CONSTRUCTION!Q18/06_CONSTRUCTION!Q20)/1000+12_UTILITY!Q39</f>
        <v>422.772952781374</v>
      </c>
      <c r="R59" s="34" t="n">
        <f aca="false">12_UTILITY!R58*12_UTILITY!R31/06_CONSTRUCTION!R19*12_UTILITY!R34+12_UTILITY!R36-12_UTILITY!$C$16*06_CONSTRUCTION!R18/06_CONSTRUCTION!R20*(0.5+0.5*12_UTILITY!R58/10_DEMAND!$C$99)-12_UTILITY!R57*12_UTILITY!$C$14*(12_UTILITY!$C$15*06_CONSTRUCTION!R17+(1-12_UTILITY!$C$15)*06_CONSTRUCTION!R18/06_CONSTRUCTION!R20)/1000+12_UTILITY!R39</f>
        <v>455.869982175104</v>
      </c>
      <c r="S59" s="34" t="n">
        <f aca="false">12_UTILITY!S58*12_UTILITY!S31/06_CONSTRUCTION!S19*12_UTILITY!S34+12_UTILITY!S36-12_UTILITY!$C$16*06_CONSTRUCTION!S18/06_CONSTRUCTION!S20*(0.5+0.5*12_UTILITY!S58/10_DEMAND!$C$99)-12_UTILITY!S57*12_UTILITY!$C$14*(12_UTILITY!$C$15*06_CONSTRUCTION!S17+(1-12_UTILITY!$C$15)*06_CONSTRUCTION!S18/06_CONSTRUCTION!S20)/1000+12_UTILITY!S39</f>
        <v>491.083227811453</v>
      </c>
      <c r="T59" s="34" t="n">
        <f aca="false">12_UTILITY!T58*12_UTILITY!T31/06_CONSTRUCTION!T19*12_UTILITY!T34+12_UTILITY!T36-12_UTILITY!$C$16*06_CONSTRUCTION!T18/06_CONSTRUCTION!T20*(0.5+0.5*12_UTILITY!T58/10_DEMAND!$C$99)-12_UTILITY!T57*12_UTILITY!$C$14*(12_UTILITY!$C$15*06_CONSTRUCTION!T17+(1-12_UTILITY!$C$15)*06_CONSTRUCTION!T18/06_CONSTRUCTION!T20)/1000+12_UTILITY!T39</f>
        <v>528.547171466404</v>
      </c>
      <c r="U59" s="34" t="n">
        <f aca="false">12_UTILITY!U58*12_UTILITY!U31/06_CONSTRUCTION!U19*12_UTILITY!U34+12_UTILITY!U36-12_UTILITY!$C$16*06_CONSTRUCTION!U18/06_CONSTRUCTION!U20*(0.5+0.5*12_UTILITY!U58/10_DEMAND!$C$99)-12_UTILITY!U57*12_UTILITY!$C$14*(12_UTILITY!$C$15*06_CONSTRUCTION!U17+(1-12_UTILITY!$C$15)*06_CONSTRUCTION!U18/06_CONSTRUCTION!U20)/1000+12_UTILITY!U39</f>
        <v>568.404820494305</v>
      </c>
      <c r="V59" s="34" t="n">
        <f aca="false">12_UTILITY!V58*12_UTILITY!V31/06_CONSTRUCTION!V19*12_UTILITY!V34+12_UTILITY!V36-12_UTILITY!$C$16*06_CONSTRUCTION!V18/06_CONSTRUCTION!V20*(0.5+0.5*12_UTILITY!V58/10_DEMAND!$C$99)-12_UTILITY!V57*12_UTILITY!$C$14*(12_UTILITY!$C$15*06_CONSTRUCTION!V17+(1-12_UTILITY!$C$15)*06_CONSTRUCTION!V18/06_CONSTRUCTION!V20)/1000+12_UTILITY!V39</f>
        <v>610.808247591674</v>
      </c>
      <c r="W59" s="34" t="n">
        <f aca="false">12_UTILITY!W58*12_UTILITY!W31/06_CONSTRUCTION!W19*12_UTILITY!W34+12_UTILITY!W36-12_UTILITY!$C$16*06_CONSTRUCTION!W18/06_CONSTRUCTION!W20*(0.5+0.5*12_UTILITY!W58/10_DEMAND!$C$99)-12_UTILITY!W57*12_UTILITY!$C$14*(12_UTILITY!$C$15*06_CONSTRUCTION!W17+(1-12_UTILITY!$C$15)*06_CONSTRUCTION!W18/06_CONSTRUCTION!W20)/1000+12_UTILITY!W39</f>
        <v>655.919164697796</v>
      </c>
      <c r="X59" s="34" t="n">
        <f aca="false">12_UTILITY!X58*12_UTILITY!X31/06_CONSTRUCTION!X19*12_UTILITY!X34+12_UTILITY!X36-12_UTILITY!$C$16*06_CONSTRUCTION!X18/06_CONSTRUCTION!X20*(0.5+0.5*12_UTILITY!X58/10_DEMAND!$C$99)-12_UTILITY!X57*12_UTILITY!$C$14*(12_UTILITY!$C$15*06_CONSTRUCTION!X17+(1-12_UTILITY!$C$15)*06_CONSTRUCTION!X18/06_CONSTRUCTION!X20)/1000+12_UTILITY!X39</f>
        <v>703.909533188833</v>
      </c>
      <c r="Y59" s="34" t="n">
        <f aca="false">12_UTILITY!Y58*12_UTILITY!Y31/06_CONSTRUCTION!Y19*12_UTILITY!Y34+12_UTILITY!Y36-12_UTILITY!$C$16*06_CONSTRUCTION!Y18/06_CONSTRUCTION!Y20*(0.5+0.5*12_UTILITY!Y58/10_DEMAND!$C$99)-12_UTILITY!Y57*12_UTILITY!$C$14*(12_UTILITY!$C$15*06_CONSTRUCTION!Y17+(1-12_UTILITY!$C$15)*06_CONSTRUCTION!Y18/06_CONSTRUCTION!Y20)/1000+12_UTILITY!Y39</f>
        <v>754.962212658317</v>
      </c>
      <c r="Z59" s="34" t="n">
        <f aca="false">12_UTILITY!Z58*12_UTILITY!Z31/06_CONSTRUCTION!Z19*12_UTILITY!Z34+12_UTILITY!Z36-12_UTILITY!$C$16*06_CONSTRUCTION!Z18/06_CONSTRUCTION!Z20*(0.5+0.5*12_UTILITY!Z58/10_DEMAND!$C$99)-12_UTILITY!Z57*12_UTILITY!$C$14*(12_UTILITY!$C$15*06_CONSTRUCTION!Z17+(1-12_UTILITY!$C$15)*06_CONSTRUCTION!Z18/06_CONSTRUCTION!Z20)/1000+12_UTILITY!Z39</f>
        <v>809.271650721554</v>
      </c>
      <c r="AA59" s="34" t="n">
        <f aca="false">12_UTILITY!AA58*12_UTILITY!AA31/06_CONSTRUCTION!AA19*12_UTILITY!AA34+12_UTILITY!AA36-12_UTILITY!$C$16*06_CONSTRUCTION!AA18/06_CONSTRUCTION!AA20*(0.5+0.5*12_UTILITY!AA58/10_DEMAND!$C$99)-12_UTILITY!AA57*12_UTILITY!$C$14*(12_UTILITY!$C$15*06_CONSTRUCTION!AA17+(1-12_UTILITY!$C$15)*06_CONSTRUCTION!AA18/06_CONSTRUCTION!AA20)/1000+12_UTILITY!AA39</f>
        <v>867.044616435315</v>
      </c>
      <c r="AB59" s="34" t="n">
        <f aca="false">12_UTILITY!AB58*12_UTILITY!AB31/06_CONSTRUCTION!AB19*12_UTILITY!AB34+12_UTILITY!AB36-12_UTILITY!$C$16*06_CONSTRUCTION!AB18/06_CONSTRUCTION!AB20*(0.5+0.5*12_UTILITY!AB58/10_DEMAND!$C$99)-12_UTILITY!AB57*12_UTILITY!$C$14*(12_UTILITY!$C$15*06_CONSTRUCTION!AB17+(1-12_UTILITY!$C$15)*06_CONSTRUCTION!AB18/06_CONSTRUCTION!AB20)/1000+12_UTILITY!AB39</f>
        <v>928.500980087688</v>
      </c>
      <c r="AC59" s="34" t="n">
        <f aca="false">12_UTILITY!AC58*12_UTILITY!AC31/06_CONSTRUCTION!AC19*12_UTILITY!AC34+12_UTILITY!AC36-12_UTILITY!$C$16*06_CONSTRUCTION!AC18/06_CONSTRUCTION!AC20*(0.5+0.5*12_UTILITY!AC58/10_DEMAND!$C$99)-12_UTILITY!AC57*12_UTILITY!$C$14*(12_UTILITY!$C$15*06_CONSTRUCTION!AC17+(1-12_UTILITY!$C$15)*06_CONSTRUCTION!AC18/06_CONSTRUCTION!AC20)/1000+12_UTILITY!AC39</f>
        <v>993.8745422868</v>
      </c>
      <c r="AD59" s="34" t="n">
        <f aca="false">12_UTILITY!AD58*12_UTILITY!AD31/06_CONSTRUCTION!AD19*12_UTILITY!AD34+12_UTILITY!AD36-12_UTILITY!$C$16*06_CONSTRUCTION!AD18/06_CONSTRUCTION!AD20*(0.5+0.5*12_UTILITY!AD58/10_DEMAND!$C$99)-12_UTILITY!AD57*12_UTILITY!$C$14*(12_UTILITY!$C$15*06_CONSTRUCTION!AD17+(1-12_UTILITY!$C$15)*06_CONSTRUCTION!AD18/06_CONSTRUCTION!AD20)/1000+12_UTILITY!AD39</f>
        <v>1063.41391546185</v>
      </c>
      <c r="AE59" s="34" t="n">
        <f aca="false">12_UTILITY!AE58*12_UTILITY!AE31/06_CONSTRUCTION!AE19*12_UTILITY!AE34+12_UTILITY!AE36-12_UTILITY!$C$16*06_CONSTRUCTION!AE18/06_CONSTRUCTION!AE20*(0.5+0.5*12_UTILITY!AE58/10_DEMAND!$C$99)-12_UTILITY!AE57*12_UTILITY!$C$14*(12_UTILITY!$C$15*06_CONSTRUCTION!AE17+(1-12_UTILITY!$C$15)*06_CONSTRUCTION!AE18/06_CONSTRUCTION!AE20)/1000+12_UTILITY!AE39</f>
        <v>1137.38346108641</v>
      </c>
      <c r="AF59" s="34" t="n">
        <f aca="false">12_UTILITY!AF58*12_UTILITY!AF31/06_CONSTRUCTION!AF19*12_UTILITY!AF34+12_UTILITY!AF36-12_UTILITY!$C$16*06_CONSTRUCTION!AF18/06_CONSTRUCTION!AF20*(0.5+0.5*12_UTILITY!AF58/10_DEMAND!$C$99)-12_UTILITY!AF57*12_UTILITY!$C$14*(12_UTILITY!$C$15*06_CONSTRUCTION!AF17+(1-12_UTILITY!$C$15)*06_CONSTRUCTION!AF18/06_CONSTRUCTION!AF20)/1000+12_UTILITY!AF39</f>
        <v>1216.06428614258</v>
      </c>
      <c r="AG59" s="34" t="n">
        <f aca="false">12_UTILITY!AG58*12_UTILITY!AG31/06_CONSTRUCTION!AG19*12_UTILITY!AG34+12_UTILITY!AG36-12_UTILITY!$C$16*06_CONSTRUCTION!AG18/06_CONSTRUCTION!AG20*(0.5+0.5*12_UTILITY!AG58/10_DEMAND!$C$99)-12_UTILITY!AG57*12_UTILITY!$C$14*(12_UTILITY!$C$15*06_CONSTRUCTION!AG17+(1-12_UTILITY!$C$15)*06_CONSTRUCTION!AG18/06_CONSTRUCTION!AG20)/1000+12_UTILITY!AG39</f>
        <v>1299.75530256671</v>
      </c>
      <c r="AH59" s="34" t="n">
        <f aca="false">12_UTILITY!AH58*12_UTILITY!AH31/06_CONSTRUCTION!AH19*12_UTILITY!AH34+12_UTILITY!AH36-12_UTILITY!$C$16*06_CONSTRUCTION!AH18/06_CONSTRUCTION!AH20*(0.5+0.5*12_UTILITY!AH58/10_DEMAND!$C$99)-12_UTILITY!AH57*12_UTILITY!$C$14*(12_UTILITY!$C$15*06_CONSTRUCTION!AH17+(1-12_UTILITY!$C$15)*06_CONSTRUCTION!AH18/06_CONSTRUCTION!AH20)/1000+12_UTILITY!AH39</f>
        <v>1388.77435365327</v>
      </c>
      <c r="AI59" s="34" t="n">
        <f aca="false">12_UTILITY!AI58*12_UTILITY!AI31/06_CONSTRUCTION!AI19*12_UTILITY!AI34+12_UTILITY!AI36-12_UTILITY!$C$16*06_CONSTRUCTION!AI18/06_CONSTRUCTION!AI20*(0.5+0.5*12_UTILITY!AI58/10_DEMAND!$C$99)-12_UTILITY!AI57*12_UTILITY!$C$14*(12_UTILITY!$C$15*06_CONSTRUCTION!AI17+(1-12_UTILITY!$C$15)*06_CONSTRUCTION!AI18/06_CONSTRUCTION!AI20)/1000+12_UTILITY!AI39</f>
        <v>1483.45941164418</v>
      </c>
      <c r="AJ59" s="34" t="n">
        <f aca="false">12_UTILITY!AJ58*12_UTILITY!AJ31/06_CONSTRUCTION!AJ19*12_UTILITY!AJ34+12_UTILITY!AJ36-12_UTILITY!$C$16*06_CONSTRUCTION!AJ18/06_CONSTRUCTION!AJ20*(0.5+0.5*12_UTILITY!AJ58/10_DEMAND!$C$99)-12_UTILITY!AJ57*12_UTILITY!$C$14*(12_UTILITY!$C$15*06_CONSTRUCTION!AJ17+(1-12_UTILITY!$C$15)*06_CONSTRUCTION!AJ18/06_CONSTRUCTION!AJ20)/1000+12_UTILITY!AJ39</f>
        <v>1584.16985099753</v>
      </c>
      <c r="AK59" s="34" t="n">
        <f aca="false">12_UTILITY!AK58*12_UTILITY!AK31/06_CONSTRUCTION!AK19*12_UTILITY!AK34+12_UTILITY!AK36-12_UTILITY!$C$16*06_CONSTRUCTION!AK18/06_CONSTRUCTION!AK20*(0.5+0.5*12_UTILITY!AK58/10_DEMAND!$C$99)-12_UTILITY!AK57*12_UTILITY!$C$14*(12_UTILITY!$C$15*06_CONSTRUCTION!AK17+(1-12_UTILITY!$C$15)*06_CONSTRUCTION!AK18/06_CONSTRUCTION!AK20)/1000+12_UTILITY!AK39</f>
        <v>1691.28780211326</v>
      </c>
      <c r="AL59" s="34" t="n">
        <f aca="false">12_UTILITY!AL58*12_UTILITY!AL31/06_CONSTRUCTION!AL19*12_UTILITY!AL34+12_UTILITY!AL36-12_UTILITY!$C$16*06_CONSTRUCTION!AL18/06_CONSTRUCTION!AL20*(0.5+0.5*12_UTILITY!AL58/10_DEMAND!$C$99)-12_UTILITY!AL57*12_UTILITY!$C$14*(12_UTILITY!$C$15*06_CONSTRUCTION!AL17+(1-12_UTILITY!$C$15)*06_CONSTRUCTION!AL18/06_CONSTRUCTION!AL20)/1000+12_UTILITY!AL39</f>
        <v>1805.21959059409</v>
      </c>
      <c r="AM59" s="34" t="n">
        <f aca="false">12_UTILITY!AM58*12_UTILITY!AM31/06_CONSTRUCTION!AM19*12_UTILITY!AM34+12_UTILITY!AM36-12_UTILITY!$C$16*06_CONSTRUCTION!AM18/06_CONSTRUCTION!AM20*(0.5+0.5*12_UTILITY!AM58/10_DEMAND!$C$99)-12_UTILITY!AM57*12_UTILITY!$C$14*(12_UTILITY!$C$15*06_CONSTRUCTION!AM17+(1-12_UTILITY!$C$15)*06_CONSTRUCTION!AM18/06_CONSTRUCTION!AM20)/1000+12_UTILITY!AM39</f>
        <v>1926.39726744081</v>
      </c>
      <c r="AN59" s="34" t="n">
        <f aca="false">12_UTILITY!AN58*12_UTILITY!AN31/06_CONSTRUCTION!AN19*12_UTILITY!AN34+12_UTILITY!AN36-12_UTILITY!$C$16*06_CONSTRUCTION!AN18/06_CONSTRUCTION!AN20*(0.5+0.5*12_UTILITY!AN58/10_DEMAND!$C$99)-12_UTILITY!AN57*12_UTILITY!$C$14*(12_UTILITY!$C$15*06_CONSTRUCTION!AN17+(1-12_UTILITY!$C$15)*06_CONSTRUCTION!AN18/06_CONSTRUCTION!AN20)/1000+12_UTILITY!AN39</f>
        <v>2055.28023592084</v>
      </c>
      <c r="AO59" s="34" t="n">
        <f aca="false">12_UTILITY!AO58*12_UTILITY!AO31/06_CONSTRUCTION!AO19*12_UTILITY!AO34+12_UTILITY!AO36-12_UTILITY!$C$16*06_CONSTRUCTION!AO18/06_CONSTRUCTION!AO20*(0.5+0.5*12_UTILITY!AO58/10_DEMAND!$C$99)-12_UTILITY!AO57*12_UTILITY!$C$14*(12_UTILITY!$C$15*06_CONSTRUCTION!AO17+(1-12_UTILITY!$C$15)*06_CONSTRUCTION!AO18/06_CONSTRUCTION!AO20)/1000+12_UTILITY!AO39</f>
        <v>2192.35698121134</v>
      </c>
      <c r="AP59" s="34" t="n">
        <f aca="false">12_UTILITY!AP58*12_UTILITY!AP31/06_CONSTRUCTION!AP19*12_UTILITY!AP34+12_UTILITY!AP36-12_UTILITY!$C$16*06_CONSTRUCTION!AP18/06_CONSTRUCTION!AP20*(0.5+0.5*12_UTILITY!AP58/10_DEMAND!$C$99)-12_UTILITY!AP57*12_UTILITY!$C$14*(12_UTILITY!$C$15*06_CONSTRUCTION!AP17+(1-12_UTILITY!$C$15)*06_CONSTRUCTION!AP18/06_CONSTRUCTION!AP20)/1000+12_UTILITY!AP39</f>
        <v>2338.14690930224</v>
      </c>
      <c r="AQ59" s="34" t="n">
        <f aca="false">12_UTILITY!AQ58*12_UTILITY!AQ31/06_CONSTRUCTION!AQ19*12_UTILITY!AQ34+12_UTILITY!AQ36-12_UTILITY!$C$16*06_CONSTRUCTION!AQ18/06_CONSTRUCTION!AQ20*(0.5+0.5*12_UTILITY!AQ58/10_DEMAND!$C$99)-12_UTILITY!AQ57*12_UTILITY!$C$14*(12_UTILITY!$C$15*06_CONSTRUCTION!AQ17+(1-12_UTILITY!$C$15)*06_CONSTRUCTION!AQ18/06_CONSTRUCTION!AQ20)/1000+12_UTILITY!AQ39</f>
        <v>2493.20230205373</v>
      </c>
      <c r="AR59" s="34" t="n">
        <f aca="false">12_UTILITY!AR58*12_UTILITY!AR31/06_CONSTRUCTION!AR19*12_UTILITY!AR34+12_UTILITY!AR36-12_UTILITY!$C$16*06_CONSTRUCTION!AR18/06_CONSTRUCTION!AR20*(0.5+0.5*12_UTILITY!AR58/10_DEMAND!$C$99)-12_UTILITY!AR57*12_UTILITY!$C$14*(12_UTILITY!$C$15*06_CONSTRUCTION!AR17+(1-12_UTILITY!$C$15)*06_CONSTRUCTION!AR18/06_CONSTRUCTION!AR20)/1000+12_UTILITY!AR39</f>
        <v>2658.11039573705</v>
      </c>
    </row>
    <row r="60" customFormat="false" ht="15" hidden="false" customHeight="false" outlineLevel="0" collapsed="false">
      <c r="A60" s="4" t="s">
        <v>466</v>
      </c>
      <c r="B60" s="8" t="s">
        <v>84</v>
      </c>
      <c r="C60" s="34" t="n">
        <f aca="false">SUM(12_UTILITY!$E$60:$AR$60)</f>
        <v>-548.69005371761</v>
      </c>
      <c r="E60" s="50" t="n">
        <f aca="false">12_UTILITY!E52-12_UTILITY!E59-16_REVENUE!E24</f>
        <v>0</v>
      </c>
      <c r="F60" s="50" t="n">
        <f aca="false">12_UTILITY!F52-12_UTILITY!F59-16_REVENUE!F24</f>
        <v>0</v>
      </c>
      <c r="G60" s="50" t="n">
        <f aca="false">12_UTILITY!G52-12_UTILITY!G59-16_REVENUE!G24</f>
        <v>0</v>
      </c>
      <c r="H60" s="50" t="n">
        <f aca="false">12_UTILITY!H52-12_UTILITY!H59-16_REVENUE!H24</f>
        <v>0</v>
      </c>
      <c r="I60" s="50" t="n">
        <f aca="false">12_UTILITY!I52-12_UTILITY!I59-16_REVENUE!I24</f>
        <v>0</v>
      </c>
      <c r="J60" s="50" t="n">
        <f aca="false">12_UTILITY!J52-12_UTILITY!J59-16_REVENUE!J24</f>
        <v>-21.4202295388274</v>
      </c>
      <c r="K60" s="50" t="n">
        <f aca="false">12_UTILITY!K52-12_UTILITY!K59-16_REVENUE!K24</f>
        <v>-24.7877440681384</v>
      </c>
      <c r="L60" s="50" t="n">
        <f aca="false">12_UTILITY!L52-12_UTILITY!L59-16_REVENUE!L24</f>
        <v>-24.3696896205093</v>
      </c>
      <c r="M60" s="50" t="n">
        <f aca="false">12_UTILITY!M52-12_UTILITY!M59-16_REVENUE!M24</f>
        <v>-23.946047492815</v>
      </c>
      <c r="N60" s="50" t="n">
        <f aca="false">12_UTILITY!N52-12_UTILITY!N59-16_REVENUE!N24</f>
        <v>-23.5167582599238</v>
      </c>
      <c r="O60" s="50" t="n">
        <f aca="false">12_UTILITY!O52-12_UTILITY!O59-16_REVENUE!O24</f>
        <v>-23.0817622955294</v>
      </c>
      <c r="P60" s="50" t="n">
        <f aca="false">12_UTILITY!P52-12_UTILITY!P59-16_REVENUE!P24</f>
        <v>-22.6409997867615</v>
      </c>
      <c r="Q60" s="50" t="n">
        <f aca="false">12_UTILITY!Q52-12_UTILITY!Q59-16_REVENUE!Q24</f>
        <v>-22.194410749427</v>
      </c>
      <c r="R60" s="50" t="n">
        <f aca="false">12_UTILITY!R52-12_UTILITY!R59-16_REVENUE!R24</f>
        <v>-21.7419350439307</v>
      </c>
      <c r="S60" s="50" t="n">
        <f aca="false">12_UTILITY!S52-12_UTILITY!S59-16_REVENUE!S24</f>
        <v>-21.2835123918615</v>
      </c>
      <c r="T60" s="50" t="n">
        <f aca="false">12_UTILITY!T52-12_UTILITY!T59-16_REVENUE!T24</f>
        <v>-20.819082393299</v>
      </c>
      <c r="U60" s="50" t="n">
        <f aca="false">12_UTILITY!U52-12_UTILITY!U59-16_REVENUE!U24</f>
        <v>-20.348584544833</v>
      </c>
      <c r="V60" s="50" t="n">
        <f aca="false">12_UTILITY!V52-12_UTILITY!V59-16_REVENUE!V24</f>
        <v>-19.8719582583365</v>
      </c>
      <c r="W60" s="50" t="n">
        <f aca="false">12_UTILITY!W52-12_UTILITY!W59-16_REVENUE!W24</f>
        <v>-19.3891428804966</v>
      </c>
      <c r="X60" s="50" t="n">
        <f aca="false">12_UTILITY!X52-12_UTILITY!X59-16_REVENUE!X24</f>
        <v>-18.9000777131583</v>
      </c>
      <c r="Y60" s="50" t="n">
        <f aca="false">12_UTILITY!Y52-12_UTILITY!Y59-16_REVENUE!Y24</f>
        <v>-18.4047020344543</v>
      </c>
      <c r="Z60" s="50" t="n">
        <f aca="false">12_UTILITY!Z52-12_UTILITY!Z59-16_REVENUE!Z24</f>
        <v>-17.9029551207998</v>
      </c>
      <c r="AA60" s="50" t="n">
        <f aca="false">12_UTILITY!AA52-12_UTILITY!AA59-16_REVENUE!AA24</f>
        <v>-17.3947762697333</v>
      </c>
      <c r="AB60" s="50" t="n">
        <f aca="false">12_UTILITY!AB52-12_UTILITY!AB59-16_REVENUE!AB24</f>
        <v>-16.8801048236556</v>
      </c>
      <c r="AC60" s="50" t="n">
        <f aca="false">12_UTILITY!AC52-12_UTILITY!AC59-16_REVENUE!AC24</f>
        <v>-16.3588801944778</v>
      </c>
      <c r="AD60" s="50" t="n">
        <f aca="false">12_UTILITY!AD52-12_UTILITY!AD59-16_REVENUE!AD24</f>
        <v>-15.8310418892129</v>
      </c>
      <c r="AE60" s="50" t="n">
        <f aca="false">12_UTILITY!AE52-12_UTILITY!AE59-16_REVENUE!AE24</f>
        <v>-15.2965295365373</v>
      </c>
      <c r="AF60" s="50" t="n">
        <f aca="false">12_UTILITY!AF52-12_UTILITY!AF59-16_REVENUE!AF24</f>
        <v>-14.755282914349</v>
      </c>
      <c r="AG60" s="50" t="n">
        <f aca="false">12_UTILITY!AG52-12_UTILITY!AG59-16_REVENUE!AG24</f>
        <v>-14.2072419783392</v>
      </c>
      <c r="AH60" s="50" t="n">
        <f aca="false">12_UTILITY!AH52-12_UTILITY!AH59-16_REVENUE!AH24</f>
        <v>-13.6523468916403</v>
      </c>
      <c r="AI60" s="50" t="n">
        <f aca="false">12_UTILITY!AI52-12_UTILITY!AI59-16_REVENUE!AI24</f>
        <v>-13.0905380555441</v>
      </c>
      <c r="AJ60" s="50" t="n">
        <f aca="false">12_UTILITY!AJ52-12_UTILITY!AJ59-16_REVENUE!AJ24</f>
        <v>-12.5217561413324</v>
      </c>
      <c r="AK60" s="50" t="n">
        <f aca="false">12_UTILITY!AK52-12_UTILITY!AK59-16_REVENUE!AK24</f>
        <v>-11.9459421232632</v>
      </c>
      <c r="AL60" s="50" t="n">
        <f aca="false">12_UTILITY!AL52-12_UTILITY!AL59-16_REVENUE!AL24</f>
        <v>-11.3630373127396</v>
      </c>
      <c r="AM60" s="50" t="n">
        <f aca="false">12_UTILITY!AM52-12_UTILITY!AM59-16_REVENUE!AM24</f>
        <v>-10.7729833936837</v>
      </c>
      <c r="AN60" s="50" t="n">
        <f aca="false">12_UTILITY!AN52-12_UTILITY!AN59-16_REVENUE!AN24</f>
        <v>0</v>
      </c>
      <c r="AO60" s="50" t="n">
        <f aca="false">12_UTILITY!AO52-12_UTILITY!AO59-16_REVENUE!AO24</f>
        <v>0</v>
      </c>
      <c r="AP60" s="50" t="n">
        <f aca="false">12_UTILITY!AP52-12_UTILITY!AP59-16_REVENUE!AP24</f>
        <v>0</v>
      </c>
      <c r="AQ60" s="50" t="n">
        <f aca="false">12_UTILITY!AQ52-12_UTILITY!AQ59-16_REVENUE!AQ24</f>
        <v>0</v>
      </c>
      <c r="AR60" s="50" t="n">
        <f aca="false">12_UTILITY!AR52-12_UTILITY!AR59-16_REVENUE!AR24</f>
        <v>0</v>
      </c>
    </row>
    <row r="61" customFormat="false" ht="15" hidden="false" customHeight="false" outlineLevel="0" collapsed="false">
      <c r="A61" s="8" t="s">
        <v>467</v>
      </c>
      <c r="B61" s="8" t="s">
        <v>56</v>
      </c>
      <c r="E61" s="42" t="n">
        <f aca="false">IF(12_UTILITY!E33&gt;0,12_UTILITY!E42/12_UTILITY!E33,0)</f>
        <v>0</v>
      </c>
      <c r="F61" s="42" t="n">
        <f aca="false">IF(12_UTILITY!F33&gt;0,12_UTILITY!F42/12_UTILITY!F33,0)</f>
        <v>0</v>
      </c>
      <c r="G61" s="42" t="n">
        <f aca="false">IF(12_UTILITY!G33&gt;0,12_UTILITY!G42/12_UTILITY!G33,0)</f>
        <v>0</v>
      </c>
      <c r="H61" s="42" t="n">
        <f aca="false">IF(12_UTILITY!H33&gt;0,12_UTILITY!H42/12_UTILITY!H33,0)</f>
        <v>0</v>
      </c>
      <c r="I61" s="42" t="n">
        <f aca="false">IF(12_UTILITY!I33&gt;0,12_UTILITY!I42/12_UTILITY!I33,0)</f>
        <v>0</v>
      </c>
      <c r="J61" s="42" t="n">
        <f aca="false">IF(12_UTILITY!J33&gt;0,12_UTILITY!J42/12_UTILITY!J33,0)</f>
        <v>0.0890167453957028</v>
      </c>
      <c r="K61" s="42" t="n">
        <f aca="false">IF(12_UTILITY!K33&gt;0,12_UTILITY!K42/12_UTILITY!K33,0)</f>
        <v>0.0984686815523084</v>
      </c>
      <c r="L61" s="42" t="n">
        <f aca="false">IF(12_UTILITY!L33&gt;0,12_UTILITY!L42/12_UTILITY!L33,0)</f>
        <v>0.0941263331049799</v>
      </c>
      <c r="M61" s="42" t="n">
        <f aca="false">IF(12_UTILITY!M33&gt;0,12_UTILITY!M42/12_UTILITY!M33,0)</f>
        <v>0.0899674882524133</v>
      </c>
      <c r="N61" s="42" t="n">
        <f aca="false">IF(12_UTILITY!N33&gt;0,12_UTILITY!N42/12_UTILITY!N33,0)</f>
        <v>0.0859852386377179</v>
      </c>
      <c r="O61" s="42" t="n">
        <f aca="false">IF(12_UTILITY!O33&gt;0,12_UTILITY!O42/12_UTILITY!O33,0)</f>
        <v>0.082172858256054</v>
      </c>
      <c r="P61" s="42" t="n">
        <f aca="false">IF(12_UTILITY!P33&gt;0,12_UTILITY!P42/12_UTILITY!P33,0)</f>
        <v>0.0785238055762974</v>
      </c>
      <c r="Q61" s="42" t="n">
        <f aca="false">IF(12_UTILITY!Q33&gt;0,12_UTILITY!Q42/12_UTILITY!Q33,0)</f>
        <v>0.0750317249097868</v>
      </c>
      <c r="R61" s="42" t="n">
        <f aca="false">IF(12_UTILITY!R33&gt;0,12_UTILITY!R42/12_UTILITY!R33,0)</f>
        <v>0.0716904470834566</v>
      </c>
      <c r="S61" s="42" t="n">
        <f aca="false">IF(12_UTILITY!S33&gt;0,12_UTILITY!S42/12_UTILITY!S33,0)</f>
        <v>0.0684939894736121</v>
      </c>
      <c r="T61" s="42" t="n">
        <f aca="false">IF(12_UTILITY!T33&gt;0,12_UTILITY!T42/12_UTILITY!T33,0)</f>
        <v>0.0654365554551988</v>
      </c>
      <c r="U61" s="42" t="n">
        <f aca="false">IF(12_UTILITY!U33&gt;0,12_UTILITY!U42/12_UTILITY!U33,0)</f>
        <v>0.0625125333197003</v>
      </c>
      <c r="V61" s="42" t="n">
        <f aca="false">IF(12_UTILITY!V33&gt;0,12_UTILITY!V42/12_UTILITY!V33,0)</f>
        <v>0.0597164947128441</v>
      </c>
      <c r="W61" s="42" t="n">
        <f aca="false">IF(12_UTILITY!W33&gt;0,12_UTILITY!W42/12_UTILITY!W33,0)</f>
        <v>0.0570431926411332</v>
      </c>
      <c r="X61" s="42" t="n">
        <f aca="false">IF(12_UTILITY!X33&gt;0,12_UTILITY!X42/12_UTILITY!X33,0)</f>
        <v>0.0544875590939207</v>
      </c>
      <c r="Y61" s="42" t="n">
        <f aca="false">IF(12_UTILITY!Y33&gt;0,12_UTILITY!Y42/12_UTILITY!Y33,0)</f>
        <v>0.052044702325327</v>
      </c>
      <c r="Z61" s="42" t="n">
        <f aca="false">IF(12_UTILITY!Z33&gt;0,12_UTILITY!Z42/12_UTILITY!Z33,0)</f>
        <v>0.0497099038378215</v>
      </c>
      <c r="AA61" s="42" t="n">
        <f aca="false">IF(12_UTILITY!AA33&gt;0,12_UTILITY!AA42/12_UTILITY!AA33,0)</f>
        <v>0.0474786151067671</v>
      </c>
      <c r="AB61" s="42" t="n">
        <f aca="false">IF(12_UTILITY!AB33&gt;0,12_UTILITY!AB42/12_UTILITY!AB33,0)</f>
        <v>0.0453464540827032</v>
      </c>
      <c r="AC61" s="42" t="n">
        <f aca="false">IF(12_UTILITY!AC33&gt;0,12_UTILITY!AC42/12_UTILITY!AC33,0)</f>
        <v>0.0433092015056311</v>
      </c>
      <c r="AD61" s="42" t="n">
        <f aca="false">IF(12_UTILITY!AD33&gt;0,12_UTILITY!AD42/12_UTILITY!AD33,0)</f>
        <v>0.0413627970630959</v>
      </c>
      <c r="AE61" s="42" t="n">
        <f aca="false">IF(12_UTILITY!AE33&gt;0,12_UTILITY!AE42/12_UTILITY!AE33,0)</f>
        <v>0.0395033354214438</v>
      </c>
      <c r="AF61" s="42" t="n">
        <f aca="false">IF(12_UTILITY!AF33&gt;0,12_UTILITY!AF42/12_UTILITY!AF33,0)</f>
        <v>0.0377270621572904</v>
      </c>
      <c r="AG61" s="42" t="n">
        <f aca="false">IF(12_UTILITY!AG33&gt;0,12_UTILITY!AG42/12_UTILITY!AG33,0)</f>
        <v>0.036030369613972</v>
      </c>
      <c r="AH61" s="42" t="n">
        <f aca="false">IF(12_UTILITY!AH33&gt;0,12_UTILITY!AH42/12_UTILITY!AH33,0)</f>
        <v>0.0344097927055855</v>
      </c>
      <c r="AI61" s="42" t="n">
        <f aca="false">IF(12_UTILITY!AI33&gt;0,12_UTILITY!AI42/12_UTILITY!AI33,0)</f>
        <v>0.032862004689148</v>
      </c>
      <c r="AJ61" s="42" t="n">
        <f aca="false">IF(12_UTILITY!AJ33&gt;0,12_UTILITY!AJ42/12_UTILITY!AJ33,0)</f>
        <v>0.0313838129234409</v>
      </c>
      <c r="AK61" s="42" t="n">
        <f aca="false">IF(12_UTILITY!AK33&gt;0,12_UTILITY!AK42/12_UTILITY!AK33,0)</f>
        <v>0.0299721546312431</v>
      </c>
      <c r="AL61" s="42" t="n">
        <f aca="false">IF(12_UTILITY!AL33&gt;0,12_UTILITY!AL42/12_UTILITY!AL33,0)</f>
        <v>0.0286240926799023</v>
      </c>
      <c r="AM61" s="42" t="n">
        <f aca="false">IF(12_UTILITY!AM33&gt;0,12_UTILITY!AM42/12_UTILITY!AM33,0)</f>
        <v>0.0273368113935519</v>
      </c>
      <c r="AN61" s="42" t="n">
        <f aca="false">IF(12_UTILITY!AN33&gt;0,12_UTILITY!AN42/12_UTILITY!AN33,0)</f>
        <v>0</v>
      </c>
      <c r="AO61" s="42" t="n">
        <f aca="false">IF(12_UTILITY!AO33&gt;0,12_UTILITY!AO42/12_UTILITY!AO33,0)</f>
        <v>0</v>
      </c>
      <c r="AP61" s="42" t="n">
        <f aca="false">IF(12_UTILITY!AP33&gt;0,12_UTILITY!AP42/12_UTILITY!AP33,0)</f>
        <v>0</v>
      </c>
      <c r="AQ61" s="42" t="n">
        <f aca="false">IF(12_UTILITY!AQ33&gt;0,12_UTILITY!AQ42/12_UTILITY!AQ33,0)</f>
        <v>0</v>
      </c>
      <c r="AR61" s="42" t="n">
        <f aca="false">IF(12_UTILITY!AR33&gt;0,12_UTILITY!AR42/12_UTILITY!AR33,0)</f>
        <v>0</v>
      </c>
    </row>
    <row r="62" customFormat="false" ht="15" hidden="false" customHeight="false" outlineLevel="0" collapsed="false">
      <c r="A62" s="8" t="s">
        <v>468</v>
      </c>
      <c r="B62" s="8" t="s">
        <v>311</v>
      </c>
      <c r="E62" s="49" t="n">
        <f aca="false">(12_UTILITY!E35)/12_UTILITY!E27*1000</f>
        <v>94.4123773584906</v>
      </c>
      <c r="F62" s="49" t="n">
        <f aca="false">(12_UTILITY!F35)/12_UTILITY!F27*1000</f>
        <v>96.1937429690282</v>
      </c>
      <c r="G62" s="49" t="n">
        <f aca="false">(12_UTILITY!G35)/12_UTILITY!G27*1000</f>
        <v>98.0087192514626</v>
      </c>
      <c r="H62" s="49" t="n">
        <f aca="false">(12_UTILITY!H35)/12_UTILITY!H27*1000</f>
        <v>99.8579403694147</v>
      </c>
      <c r="I62" s="49" t="n">
        <f aca="false">(12_UTILITY!I35)/12_UTILITY!I27*1000</f>
        <v>101.742052451857</v>
      </c>
      <c r="J62" s="49" t="n">
        <f aca="false">(12_UTILITY!J35)/12_UTILITY!J27*1000</f>
        <v>103.661713818873</v>
      </c>
      <c r="K62" s="49" t="n">
        <f aca="false">(12_UTILITY!K35)/12_UTILITY!K27*1000</f>
        <v>105.617595211682</v>
      </c>
      <c r="L62" s="49" t="n">
        <f aca="false">(12_UTILITY!L35)/12_UTILITY!L27*1000</f>
        <v>107.610380026996</v>
      </c>
      <c r="M62" s="49" t="n">
        <f aca="false">(12_UTILITY!M35)/12_UTILITY!M27*1000</f>
        <v>109.640764555808</v>
      </c>
      <c r="N62" s="49" t="n">
        <f aca="false">(12_UTILITY!N35)/12_UTILITY!N27*1000</f>
        <v>111.709458226672</v>
      </c>
      <c r="O62" s="49" t="n">
        <f aca="false">(12_UTILITY!O35)/12_UTILITY!O27*1000</f>
        <v>113.81718385359</v>
      </c>
      <c r="P62" s="49" t="n">
        <f aca="false">(12_UTILITY!P35)/12_UTILITY!P27*1000</f>
        <v>115.964677888564</v>
      </c>
      <c r="Q62" s="49" t="n">
        <f aca="false">(12_UTILITY!Q35)/12_UTILITY!Q27*1000</f>
        <v>118.152690678914</v>
      </c>
      <c r="R62" s="49" t="n">
        <f aca="false">(12_UTILITY!R35)/12_UTILITY!R27*1000</f>
        <v>120.38198672946</v>
      </c>
      <c r="S62" s="49" t="n">
        <f aca="false">(12_UTILITY!S35)/12_UTILITY!S27*1000</f>
        <v>122.653344969638</v>
      </c>
      <c r="T62" s="49" t="n">
        <f aca="false">(12_UTILITY!T35)/12_UTILITY!T27*1000</f>
        <v>124.967559025669</v>
      </c>
      <c r="U62" s="49" t="n">
        <f aca="false">(12_UTILITY!U35)/12_UTILITY!U27*1000</f>
        <v>127.325437497851</v>
      </c>
      <c r="V62" s="49" t="n">
        <f aca="false">(12_UTILITY!V35)/12_UTILITY!V27*1000</f>
        <v>129.727804243094</v>
      </c>
      <c r="W62" s="49" t="n">
        <f aca="false">(12_UTILITY!W35)/12_UTILITY!W27*1000</f>
        <v>132.175498662775</v>
      </c>
      <c r="X62" s="49" t="n">
        <f aca="false">(12_UTILITY!X35)/12_UTILITY!X27*1000</f>
        <v>134.669375996035</v>
      </c>
      <c r="Y62" s="49" t="n">
        <f aca="false">(12_UTILITY!Y35)/12_UTILITY!Y27*1000</f>
        <v>137.210307618601</v>
      </c>
      <c r="Z62" s="49" t="n">
        <f aca="false">(12_UTILITY!Z35)/12_UTILITY!Z27*1000</f>
        <v>139.799181347254</v>
      </c>
      <c r="AA62" s="49" t="n">
        <f aca="false">(12_UTILITY!AA35)/12_UTILITY!AA27*1000</f>
        <v>142.436901750033</v>
      </c>
      <c r="AB62" s="49" t="n">
        <f aca="false">(12_UTILITY!AB35)/12_UTILITY!AB27*1000</f>
        <v>145.124390462297</v>
      </c>
      <c r="AC62" s="49" t="n">
        <f aca="false">(12_UTILITY!AC35)/12_UTILITY!AC27*1000</f>
        <v>147.862586508756</v>
      </c>
      <c r="AD62" s="49" t="n">
        <f aca="false">(12_UTILITY!AD35)/12_UTILITY!AD27*1000</f>
        <v>150.652446631563</v>
      </c>
      <c r="AE62" s="49" t="n">
        <f aca="false">(12_UTILITY!AE35)/12_UTILITY!AE27*1000</f>
        <v>153.494945624611</v>
      </c>
      <c r="AF62" s="49" t="n">
        <f aca="false">(12_UTILITY!AF35)/12_UTILITY!AF27*1000</f>
        <v>156.391076674132</v>
      </c>
      <c r="AG62" s="49" t="n">
        <f aca="false">(12_UTILITY!AG35)/12_UTILITY!AG27*1000</f>
        <v>159.341851705719</v>
      </c>
      <c r="AH62" s="49" t="n">
        <f aca="false">(12_UTILITY!AH35)/12_UTILITY!AH27*1000</f>
        <v>162.348301737903</v>
      </c>
      <c r="AI62" s="49" t="n">
        <f aca="false">(12_UTILITY!AI35)/12_UTILITY!AI27*1000</f>
        <v>165.411477242391</v>
      </c>
      <c r="AJ62" s="49" t="n">
        <f aca="false">(12_UTILITY!AJ35)/12_UTILITY!AJ27*1000</f>
        <v>168.532448511116</v>
      </c>
      <c r="AK62" s="49" t="n">
        <f aca="false">(12_UTILITY!AK35)/12_UTILITY!AK27*1000</f>
        <v>171.712306030193</v>
      </c>
      <c r="AL62" s="49" t="n">
        <f aca="false">(12_UTILITY!AL35)/12_UTILITY!AL27*1000</f>
        <v>174.952160860952</v>
      </c>
      <c r="AM62" s="49" t="n">
        <f aca="false">(12_UTILITY!AM35)/12_UTILITY!AM27*1000</f>
        <v>178.25314502814</v>
      </c>
      <c r="AN62" s="49" t="n">
        <f aca="false">(12_UTILITY!AN35)/12_UTILITY!AN27*1000</f>
        <v>181.616411915463</v>
      </c>
      <c r="AO62" s="49" t="n">
        <f aca="false">(12_UTILITY!AO35)/12_UTILITY!AO27*1000</f>
        <v>185.043136668585</v>
      </c>
      <c r="AP62" s="49" t="n">
        <f aca="false">(12_UTILITY!AP35)/12_UTILITY!AP27*1000</f>
        <v>188.534516605728</v>
      </c>
      <c r="AQ62" s="49" t="n">
        <f aca="false">(12_UTILITY!AQ35)/12_UTILITY!AQ27*1000</f>
        <v>192.091771636025</v>
      </c>
      <c r="AR62" s="49" t="n">
        <f aca="false">(12_UTILITY!AR35)/12_UTILITY!AR27*1000</f>
        <v>195.716144685761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469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470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29" t="s">
        <v>471</v>
      </c>
      <c r="B4" s="29" t="s">
        <v>472</v>
      </c>
      <c r="C4" s="29" t="s">
        <v>473</v>
      </c>
      <c r="D4" s="29" t="s">
        <v>474</v>
      </c>
    </row>
    <row r="5" customFormat="false" ht="15" hidden="false" customHeight="false" outlineLevel="0" collapsed="false">
      <c r="A5" s="8" t="s">
        <v>475</v>
      </c>
      <c r="B5" s="19" t="s">
        <v>476</v>
      </c>
      <c r="C5" s="47" t="n">
        <f aca="false">IF(B5="READY",3,IF(B5="PARTIAL",2,IF(B5="GAP",1,IF(B5="CRITICAL GAP",0,""))))</f>
        <v>3</v>
      </c>
      <c r="D5" s="8" t="s">
        <v>477</v>
      </c>
    </row>
    <row r="6" customFormat="false" ht="15" hidden="false" customHeight="false" outlineLevel="0" collapsed="false">
      <c r="A6" s="8" t="s">
        <v>478</v>
      </c>
      <c r="B6" s="19" t="s">
        <v>479</v>
      </c>
      <c r="C6" s="47" t="n">
        <f aca="false">IF(B6="READY",3,IF(B6="PARTIAL",2,IF(B6="GAP",1,IF(B6="CRITICAL GAP",0,""))))</f>
        <v>2</v>
      </c>
      <c r="D6" s="8" t="s">
        <v>480</v>
      </c>
    </row>
    <row r="7" customFormat="false" ht="15" hidden="false" customHeight="false" outlineLevel="0" collapsed="false">
      <c r="A7" s="8" t="s">
        <v>481</v>
      </c>
      <c r="B7" s="19" t="s">
        <v>479</v>
      </c>
      <c r="C7" s="47" t="n">
        <f aca="false">IF(B7="READY",3,IF(B7="PARTIAL",2,IF(B7="GAP",1,IF(B7="CRITICAL GAP",0,""))))</f>
        <v>2</v>
      </c>
      <c r="D7" s="8" t="s">
        <v>482</v>
      </c>
    </row>
    <row r="8" customFormat="false" ht="15" hidden="false" customHeight="false" outlineLevel="0" collapsed="false">
      <c r="A8" s="8" t="s">
        <v>483</v>
      </c>
      <c r="B8" s="19" t="s">
        <v>479</v>
      </c>
      <c r="C8" s="47" t="n">
        <f aca="false">IF(B8="READY",3,IF(B8="PARTIAL",2,IF(B8="GAP",1,IF(B8="CRITICAL GAP",0,""))))</f>
        <v>2</v>
      </c>
      <c r="D8" s="8" t="s">
        <v>484</v>
      </c>
    </row>
    <row r="9" customFormat="false" ht="15" hidden="false" customHeight="false" outlineLevel="0" collapsed="false">
      <c r="A9" s="8" t="s">
        <v>485</v>
      </c>
      <c r="B9" s="19" t="s">
        <v>476</v>
      </c>
      <c r="C9" s="47" t="n">
        <f aca="false">IF(B9="READY",3,IF(B9="PARTIAL",2,IF(B9="GAP",1,IF(B9="CRITICAL GAP",0,""))))</f>
        <v>3</v>
      </c>
      <c r="D9" s="8"/>
    </row>
    <row r="10" customFormat="false" ht="15" hidden="false" customHeight="false" outlineLevel="0" collapsed="false">
      <c r="A10" s="8" t="s">
        <v>486</v>
      </c>
      <c r="B10" s="19" t="s">
        <v>479</v>
      </c>
      <c r="C10" s="47" t="n">
        <f aca="false">IF(B10="READY",3,IF(B10="PARTIAL",2,IF(B10="GAP",1,IF(B10="CRITICAL GAP",0,""))))</f>
        <v>2</v>
      </c>
      <c r="D10" s="8" t="s">
        <v>487</v>
      </c>
    </row>
    <row r="11" customFormat="false" ht="15" hidden="false" customHeight="false" outlineLevel="0" collapsed="false">
      <c r="A11" s="8" t="s">
        <v>488</v>
      </c>
      <c r="B11" s="19" t="s">
        <v>479</v>
      </c>
      <c r="C11" s="47" t="n">
        <f aca="false">IF(B11="READY",3,IF(B11="PARTIAL",2,IF(B11="GAP",1,IF(B11="CRITICAL GAP",0,""))))</f>
        <v>2</v>
      </c>
      <c r="D11" s="8" t="s">
        <v>489</v>
      </c>
    </row>
    <row r="12" customFormat="false" ht="15" hidden="false" customHeight="false" outlineLevel="0" collapsed="false">
      <c r="A12" s="8" t="s">
        <v>490</v>
      </c>
      <c r="B12" s="19" t="s">
        <v>491</v>
      </c>
      <c r="C12" s="47" t="n">
        <f aca="false">IF(B12="READY",3,IF(B12="PARTIAL",2,IF(B12="GAP",1,IF(B12="CRITICAL GAP",0,""))))</f>
        <v>1</v>
      </c>
      <c r="D12" s="8" t="s">
        <v>492</v>
      </c>
    </row>
    <row r="13" customFormat="false" ht="15" hidden="false" customHeight="false" outlineLevel="0" collapsed="false">
      <c r="A13" s="8" t="s">
        <v>493</v>
      </c>
      <c r="B13" s="19" t="s">
        <v>479</v>
      </c>
      <c r="C13" s="47" t="n">
        <f aca="false">IF(B13="READY",3,IF(B13="PARTIAL",2,IF(B13="GAP",1,IF(B13="CRITICAL GAP",0,""))))</f>
        <v>2</v>
      </c>
      <c r="D13" s="8"/>
    </row>
    <row r="14" customFormat="false" ht="15" hidden="false" customHeight="false" outlineLevel="0" collapsed="false">
      <c r="A14" s="8" t="s">
        <v>494</v>
      </c>
      <c r="B14" s="19" t="s">
        <v>479</v>
      </c>
      <c r="C14" s="47" t="n">
        <f aca="false">IF(B14="READY",3,IF(B14="PARTIAL",2,IF(B14="GAP",1,IF(B14="CRITICAL GAP",0,""))))</f>
        <v>2</v>
      </c>
      <c r="D14" s="8"/>
    </row>
    <row r="15" customFormat="false" ht="15" hidden="false" customHeight="false" outlineLevel="0" collapsed="false">
      <c r="A15" s="8" t="s">
        <v>495</v>
      </c>
      <c r="B15" s="19" t="s">
        <v>491</v>
      </c>
      <c r="C15" s="47" t="n">
        <f aca="false">IF(B15="READY",3,IF(B15="PARTIAL",2,IF(B15="GAP",1,IF(B15="CRITICAL GAP",0,""))))</f>
        <v>1</v>
      </c>
      <c r="D15" s="8" t="s">
        <v>496</v>
      </c>
    </row>
    <row r="16" customFormat="false" ht="15" hidden="false" customHeight="false" outlineLevel="0" collapsed="false">
      <c r="A16" s="8" t="s">
        <v>497</v>
      </c>
      <c r="B16" s="19" t="s">
        <v>479</v>
      </c>
      <c r="C16" s="47" t="n">
        <f aca="false">IF(B16="READY",3,IF(B16="PARTIAL",2,IF(B16="GAP",1,IF(B16="CRITICAL GAP",0,""))))</f>
        <v>2</v>
      </c>
      <c r="D16" s="8" t="s">
        <v>498</v>
      </c>
    </row>
    <row r="17" customFormat="false" ht="15" hidden="false" customHeight="false" outlineLevel="0" collapsed="false">
      <c r="A17" s="8" t="s">
        <v>499</v>
      </c>
      <c r="B17" s="19" t="s">
        <v>491</v>
      </c>
      <c r="C17" s="47" t="n">
        <f aca="false">IF(B17="READY",3,IF(B17="PARTIAL",2,IF(B17="GAP",1,IF(B17="CRITICAL GAP",0,""))))</f>
        <v>1</v>
      </c>
      <c r="D17" s="8" t="s">
        <v>500</v>
      </c>
    </row>
    <row r="18" customFormat="false" ht="15" hidden="false" customHeight="false" outlineLevel="0" collapsed="false">
      <c r="A18" s="8" t="s">
        <v>501</v>
      </c>
      <c r="B18" s="19" t="s">
        <v>491</v>
      </c>
      <c r="C18" s="47" t="n">
        <f aca="false">IF(B18="READY",3,IF(B18="PARTIAL",2,IF(B18="GAP",1,IF(B18="CRITICAL GAP",0,""))))</f>
        <v>1</v>
      </c>
      <c r="D18" s="8" t="s">
        <v>502</v>
      </c>
    </row>
    <row r="19" customFormat="false" ht="15" hidden="false" customHeight="false" outlineLevel="0" collapsed="false">
      <c r="A19" s="8" t="s">
        <v>503</v>
      </c>
      <c r="B19" s="19" t="s">
        <v>476</v>
      </c>
      <c r="C19" s="47" t="n">
        <f aca="false">IF(B19="READY",3,IF(B19="PARTIAL",2,IF(B19="GAP",1,IF(B19="CRITICAL GAP",0,""))))</f>
        <v>3</v>
      </c>
      <c r="D19" s="8" t="s">
        <v>504</v>
      </c>
    </row>
    <row r="20" customFormat="false" ht="15" hidden="false" customHeight="false" outlineLevel="0" collapsed="false">
      <c r="A20" s="8" t="s">
        <v>505</v>
      </c>
      <c r="B20" s="19" t="s">
        <v>479</v>
      </c>
      <c r="C20" s="47" t="n">
        <f aca="false">IF(B20="READY",3,IF(B20="PARTIAL",2,IF(B20="GAP",1,IF(B20="CRITICAL GAP",0,""))))</f>
        <v>2</v>
      </c>
      <c r="D20" s="8"/>
    </row>
    <row r="22" customFormat="false" ht="15" hidden="false" customHeight="false" outlineLevel="0" collapsed="false">
      <c r="A22" s="4" t="s">
        <v>506</v>
      </c>
      <c r="B22" s="8" t="s">
        <v>78</v>
      </c>
      <c r="C22" s="53" t="n">
        <f aca="false">COUNTIF(B5:B20,"CRITICAL GAP")</f>
        <v>0</v>
      </c>
    </row>
    <row r="23" customFormat="false" ht="15" hidden="false" customHeight="false" outlineLevel="0" collapsed="false">
      <c r="A23" s="4" t="s">
        <v>507</v>
      </c>
      <c r="B23" s="8" t="s">
        <v>78</v>
      </c>
      <c r="C23" s="53" t="n">
        <f aca="false">COUNTIF(B5:B20,"GAP")</f>
        <v>4</v>
      </c>
    </row>
    <row r="24" customFormat="false" ht="15" hidden="false" customHeight="false" outlineLevel="0" collapsed="false">
      <c r="A24" s="8" t="s">
        <v>508</v>
      </c>
      <c r="B24" s="8" t="s">
        <v>78</v>
      </c>
      <c r="C24" s="14" t="n">
        <f aca="false">COUNTIF(B5:B20,"PARTIAL")</f>
        <v>9</v>
      </c>
    </row>
    <row r="25" customFormat="false" ht="15" hidden="false" customHeight="false" outlineLevel="0" collapsed="false">
      <c r="A25" s="8" t="s">
        <v>509</v>
      </c>
      <c r="B25" s="8" t="s">
        <v>78</v>
      </c>
      <c r="C25" s="14" t="n">
        <f aca="false">COUNTIF(B5:B20,"READY")</f>
        <v>3</v>
      </c>
    </row>
    <row r="26" customFormat="false" ht="15" hidden="false" customHeight="false" outlineLevel="0" collapsed="false">
      <c r="A26" s="8" t="s">
        <v>510</v>
      </c>
      <c r="B26" s="8"/>
      <c r="C26" s="58" t="n">
        <f aca="false">AVERAGE(C5:C20)</f>
        <v>1.9375</v>
      </c>
    </row>
    <row r="28" customFormat="false" ht="15" hidden="false" customHeight="false" outlineLevel="0" collapsed="false">
      <c r="A28" s="6" t="s">
        <v>511</v>
      </c>
      <c r="B28" s="7"/>
      <c r="C28" s="7"/>
      <c r="D28" s="7"/>
      <c r="E28" s="7"/>
      <c r="F28" s="7"/>
      <c r="G28" s="7"/>
      <c r="H28" s="7"/>
      <c r="I28" s="7"/>
      <c r="J28" s="7"/>
    </row>
    <row r="29" customFormat="false" ht="15" hidden="false" customHeight="false" outlineLevel="0" collapsed="false">
      <c r="A29" s="8" t="s">
        <v>512</v>
      </c>
      <c r="B29" s="8" t="s">
        <v>38</v>
      </c>
      <c r="C29" s="9" t="n">
        <v>2</v>
      </c>
      <c r="D29" s="10" t="s">
        <v>513</v>
      </c>
    </row>
    <row r="30" customFormat="false" ht="15" hidden="false" customHeight="false" outlineLevel="0" collapsed="false">
      <c r="A30" s="8" t="s">
        <v>514</v>
      </c>
      <c r="B30" s="8" t="s">
        <v>38</v>
      </c>
      <c r="C30" s="9" t="n">
        <v>2</v>
      </c>
    </row>
    <row r="31" customFormat="false" ht="15" hidden="false" customHeight="false" outlineLevel="0" collapsed="false">
      <c r="A31" s="8" t="s">
        <v>515</v>
      </c>
      <c r="B31" s="8" t="s">
        <v>38</v>
      </c>
      <c r="C31" s="9" t="n">
        <v>3</v>
      </c>
    </row>
  </sheetData>
  <conditionalFormatting sqref="B5:B20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2">
      <formula>"GAP"</formula>
    </cfRule>
    <cfRule type="cellIs" priority="5" operator="equal" aboveAverage="0" equalAverage="0" bottom="0" percent="0" rank="0" text="" dxfId="3">
      <formula>"CRITICAL GAP"</formula>
    </cfRule>
  </conditionalFormatting>
  <dataValidations count="1">
    <dataValidation allowBlank="false" errorStyle="stop" operator="between" showDropDown="false" showErrorMessage="false" showInputMessage="false" sqref="B5:B20" type="list">
      <formula1>"READY,PARTIAL,GAP,CRITICAL GAP"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516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517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518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519</v>
      </c>
      <c r="B5" s="8" t="s">
        <v>520</v>
      </c>
      <c r="C5" s="51" t="n">
        <v>26</v>
      </c>
      <c r="D5" s="10" t="s">
        <v>521</v>
      </c>
    </row>
    <row r="6" customFormat="false" ht="15" hidden="false" customHeight="false" outlineLevel="0" collapsed="false">
      <c r="A6" s="8" t="s">
        <v>522</v>
      </c>
      <c r="B6" s="8" t="s">
        <v>523</v>
      </c>
      <c r="C6" s="51" t="n">
        <v>25</v>
      </c>
    </row>
    <row r="7" customFormat="false" ht="15" hidden="false" customHeight="false" outlineLevel="0" collapsed="false">
      <c r="A7" s="8" t="s">
        <v>524</v>
      </c>
      <c r="B7" s="8" t="s">
        <v>56</v>
      </c>
      <c r="C7" s="12" t="n">
        <v>0.5</v>
      </c>
      <c r="D7" s="10" t="s">
        <v>525</v>
      </c>
    </row>
    <row r="8" customFormat="false" ht="15" hidden="false" customHeight="false" outlineLevel="0" collapsed="false">
      <c r="A8" s="8" t="s">
        <v>526</v>
      </c>
      <c r="B8" s="8" t="s">
        <v>56</v>
      </c>
      <c r="C8" s="12" t="n">
        <v>1</v>
      </c>
    </row>
    <row r="9" customFormat="false" ht="15" hidden="false" customHeight="false" outlineLevel="0" collapsed="false">
      <c r="A9" s="8" t="s">
        <v>527</v>
      </c>
      <c r="B9" s="8" t="s">
        <v>56</v>
      </c>
      <c r="C9" s="25" t="n">
        <v>0</v>
      </c>
      <c r="D9" s="10" t="s">
        <v>528</v>
      </c>
    </row>
    <row r="10" customFormat="false" ht="15" hidden="false" customHeight="false" outlineLevel="0" collapsed="false">
      <c r="A10" s="6" t="s">
        <v>529</v>
      </c>
      <c r="B10" s="7"/>
      <c r="C10" s="7"/>
      <c r="D10" s="7"/>
      <c r="E10" s="7"/>
      <c r="F10" s="7"/>
      <c r="G10" s="7"/>
      <c r="H10" s="7"/>
      <c r="I10" s="7"/>
      <c r="J10" s="7"/>
    </row>
    <row r="11" customFormat="false" ht="15" hidden="false" customHeight="false" outlineLevel="0" collapsed="false">
      <c r="A11" s="8" t="s">
        <v>530</v>
      </c>
      <c r="B11" s="8" t="s">
        <v>53</v>
      </c>
      <c r="C11" s="9" t="n">
        <v>1</v>
      </c>
      <c r="D11" s="10" t="s">
        <v>531</v>
      </c>
    </row>
    <row r="12" customFormat="false" ht="15" hidden="false" customHeight="false" outlineLevel="0" collapsed="false">
      <c r="A12" s="8" t="s">
        <v>532</v>
      </c>
      <c r="B12" s="8" t="s">
        <v>56</v>
      </c>
      <c r="C12" s="12" t="n">
        <v>0</v>
      </c>
      <c r="D12" s="10" t="s">
        <v>533</v>
      </c>
    </row>
    <row r="13" customFormat="false" ht="15" hidden="false" customHeight="false" outlineLevel="0" collapsed="false">
      <c r="A13" s="8" t="s">
        <v>534</v>
      </c>
      <c r="B13" s="8" t="s">
        <v>82</v>
      </c>
      <c r="C13" s="24" t="n">
        <v>1</v>
      </c>
      <c r="D13" s="10" t="s">
        <v>535</v>
      </c>
    </row>
    <row r="14" customFormat="false" ht="15" hidden="false" customHeight="false" outlineLevel="0" collapsed="false">
      <c r="A14" s="8" t="s">
        <v>536</v>
      </c>
      <c r="B14" s="8" t="s">
        <v>56</v>
      </c>
      <c r="C14" s="12" t="n">
        <v>0.15</v>
      </c>
      <c r="D14" s="10" t="s">
        <v>537</v>
      </c>
    </row>
    <row r="15" customFormat="false" ht="15" hidden="false" customHeight="false" outlineLevel="0" collapsed="false">
      <c r="A15" s="6" t="s">
        <v>538</v>
      </c>
      <c r="B15" s="7"/>
      <c r="C15" s="7"/>
      <c r="D15" s="7"/>
      <c r="E15" s="7"/>
      <c r="F15" s="7"/>
      <c r="G15" s="7"/>
      <c r="H15" s="7"/>
      <c r="I15" s="7"/>
      <c r="J15" s="7"/>
    </row>
    <row r="16" customFormat="false" ht="15" hidden="false" customHeight="false" outlineLevel="0" collapsed="false">
      <c r="A16" s="8" t="s">
        <v>539</v>
      </c>
      <c r="C16" s="59" t="s">
        <v>540</v>
      </c>
    </row>
    <row r="17" customFormat="false" ht="15" hidden="false" customHeight="false" outlineLevel="0" collapsed="false">
      <c r="A17" s="8" t="s">
        <v>541</v>
      </c>
      <c r="C17" s="59" t="s">
        <v>542</v>
      </c>
    </row>
    <row r="18" customFormat="false" ht="15" hidden="false" customHeight="false" outlineLevel="0" collapsed="false">
      <c r="A18" s="8" t="s">
        <v>543</v>
      </c>
      <c r="C18" s="59" t="s">
        <v>544</v>
      </c>
    </row>
    <row r="19" customFormat="false" ht="15" hidden="false" customHeight="false" outlineLevel="0" collapsed="false">
      <c r="A19" s="8" t="s">
        <v>545</v>
      </c>
      <c r="C19" s="59" t="s">
        <v>546</v>
      </c>
    </row>
    <row r="20" customFormat="false" ht="15" hidden="false" customHeight="false" outlineLevel="0" collapsed="false">
      <c r="A20" s="8" t="s">
        <v>547</v>
      </c>
      <c r="C20" s="59" t="s">
        <v>548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549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550</v>
      </c>
      <c r="B6" s="8" t="s">
        <v>82</v>
      </c>
      <c r="E6" s="40" t="n">
        <f aca="false">(1-14_PPA!$C$9)+14_PPA!$C$9*06_CONSTRUCTION!E18/06_CONSTRUCTION!E20/06_CONSTRUCTION!E17</f>
        <v>1</v>
      </c>
      <c r="F6" s="40" t="n">
        <f aca="false">(1-14_PPA!$C$9)+14_PPA!$C$9*06_CONSTRUCTION!F18/06_CONSTRUCTION!F20/06_CONSTRUCTION!F17</f>
        <v>1</v>
      </c>
      <c r="G6" s="40" t="n">
        <f aca="false">(1-14_PPA!$C$9)+14_PPA!$C$9*06_CONSTRUCTION!G18/06_CONSTRUCTION!G20/06_CONSTRUCTION!G17</f>
        <v>1</v>
      </c>
      <c r="H6" s="40" t="n">
        <f aca="false">(1-14_PPA!$C$9)+14_PPA!$C$9*06_CONSTRUCTION!H18/06_CONSTRUCTION!H20/06_CONSTRUCTION!H17</f>
        <v>1</v>
      </c>
      <c r="I6" s="40" t="n">
        <f aca="false">(1-14_PPA!$C$9)+14_PPA!$C$9*06_CONSTRUCTION!I18/06_CONSTRUCTION!I20/06_CONSTRUCTION!I17</f>
        <v>1</v>
      </c>
      <c r="J6" s="40" t="n">
        <f aca="false">(1-14_PPA!$C$9)+14_PPA!$C$9*06_CONSTRUCTION!J18/06_CONSTRUCTION!J20/06_CONSTRUCTION!J17</f>
        <v>1</v>
      </c>
      <c r="K6" s="40" t="n">
        <f aca="false">(1-14_PPA!$C$9)+14_PPA!$C$9*06_CONSTRUCTION!K18/06_CONSTRUCTION!K20/06_CONSTRUCTION!K17</f>
        <v>1</v>
      </c>
      <c r="L6" s="40" t="n">
        <f aca="false">(1-14_PPA!$C$9)+14_PPA!$C$9*06_CONSTRUCTION!L18/06_CONSTRUCTION!L20/06_CONSTRUCTION!L17</f>
        <v>1</v>
      </c>
      <c r="M6" s="40" t="n">
        <f aca="false">(1-14_PPA!$C$9)+14_PPA!$C$9*06_CONSTRUCTION!M18/06_CONSTRUCTION!M20/06_CONSTRUCTION!M17</f>
        <v>1</v>
      </c>
      <c r="N6" s="40" t="n">
        <f aca="false">(1-14_PPA!$C$9)+14_PPA!$C$9*06_CONSTRUCTION!N18/06_CONSTRUCTION!N20/06_CONSTRUCTION!N17</f>
        <v>1</v>
      </c>
      <c r="O6" s="40" t="n">
        <f aca="false">(1-14_PPA!$C$9)+14_PPA!$C$9*06_CONSTRUCTION!O18/06_CONSTRUCTION!O20/06_CONSTRUCTION!O17</f>
        <v>1</v>
      </c>
      <c r="P6" s="40" t="n">
        <f aca="false">(1-14_PPA!$C$9)+14_PPA!$C$9*06_CONSTRUCTION!P18/06_CONSTRUCTION!P20/06_CONSTRUCTION!P17</f>
        <v>1</v>
      </c>
      <c r="Q6" s="40" t="n">
        <f aca="false">(1-14_PPA!$C$9)+14_PPA!$C$9*06_CONSTRUCTION!Q18/06_CONSTRUCTION!Q20/06_CONSTRUCTION!Q17</f>
        <v>1</v>
      </c>
      <c r="R6" s="40" t="n">
        <f aca="false">(1-14_PPA!$C$9)+14_PPA!$C$9*06_CONSTRUCTION!R18/06_CONSTRUCTION!R20/06_CONSTRUCTION!R17</f>
        <v>1</v>
      </c>
      <c r="S6" s="40" t="n">
        <f aca="false">(1-14_PPA!$C$9)+14_PPA!$C$9*06_CONSTRUCTION!S18/06_CONSTRUCTION!S20/06_CONSTRUCTION!S17</f>
        <v>1</v>
      </c>
      <c r="T6" s="40" t="n">
        <f aca="false">(1-14_PPA!$C$9)+14_PPA!$C$9*06_CONSTRUCTION!T18/06_CONSTRUCTION!T20/06_CONSTRUCTION!T17</f>
        <v>1</v>
      </c>
      <c r="U6" s="40" t="n">
        <f aca="false">(1-14_PPA!$C$9)+14_PPA!$C$9*06_CONSTRUCTION!U18/06_CONSTRUCTION!U20/06_CONSTRUCTION!U17</f>
        <v>1</v>
      </c>
      <c r="V6" s="40" t="n">
        <f aca="false">(1-14_PPA!$C$9)+14_PPA!$C$9*06_CONSTRUCTION!V18/06_CONSTRUCTION!V20/06_CONSTRUCTION!V17</f>
        <v>1</v>
      </c>
      <c r="W6" s="40" t="n">
        <f aca="false">(1-14_PPA!$C$9)+14_PPA!$C$9*06_CONSTRUCTION!W18/06_CONSTRUCTION!W20/06_CONSTRUCTION!W17</f>
        <v>1</v>
      </c>
      <c r="X6" s="40" t="n">
        <f aca="false">(1-14_PPA!$C$9)+14_PPA!$C$9*06_CONSTRUCTION!X18/06_CONSTRUCTION!X20/06_CONSTRUCTION!X17</f>
        <v>1</v>
      </c>
      <c r="Y6" s="40" t="n">
        <f aca="false">(1-14_PPA!$C$9)+14_PPA!$C$9*06_CONSTRUCTION!Y18/06_CONSTRUCTION!Y20/06_CONSTRUCTION!Y17</f>
        <v>1</v>
      </c>
      <c r="Z6" s="40" t="n">
        <f aca="false">(1-14_PPA!$C$9)+14_PPA!$C$9*06_CONSTRUCTION!Z18/06_CONSTRUCTION!Z20/06_CONSTRUCTION!Z17</f>
        <v>1</v>
      </c>
      <c r="AA6" s="40" t="n">
        <f aca="false">(1-14_PPA!$C$9)+14_PPA!$C$9*06_CONSTRUCTION!AA18/06_CONSTRUCTION!AA20/06_CONSTRUCTION!AA17</f>
        <v>1</v>
      </c>
      <c r="AB6" s="40" t="n">
        <f aca="false">(1-14_PPA!$C$9)+14_PPA!$C$9*06_CONSTRUCTION!AB18/06_CONSTRUCTION!AB20/06_CONSTRUCTION!AB17</f>
        <v>1</v>
      </c>
      <c r="AC6" s="40" t="n">
        <f aca="false">(1-14_PPA!$C$9)+14_PPA!$C$9*06_CONSTRUCTION!AC18/06_CONSTRUCTION!AC20/06_CONSTRUCTION!AC17</f>
        <v>1</v>
      </c>
      <c r="AD6" s="40" t="n">
        <f aca="false">(1-14_PPA!$C$9)+14_PPA!$C$9*06_CONSTRUCTION!AD18/06_CONSTRUCTION!AD20/06_CONSTRUCTION!AD17</f>
        <v>1</v>
      </c>
      <c r="AE6" s="40" t="n">
        <f aca="false">(1-14_PPA!$C$9)+14_PPA!$C$9*06_CONSTRUCTION!AE18/06_CONSTRUCTION!AE20/06_CONSTRUCTION!AE17</f>
        <v>1</v>
      </c>
      <c r="AF6" s="40" t="n">
        <f aca="false">(1-14_PPA!$C$9)+14_PPA!$C$9*06_CONSTRUCTION!AF18/06_CONSTRUCTION!AF20/06_CONSTRUCTION!AF17</f>
        <v>1</v>
      </c>
      <c r="AG6" s="40" t="n">
        <f aca="false">(1-14_PPA!$C$9)+14_PPA!$C$9*06_CONSTRUCTION!AG18/06_CONSTRUCTION!AG20/06_CONSTRUCTION!AG17</f>
        <v>1</v>
      </c>
      <c r="AH6" s="40" t="n">
        <f aca="false">(1-14_PPA!$C$9)+14_PPA!$C$9*06_CONSTRUCTION!AH18/06_CONSTRUCTION!AH20/06_CONSTRUCTION!AH17</f>
        <v>1</v>
      </c>
      <c r="AI6" s="40" t="n">
        <f aca="false">(1-14_PPA!$C$9)+14_PPA!$C$9*06_CONSTRUCTION!AI18/06_CONSTRUCTION!AI20/06_CONSTRUCTION!AI17</f>
        <v>1</v>
      </c>
      <c r="AJ6" s="40" t="n">
        <f aca="false">(1-14_PPA!$C$9)+14_PPA!$C$9*06_CONSTRUCTION!AJ18/06_CONSTRUCTION!AJ20/06_CONSTRUCTION!AJ17</f>
        <v>1</v>
      </c>
      <c r="AK6" s="40" t="n">
        <f aca="false">(1-14_PPA!$C$9)+14_PPA!$C$9*06_CONSTRUCTION!AK18/06_CONSTRUCTION!AK20/06_CONSTRUCTION!AK17</f>
        <v>1</v>
      </c>
      <c r="AL6" s="40" t="n">
        <f aca="false">(1-14_PPA!$C$9)+14_PPA!$C$9*06_CONSTRUCTION!AL18/06_CONSTRUCTION!AL20/06_CONSTRUCTION!AL17</f>
        <v>1</v>
      </c>
      <c r="AM6" s="40" t="n">
        <f aca="false">(1-14_PPA!$C$9)+14_PPA!$C$9*06_CONSTRUCTION!AM18/06_CONSTRUCTION!AM20/06_CONSTRUCTION!AM17</f>
        <v>1</v>
      </c>
      <c r="AN6" s="40" t="n">
        <f aca="false">(1-14_PPA!$C$9)+14_PPA!$C$9*06_CONSTRUCTION!AN18/06_CONSTRUCTION!AN20/06_CONSTRUCTION!AN17</f>
        <v>1</v>
      </c>
      <c r="AO6" s="40" t="n">
        <f aca="false">(1-14_PPA!$C$9)+14_PPA!$C$9*06_CONSTRUCTION!AO18/06_CONSTRUCTION!AO20/06_CONSTRUCTION!AO17</f>
        <v>1</v>
      </c>
      <c r="AP6" s="40" t="n">
        <f aca="false">(1-14_PPA!$C$9)+14_PPA!$C$9*06_CONSTRUCTION!AP18/06_CONSTRUCTION!AP20/06_CONSTRUCTION!AP17</f>
        <v>1</v>
      </c>
      <c r="AQ6" s="40" t="n">
        <f aca="false">(1-14_PPA!$C$9)+14_PPA!$C$9*06_CONSTRUCTION!AQ18/06_CONSTRUCTION!AQ20/06_CONSTRUCTION!AQ17</f>
        <v>1</v>
      </c>
      <c r="AR6" s="40" t="n">
        <f aca="false">(1-14_PPA!$C$9)+14_PPA!$C$9*06_CONSTRUCTION!AR18/06_CONSTRUCTION!AR20/06_CONSTRUCTION!AR17</f>
        <v>1</v>
      </c>
    </row>
    <row r="7" customFormat="false" ht="15" hidden="false" customHeight="false" outlineLevel="0" collapsed="false">
      <c r="A7" s="8" t="s">
        <v>551</v>
      </c>
      <c r="B7" s="8" t="s">
        <v>552</v>
      </c>
      <c r="E7" s="49" t="n">
        <f aca="false">14_PPA!$C$5*((1-14_PPA!$C$7)+14_PPA!$C$7*06_CONSTRUCTION!E17)*15_TARIFF!E6*27_SCENARIOS!$C$40</f>
        <v>26.26</v>
      </c>
      <c r="F7" s="49" t="n">
        <f aca="false">14_PPA!$C$5*((1-14_PPA!$C$7)+14_PPA!$C$7*06_CONSTRUCTION!F17)*15_TARIFF!F6*27_SCENARIOS!$C$40</f>
        <v>26.5252</v>
      </c>
      <c r="G7" s="49" t="n">
        <f aca="false">14_PPA!$C$5*((1-14_PPA!$C$7)+14_PPA!$C$7*06_CONSTRUCTION!G17)*15_TARIFF!G6*27_SCENARIOS!$C$40</f>
        <v>26.795704</v>
      </c>
      <c r="H7" s="49" t="n">
        <f aca="false">14_PPA!$C$5*((1-14_PPA!$C$7)+14_PPA!$C$7*06_CONSTRUCTION!H17)*15_TARIFF!H6*27_SCENARIOS!$C$40</f>
        <v>27.07161808</v>
      </c>
      <c r="I7" s="49" t="n">
        <f aca="false">14_PPA!$C$5*((1-14_PPA!$C$7)+14_PPA!$C$7*06_CONSTRUCTION!I17)*15_TARIFF!I6*27_SCENARIOS!$C$40</f>
        <v>27.3530504416</v>
      </c>
      <c r="J7" s="49" t="n">
        <f aca="false">14_PPA!$C$5*((1-14_PPA!$C$7)+14_PPA!$C$7*06_CONSTRUCTION!J17)*15_TARIFF!J6*27_SCENARIOS!$C$40</f>
        <v>27.640111450432</v>
      </c>
      <c r="K7" s="49" t="n">
        <f aca="false">14_PPA!$C$5*((1-14_PPA!$C$7)+14_PPA!$C$7*06_CONSTRUCTION!K17)*15_TARIFF!K6*27_SCENARIOS!$C$40</f>
        <v>27.9329136794406</v>
      </c>
      <c r="L7" s="49" t="n">
        <f aca="false">14_PPA!$C$5*((1-14_PPA!$C$7)+14_PPA!$C$7*06_CONSTRUCTION!L17)*15_TARIFF!L6*27_SCENARIOS!$C$40</f>
        <v>28.2315719530295</v>
      </c>
      <c r="M7" s="49" t="n">
        <f aca="false">14_PPA!$C$5*((1-14_PPA!$C$7)+14_PPA!$C$7*06_CONSTRUCTION!M17)*15_TARIFF!M6*27_SCENARIOS!$C$40</f>
        <v>28.53620339209</v>
      </c>
      <c r="N7" s="49" t="n">
        <f aca="false">14_PPA!$C$5*((1-14_PPA!$C$7)+14_PPA!$C$7*06_CONSTRUCTION!N17)*15_TARIFF!N6*27_SCENARIOS!$C$40</f>
        <v>28.8469274599318</v>
      </c>
      <c r="O7" s="49" t="n">
        <f aca="false">14_PPA!$C$5*((1-14_PPA!$C$7)+14_PPA!$C$7*06_CONSTRUCTION!O17)*15_TARIFF!O6*27_SCENARIOS!$C$40</f>
        <v>29.1638660091305</v>
      </c>
      <c r="P7" s="49" t="n">
        <f aca="false">14_PPA!$C$5*((1-14_PPA!$C$7)+14_PPA!$C$7*06_CONSTRUCTION!P17)*15_TARIFF!P6*27_SCENARIOS!$C$40</f>
        <v>29.4871433293131</v>
      </c>
      <c r="Q7" s="49" t="n">
        <f aca="false">14_PPA!$C$5*((1-14_PPA!$C$7)+14_PPA!$C$7*06_CONSTRUCTION!Q17)*15_TARIFF!Q6*27_SCENARIOS!$C$40</f>
        <v>29.8168861958994</v>
      </c>
      <c r="R7" s="49" t="n">
        <f aca="false">14_PPA!$C$5*((1-14_PPA!$C$7)+14_PPA!$C$7*06_CONSTRUCTION!R17)*15_TARIFF!R6*27_SCENARIOS!$C$40</f>
        <v>30.1532239198173</v>
      </c>
      <c r="S7" s="49" t="n">
        <f aca="false">14_PPA!$C$5*((1-14_PPA!$C$7)+14_PPA!$C$7*06_CONSTRUCTION!S17)*15_TARIFF!S6*27_SCENARIOS!$C$40</f>
        <v>30.4962883982137</v>
      </c>
      <c r="T7" s="49" t="n">
        <f aca="false">14_PPA!$C$5*((1-14_PPA!$C$7)+14_PPA!$C$7*06_CONSTRUCTION!T17)*15_TARIFF!T6*27_SCENARIOS!$C$40</f>
        <v>30.846214166178</v>
      </c>
      <c r="U7" s="49" t="n">
        <f aca="false">14_PPA!$C$5*((1-14_PPA!$C$7)+14_PPA!$C$7*06_CONSTRUCTION!U17)*15_TARIFF!U6*27_SCENARIOS!$C$40</f>
        <v>31.2031384495015</v>
      </c>
      <c r="V7" s="49" t="n">
        <f aca="false">14_PPA!$C$5*((1-14_PPA!$C$7)+14_PPA!$C$7*06_CONSTRUCTION!V17)*15_TARIFF!V6*27_SCENARIOS!$C$40</f>
        <v>31.5672012184916</v>
      </c>
      <c r="W7" s="49" t="n">
        <f aca="false">14_PPA!$C$5*((1-14_PPA!$C$7)+14_PPA!$C$7*06_CONSTRUCTION!W17)*15_TARIFF!W6*27_SCENARIOS!$C$40</f>
        <v>31.9385452428614</v>
      </c>
      <c r="X7" s="49" t="n">
        <f aca="false">14_PPA!$C$5*((1-14_PPA!$C$7)+14_PPA!$C$7*06_CONSTRUCTION!X17)*15_TARIFF!X6*27_SCENARIOS!$C$40</f>
        <v>32.3173161477186</v>
      </c>
      <c r="Y7" s="49" t="n">
        <f aca="false">14_PPA!$C$5*((1-14_PPA!$C$7)+14_PPA!$C$7*06_CONSTRUCTION!Y17)*15_TARIFF!Y6*27_SCENARIOS!$C$40</f>
        <v>32.703662470673</v>
      </c>
      <c r="Z7" s="49" t="n">
        <f aca="false">14_PPA!$C$5*((1-14_PPA!$C$7)+14_PPA!$C$7*06_CONSTRUCTION!Z17)*15_TARIFF!Z6*27_SCENARIOS!$C$40</f>
        <v>33.0977357200864</v>
      </c>
      <c r="AA7" s="49" t="n">
        <f aca="false">14_PPA!$C$5*((1-14_PPA!$C$7)+14_PPA!$C$7*06_CONSTRUCTION!AA17)*15_TARIFF!AA6*27_SCENARIOS!$C$40</f>
        <v>33.4996904344882</v>
      </c>
      <c r="AB7" s="49" t="n">
        <f aca="false">14_PPA!$C$5*((1-14_PPA!$C$7)+14_PPA!$C$7*06_CONSTRUCTION!AB17)*15_TARIFF!AB6*27_SCENARIOS!$C$40</f>
        <v>33.9096842431779</v>
      </c>
      <c r="AC7" s="49" t="n">
        <f aca="false">14_PPA!$C$5*((1-14_PPA!$C$7)+14_PPA!$C$7*06_CONSTRUCTION!AC17)*15_TARIFF!AC6*27_SCENARIOS!$C$40</f>
        <v>34.3278779280415</v>
      </c>
      <c r="AD7" s="49" t="n">
        <f aca="false">14_PPA!$C$5*((1-14_PPA!$C$7)+14_PPA!$C$7*06_CONSTRUCTION!AD17)*15_TARIFF!AD6*27_SCENARIOS!$C$40</f>
        <v>34.7544354866023</v>
      </c>
      <c r="AE7" s="49" t="n">
        <f aca="false">14_PPA!$C$5*((1-14_PPA!$C$7)+14_PPA!$C$7*06_CONSTRUCTION!AE17)*15_TARIFF!AE6*27_SCENARIOS!$C$40</f>
        <v>35.1895241963344</v>
      </c>
      <c r="AF7" s="49" t="n">
        <f aca="false">14_PPA!$C$5*((1-14_PPA!$C$7)+14_PPA!$C$7*06_CONSTRUCTION!AF17)*15_TARIFF!AF6*27_SCENARIOS!$C$40</f>
        <v>35.6333146802611</v>
      </c>
      <c r="AG7" s="49" t="n">
        <f aca="false">14_PPA!$C$5*((1-14_PPA!$C$7)+14_PPA!$C$7*06_CONSTRUCTION!AG17)*15_TARIFF!AG6*27_SCENARIOS!$C$40</f>
        <v>36.0859809738663</v>
      </c>
      <c r="AH7" s="49" t="n">
        <f aca="false">14_PPA!$C$5*((1-14_PPA!$C$7)+14_PPA!$C$7*06_CONSTRUCTION!AH17)*15_TARIFF!AH6*27_SCENARIOS!$C$40</f>
        <v>36.5477005933436</v>
      </c>
      <c r="AI7" s="49" t="n">
        <f aca="false">14_PPA!$C$5*((1-14_PPA!$C$7)+14_PPA!$C$7*06_CONSTRUCTION!AI17)*15_TARIFF!AI6*27_SCENARIOS!$C$40</f>
        <v>37.0186546052105</v>
      </c>
      <c r="AJ7" s="49" t="n">
        <f aca="false">14_PPA!$C$5*((1-14_PPA!$C$7)+14_PPA!$C$7*06_CONSTRUCTION!AJ17)*15_TARIFF!AJ6*27_SCENARIOS!$C$40</f>
        <v>37.4990276973147</v>
      </c>
      <c r="AK7" s="49" t="n">
        <f aca="false">14_PPA!$C$5*((1-14_PPA!$C$7)+14_PPA!$C$7*06_CONSTRUCTION!AK17)*15_TARIFF!AK6*27_SCENARIOS!$C$40</f>
        <v>37.989008251261</v>
      </c>
      <c r="AL7" s="49" t="n">
        <f aca="false">14_PPA!$C$5*((1-14_PPA!$C$7)+14_PPA!$C$7*06_CONSTRUCTION!AL17)*15_TARIFF!AL6*27_SCENARIOS!$C$40</f>
        <v>38.4887884162862</v>
      </c>
      <c r="AM7" s="49" t="n">
        <f aca="false">14_PPA!$C$5*((1-14_PPA!$C$7)+14_PPA!$C$7*06_CONSTRUCTION!AM17)*15_TARIFF!AM6*27_SCENARIOS!$C$40</f>
        <v>38.9985641846119</v>
      </c>
      <c r="AN7" s="49" t="n">
        <f aca="false">14_PPA!$C$5*((1-14_PPA!$C$7)+14_PPA!$C$7*06_CONSTRUCTION!AN17)*15_TARIFF!AN6*27_SCENARIOS!$C$40</f>
        <v>39.5185354683042</v>
      </c>
      <c r="AO7" s="49" t="n">
        <f aca="false">14_PPA!$C$5*((1-14_PPA!$C$7)+14_PPA!$C$7*06_CONSTRUCTION!AO17)*15_TARIFF!AO6*27_SCENARIOS!$C$40</f>
        <v>40.0489061776703</v>
      </c>
      <c r="AP7" s="49" t="n">
        <f aca="false">14_PPA!$C$5*((1-14_PPA!$C$7)+14_PPA!$C$7*06_CONSTRUCTION!AP17)*15_TARIFF!AP6*27_SCENARIOS!$C$40</f>
        <v>40.5898843012237</v>
      </c>
      <c r="AQ7" s="49" t="n">
        <f aca="false">14_PPA!$C$5*((1-14_PPA!$C$7)+14_PPA!$C$7*06_CONSTRUCTION!AQ17)*15_TARIFF!AQ6*27_SCENARIOS!$C$40</f>
        <v>41.1416819872481</v>
      </c>
      <c r="AR7" s="49" t="n">
        <f aca="false">14_PPA!$C$5*((1-14_PPA!$C$7)+14_PPA!$C$7*06_CONSTRUCTION!AR17)*15_TARIFF!AR6*27_SCENARIOS!$C$40</f>
        <v>41.7045156269931</v>
      </c>
    </row>
    <row r="8" customFormat="false" ht="15" hidden="false" customHeight="false" outlineLevel="0" collapsed="false">
      <c r="A8" s="8" t="s">
        <v>553</v>
      </c>
      <c r="B8" s="8" t="s">
        <v>311</v>
      </c>
      <c r="E8" s="49" t="n">
        <f aca="false">14_PPA!$C$6*((1-14_PPA!$C$8)+14_PPA!$C$8*06_CONSTRUCTION!E17)*15_TARIFF!E6*27_SCENARIOS!$C$40</f>
        <v>25.5</v>
      </c>
      <c r="F8" s="49" t="n">
        <f aca="false">14_PPA!$C$6*((1-14_PPA!$C$8)+14_PPA!$C$8*06_CONSTRUCTION!F17)*15_TARIFF!F6*27_SCENARIOS!$C$40</f>
        <v>26.01</v>
      </c>
      <c r="G8" s="49" t="n">
        <f aca="false">14_PPA!$C$6*((1-14_PPA!$C$8)+14_PPA!$C$8*06_CONSTRUCTION!G17)*15_TARIFF!G6*27_SCENARIOS!$C$40</f>
        <v>26.5302</v>
      </c>
      <c r="H8" s="49" t="n">
        <f aca="false">14_PPA!$C$6*((1-14_PPA!$C$8)+14_PPA!$C$8*06_CONSTRUCTION!H17)*15_TARIFF!H6*27_SCENARIOS!$C$40</f>
        <v>27.060804</v>
      </c>
      <c r="I8" s="49" t="n">
        <f aca="false">14_PPA!$C$6*((1-14_PPA!$C$8)+14_PPA!$C$8*06_CONSTRUCTION!I17)*15_TARIFF!I6*27_SCENARIOS!$C$40</f>
        <v>27.60202008</v>
      </c>
      <c r="J8" s="49" t="n">
        <f aca="false">14_PPA!$C$6*((1-14_PPA!$C$8)+14_PPA!$C$8*06_CONSTRUCTION!J17)*15_TARIFF!J6*27_SCENARIOS!$C$40</f>
        <v>28.1540604816</v>
      </c>
      <c r="K8" s="49" t="n">
        <f aca="false">14_PPA!$C$6*((1-14_PPA!$C$8)+14_PPA!$C$8*06_CONSTRUCTION!K17)*15_TARIFF!K6*27_SCENARIOS!$C$40</f>
        <v>28.717141691232</v>
      </c>
      <c r="L8" s="49" t="n">
        <f aca="false">14_PPA!$C$6*((1-14_PPA!$C$8)+14_PPA!$C$8*06_CONSTRUCTION!L17)*15_TARIFF!L6*27_SCENARIOS!$C$40</f>
        <v>29.2914845250566</v>
      </c>
      <c r="M8" s="49" t="n">
        <f aca="false">14_PPA!$C$6*((1-14_PPA!$C$8)+14_PPA!$C$8*06_CONSTRUCTION!M17)*15_TARIFF!M6*27_SCENARIOS!$C$40</f>
        <v>29.8773142155578</v>
      </c>
      <c r="N8" s="49" t="n">
        <f aca="false">14_PPA!$C$6*((1-14_PPA!$C$8)+14_PPA!$C$8*06_CONSTRUCTION!N17)*15_TARIFF!N6*27_SCENARIOS!$C$40</f>
        <v>30.4748604998689</v>
      </c>
      <c r="O8" s="49" t="n">
        <f aca="false">14_PPA!$C$6*((1-14_PPA!$C$8)+14_PPA!$C$8*06_CONSTRUCTION!O17)*15_TARIFF!O6*27_SCENARIOS!$C$40</f>
        <v>31.0843577098663</v>
      </c>
      <c r="P8" s="49" t="n">
        <f aca="false">14_PPA!$C$6*((1-14_PPA!$C$8)+14_PPA!$C$8*06_CONSTRUCTION!P17)*15_TARIFF!P6*27_SCENARIOS!$C$40</f>
        <v>31.7060448640636</v>
      </c>
      <c r="Q8" s="49" t="n">
        <f aca="false">14_PPA!$C$6*((1-14_PPA!$C$8)+14_PPA!$C$8*06_CONSTRUCTION!Q17)*15_TARIFF!Q6*27_SCENARIOS!$C$40</f>
        <v>32.3401657613449</v>
      </c>
      <c r="R8" s="49" t="n">
        <f aca="false">14_PPA!$C$6*((1-14_PPA!$C$8)+14_PPA!$C$8*06_CONSTRUCTION!R17)*15_TARIFF!R6*27_SCENARIOS!$C$40</f>
        <v>32.9869690765718</v>
      </c>
      <c r="S8" s="49" t="n">
        <f aca="false">14_PPA!$C$6*((1-14_PPA!$C$8)+14_PPA!$C$8*06_CONSTRUCTION!S17)*15_TARIFF!S6*27_SCENARIOS!$C$40</f>
        <v>33.6467084581033</v>
      </c>
      <c r="T8" s="49" t="n">
        <f aca="false">14_PPA!$C$6*((1-14_PPA!$C$8)+14_PPA!$C$8*06_CONSTRUCTION!T17)*15_TARIFF!T6*27_SCENARIOS!$C$40</f>
        <v>34.3196426272653</v>
      </c>
      <c r="U8" s="49" t="n">
        <f aca="false">14_PPA!$C$6*((1-14_PPA!$C$8)+14_PPA!$C$8*06_CONSTRUCTION!U17)*15_TARIFF!U6*27_SCENARIOS!$C$40</f>
        <v>35.0060354798106</v>
      </c>
      <c r="V8" s="49" t="n">
        <f aca="false">14_PPA!$C$6*((1-14_PPA!$C$8)+14_PPA!$C$8*06_CONSTRUCTION!V17)*15_TARIFF!V6*27_SCENARIOS!$C$40</f>
        <v>35.7061561894068</v>
      </c>
      <c r="W8" s="49" t="n">
        <f aca="false">14_PPA!$C$6*((1-14_PPA!$C$8)+14_PPA!$C$8*06_CONSTRUCTION!W17)*15_TARIFF!W6*27_SCENARIOS!$C$40</f>
        <v>36.420279313195</v>
      </c>
      <c r="X8" s="49" t="n">
        <f aca="false">14_PPA!$C$6*((1-14_PPA!$C$8)+14_PPA!$C$8*06_CONSTRUCTION!X17)*15_TARIFF!X6*27_SCENARIOS!$C$40</f>
        <v>37.1486848994589</v>
      </c>
      <c r="Y8" s="49" t="n">
        <f aca="false">14_PPA!$C$6*((1-14_PPA!$C$8)+14_PPA!$C$8*06_CONSTRUCTION!Y17)*15_TARIFF!Y6*27_SCENARIOS!$C$40</f>
        <v>37.8916585974481</v>
      </c>
      <c r="Z8" s="49" t="n">
        <f aca="false">14_PPA!$C$6*((1-14_PPA!$C$8)+14_PPA!$C$8*06_CONSTRUCTION!Z17)*15_TARIFF!Z6*27_SCENARIOS!$C$40</f>
        <v>38.649491769397</v>
      </c>
      <c r="AA8" s="49" t="n">
        <f aca="false">14_PPA!$C$6*((1-14_PPA!$C$8)+14_PPA!$C$8*06_CONSTRUCTION!AA17)*15_TARIFF!AA6*27_SCENARIOS!$C$40</f>
        <v>39.422481604785</v>
      </c>
      <c r="AB8" s="49" t="n">
        <f aca="false">14_PPA!$C$6*((1-14_PPA!$C$8)+14_PPA!$C$8*06_CONSTRUCTION!AB17)*15_TARIFF!AB6*27_SCENARIOS!$C$40</f>
        <v>40.2109312368807</v>
      </c>
      <c r="AC8" s="49" t="n">
        <f aca="false">14_PPA!$C$6*((1-14_PPA!$C$8)+14_PPA!$C$8*06_CONSTRUCTION!AC17)*15_TARIFF!AC6*27_SCENARIOS!$C$40</f>
        <v>41.0151498616183</v>
      </c>
      <c r="AD8" s="49" t="n">
        <f aca="false">14_PPA!$C$6*((1-14_PPA!$C$8)+14_PPA!$C$8*06_CONSTRUCTION!AD17)*15_TARIFF!AD6*27_SCENARIOS!$C$40</f>
        <v>41.8354528588506</v>
      </c>
      <c r="AE8" s="49" t="n">
        <f aca="false">14_PPA!$C$6*((1-14_PPA!$C$8)+14_PPA!$C$8*06_CONSTRUCTION!AE17)*15_TARIFF!AE6*27_SCENARIOS!$C$40</f>
        <v>42.6721619160277</v>
      </c>
      <c r="AF8" s="49" t="n">
        <f aca="false">14_PPA!$C$6*((1-14_PPA!$C$8)+14_PPA!$C$8*06_CONSTRUCTION!AF17)*15_TARIFF!AF6*27_SCENARIOS!$C$40</f>
        <v>43.5256051543482</v>
      </c>
      <c r="AG8" s="49" t="n">
        <f aca="false">14_PPA!$C$6*((1-14_PPA!$C$8)+14_PPA!$C$8*06_CONSTRUCTION!AG17)*15_TARIFF!AG6*27_SCENARIOS!$C$40</f>
        <v>44.3961172574352</v>
      </c>
      <c r="AH8" s="49" t="n">
        <f aca="false">14_PPA!$C$6*((1-14_PPA!$C$8)+14_PPA!$C$8*06_CONSTRUCTION!AH17)*15_TARIFF!AH6*27_SCENARIOS!$C$40</f>
        <v>45.2840396025839</v>
      </c>
      <c r="AI8" s="49" t="n">
        <f aca="false">14_PPA!$C$6*((1-14_PPA!$C$8)+14_PPA!$C$8*06_CONSTRUCTION!AI17)*15_TARIFF!AI6*27_SCENARIOS!$C$40</f>
        <v>46.1897203946356</v>
      </c>
      <c r="AJ8" s="49" t="n">
        <f aca="false">14_PPA!$C$6*((1-14_PPA!$C$8)+14_PPA!$C$8*06_CONSTRUCTION!AJ17)*15_TARIFF!AJ6*27_SCENARIOS!$C$40</f>
        <v>47.1135148025283</v>
      </c>
      <c r="AK8" s="49" t="n">
        <f aca="false">14_PPA!$C$6*((1-14_PPA!$C$8)+14_PPA!$C$8*06_CONSTRUCTION!AK17)*15_TARIFF!AK6*27_SCENARIOS!$C$40</f>
        <v>48.0557850985788</v>
      </c>
      <c r="AL8" s="49" t="n">
        <f aca="false">14_PPA!$C$6*((1-14_PPA!$C$8)+14_PPA!$C$8*06_CONSTRUCTION!AL17)*15_TARIFF!AL6*27_SCENARIOS!$C$40</f>
        <v>49.0169008005504</v>
      </c>
      <c r="AM8" s="49" t="n">
        <f aca="false">14_PPA!$C$6*((1-14_PPA!$C$8)+14_PPA!$C$8*06_CONSTRUCTION!AM17)*15_TARIFF!AM6*27_SCENARIOS!$C$40</f>
        <v>49.9972388165614</v>
      </c>
      <c r="AN8" s="49" t="n">
        <f aca="false">14_PPA!$C$6*((1-14_PPA!$C$8)+14_PPA!$C$8*06_CONSTRUCTION!AN17)*15_TARIFF!AN6*27_SCENARIOS!$C$40</f>
        <v>50.9971835928926</v>
      </c>
      <c r="AO8" s="49" t="n">
        <f aca="false">14_PPA!$C$6*((1-14_PPA!$C$8)+14_PPA!$C$8*06_CONSTRUCTION!AO17)*15_TARIFF!AO6*27_SCENARIOS!$C$40</f>
        <v>52.0171272647505</v>
      </c>
      <c r="AP8" s="49" t="n">
        <f aca="false">14_PPA!$C$6*((1-14_PPA!$C$8)+14_PPA!$C$8*06_CONSTRUCTION!AP17)*15_TARIFF!AP6*27_SCENARIOS!$C$40</f>
        <v>53.0574698100455</v>
      </c>
      <c r="AQ8" s="49" t="n">
        <f aca="false">14_PPA!$C$6*((1-14_PPA!$C$8)+14_PPA!$C$8*06_CONSTRUCTION!AQ17)*15_TARIFF!AQ6*27_SCENARIOS!$C$40</f>
        <v>54.1186192062464</v>
      </c>
      <c r="AR8" s="49" t="n">
        <f aca="false">14_PPA!$C$6*((1-14_PPA!$C$8)+14_PPA!$C$8*06_CONSTRUCTION!AR17)*15_TARIFF!AR6*27_SCENARIOS!$C$40</f>
        <v>55.2009915903713</v>
      </c>
    </row>
    <row r="9" customFormat="false" ht="15" hidden="false" customHeight="false" outlineLevel="0" collapsed="false">
      <c r="A9" s="4" t="s">
        <v>554</v>
      </c>
      <c r="B9" s="8" t="s">
        <v>311</v>
      </c>
      <c r="E9" s="60" t="n">
        <f aca="false">IF(16_REVENUE!E9&gt;0,16_REVENUE!E14/16_REVENUE!E9*1000,0)</f>
        <v>0</v>
      </c>
      <c r="F9" s="60" t="n">
        <f aca="false">IF(16_REVENUE!F9&gt;0,16_REVENUE!F14/16_REVENUE!F9*1000,0)</f>
        <v>0</v>
      </c>
      <c r="G9" s="60" t="n">
        <f aca="false">IF(16_REVENUE!G9&gt;0,16_REVENUE!G14/16_REVENUE!G9*1000,0)</f>
        <v>0</v>
      </c>
      <c r="H9" s="60" t="n">
        <f aca="false">IF(16_REVENUE!H9&gt;0,16_REVENUE!H14/16_REVENUE!H9*1000,0)</f>
        <v>0</v>
      </c>
      <c r="I9" s="60" t="n">
        <f aca="false">IF(16_REVENUE!I9&gt;0,16_REVENUE!I14/16_REVENUE!I9*1000,0)</f>
        <v>0</v>
      </c>
      <c r="J9" s="60" t="n">
        <f aca="false">IF(16_REVENUE!J9&gt;0,16_REVENUE!J14/16_REVENUE!J9*1000,0)</f>
        <v>107.7955629002</v>
      </c>
      <c r="K9" s="60" t="n">
        <f aca="false">IF(16_REVENUE!K9&gt;0,16_REVENUE!K14/16_REVENUE!K9*1000,0)</f>
        <v>109.202316881252</v>
      </c>
      <c r="L9" s="60" t="n">
        <f aca="false">IF(16_REVENUE!L9&gt;0,16_REVENUE!L14/16_REVENUE!L9*1000,0)</f>
        <v>110.637205941926</v>
      </c>
      <c r="M9" s="60" t="n">
        <f aca="false">IF(16_REVENUE!M9&gt;0,16_REVENUE!M14/16_REVENUE!M9*1000,0)</f>
        <v>112.100792783813</v>
      </c>
      <c r="N9" s="60" t="n">
        <f aca="false">IF(16_REVENUE!N9&gt;0,16_REVENUE!N14/16_REVENUE!N9*1000,0)</f>
        <v>113.593651362538</v>
      </c>
      <c r="O9" s="60" t="n">
        <f aca="false">IF(16_REVENUE!O9&gt;0,16_REVENUE!O14/16_REVENUE!O9*1000,0)</f>
        <v>115.116367112838</v>
      </c>
      <c r="P9" s="60" t="n">
        <f aca="false">IF(16_REVENUE!P9&gt;0,16_REVENUE!P14/16_REVENUE!P9*1000,0)</f>
        <v>116.669537178143</v>
      </c>
      <c r="Q9" s="60" t="n">
        <f aca="false">IF(16_REVENUE!Q9&gt;0,16_REVENUE!Q14/16_REVENUE!Q9*1000,0)</f>
        <v>118.253770644755</v>
      </c>
      <c r="R9" s="60" t="n">
        <f aca="false">IF(16_REVENUE!R9&gt;0,16_REVENUE!R14/16_REVENUE!R9*1000,0)</f>
        <v>119.869688780699</v>
      </c>
      <c r="S9" s="60" t="n">
        <f aca="false">IF(16_REVENUE!S9&gt;0,16_REVENUE!S14/16_REVENUE!S9*1000,0)</f>
        <v>121.517925279361</v>
      </c>
      <c r="T9" s="60" t="n">
        <f aca="false">IF(16_REVENUE!T9&gt;0,16_REVENUE!T14/16_REVENUE!T9*1000,0)</f>
        <v>123.199126507997</v>
      </c>
      <c r="U9" s="60" t="n">
        <f aca="false">IF(16_REVENUE!U9&gt;0,16_REVENUE!U14/16_REVENUE!U9*1000,0)</f>
        <v>124.913951761206</v>
      </c>
      <c r="V9" s="60" t="n">
        <f aca="false">IF(16_REVENUE!V9&gt;0,16_REVENUE!V14/16_REVENUE!V9*1000,0)</f>
        <v>126.663073519479</v>
      </c>
      <c r="W9" s="60" t="n">
        <f aca="false">IF(16_REVENUE!W9&gt;0,16_REVENUE!W14/16_REVENUE!W9*1000,0)</f>
        <v>128.447177712917</v>
      </c>
      <c r="X9" s="60" t="n">
        <f aca="false">IF(16_REVENUE!X9&gt;0,16_REVENUE!X14/16_REVENUE!X9*1000,0)</f>
        <v>130.266963990224</v>
      </c>
      <c r="Y9" s="60" t="n">
        <f aca="false">IF(16_REVENUE!Y9&gt;0,16_REVENUE!Y14/16_REVENUE!Y9*1000,0)</f>
        <v>132.123145993077</v>
      </c>
      <c r="Z9" s="60" t="n">
        <f aca="false">IF(16_REVENUE!Z9&gt;0,16_REVENUE!Z14/16_REVENUE!Z9*1000,0)</f>
        <v>134.016451635988</v>
      </c>
      <c r="AA9" s="60" t="n">
        <f aca="false">IF(16_REVENUE!AA9&gt;0,16_REVENUE!AA14/16_REVENUE!AA9*1000,0)</f>
        <v>135.947623391756</v>
      </c>
      <c r="AB9" s="60" t="n">
        <f aca="false">IF(16_REVENUE!AB9&gt;0,16_REVENUE!AB14/16_REVENUE!AB9*1000,0)</f>
        <v>137.91741858264</v>
      </c>
      <c r="AC9" s="60" t="n">
        <f aca="false">IF(16_REVENUE!AC9&gt;0,16_REVENUE!AC14/16_REVENUE!AC9*1000,0)</f>
        <v>139.926609677341</v>
      </c>
      <c r="AD9" s="60" t="n">
        <f aca="false">IF(16_REVENUE!AD9&gt;0,16_REVENUE!AD14/16_REVENUE!AD9*1000,0)</f>
        <v>141.975984593937</v>
      </c>
      <c r="AE9" s="60" t="n">
        <f aca="false">IF(16_REVENUE!AE9&gt;0,16_REVENUE!AE14/16_REVENUE!AE9*1000,0)</f>
        <v>144.066347008864</v>
      </c>
      <c r="AF9" s="60" t="n">
        <f aca="false">IF(16_REVENUE!AF9&gt;0,16_REVENUE!AF14/16_REVENUE!AF9*1000,0)</f>
        <v>146.19851667209</v>
      </c>
      <c r="AG9" s="60" t="n">
        <f aca="false">IF(16_REVENUE!AG9&gt;0,16_REVENUE!AG14/16_REVENUE!AG9*1000,0)</f>
        <v>148.373329728581</v>
      </c>
      <c r="AH9" s="60" t="n">
        <f aca="false">IF(16_REVENUE!AH9&gt;0,16_REVENUE!AH14/16_REVENUE!AH9*1000,0)</f>
        <v>150.591639046201</v>
      </c>
      <c r="AI9" s="60" t="n">
        <f aca="false">IF(16_REVENUE!AI9&gt;0,16_REVENUE!AI14/16_REVENUE!AI9*1000,0)</f>
        <v>152.854314550174</v>
      </c>
      <c r="AJ9" s="60" t="n">
        <f aca="false">IF(16_REVENUE!AJ9&gt;0,16_REVENUE!AJ14/16_REVENUE!AJ9*1000,0)</f>
        <v>155.162243564226</v>
      </c>
      <c r="AK9" s="60" t="n">
        <f aca="false">IF(16_REVENUE!AK9&gt;0,16_REVENUE!AK14/16_REVENUE!AK9*1000,0)</f>
        <v>157.516331158559</v>
      </c>
      <c r="AL9" s="60" t="n">
        <f aca="false">IF(16_REVENUE!AL9&gt;0,16_REVENUE!AL14/16_REVENUE!AL9*1000,0)</f>
        <v>159.917500504779</v>
      </c>
      <c r="AM9" s="60" t="n">
        <f aca="false">IF(16_REVENUE!AM9&gt;0,16_REVENUE!AM14/16_REVENUE!AM9*1000,0)</f>
        <v>162.366693237924</v>
      </c>
      <c r="AN9" s="60" t="n">
        <f aca="false">IF(16_REVENUE!AN9&gt;0,16_REVENUE!AN14/16_REVENUE!AN9*1000,0)</f>
        <v>0</v>
      </c>
      <c r="AO9" s="60" t="n">
        <f aca="false">IF(16_REVENUE!AO9&gt;0,16_REVENUE!AO14/16_REVENUE!AO9*1000,0)</f>
        <v>0</v>
      </c>
      <c r="AP9" s="60" t="n">
        <f aca="false">IF(16_REVENUE!AP9&gt;0,16_REVENUE!AP14/16_REVENUE!AP9*1000,0)</f>
        <v>0</v>
      </c>
      <c r="AQ9" s="60" t="n">
        <f aca="false">IF(16_REVENUE!AQ9&gt;0,16_REVENUE!AQ14/16_REVENUE!AQ9*1000,0)</f>
        <v>0</v>
      </c>
      <c r="AR9" s="60" t="n">
        <f aca="false">IF(16_REVENUE!AR9&gt;0,16_REVENUE!AR14/16_REVENUE!AR9*1000,0)</f>
        <v>0</v>
      </c>
    </row>
    <row r="10" customFormat="false" ht="15" hidden="false" customHeight="false" outlineLevel="0" collapsed="false">
      <c r="A10" s="8" t="s">
        <v>555</v>
      </c>
      <c r="B10" s="8" t="s">
        <v>311</v>
      </c>
      <c r="E10" s="49" t="n">
        <f aca="false">06_CONSTRUCTION!E14*17_PROJECT_FINANCE!$C$34</f>
        <v>0</v>
      </c>
      <c r="F10" s="49" t="n">
        <f aca="false">06_CONSTRUCTION!F14*17_PROJECT_FINANCE!$C$34</f>
        <v>0</v>
      </c>
      <c r="G10" s="49" t="n">
        <f aca="false">06_CONSTRUCTION!G14*17_PROJECT_FINANCE!$C$34</f>
        <v>0</v>
      </c>
      <c r="H10" s="49" t="n">
        <f aca="false">06_CONSTRUCTION!H14*17_PROJECT_FINANCE!$C$34</f>
        <v>0</v>
      </c>
      <c r="I10" s="49" t="n">
        <f aca="false">06_CONSTRUCTION!I14*17_PROJECT_FINANCE!$C$34</f>
        <v>0</v>
      </c>
      <c r="J10" s="49" t="n">
        <f aca="false">06_CONSTRUCTION!J14*17_PROJECT_FINANCE!$C$34</f>
        <v>110.61740697128</v>
      </c>
      <c r="K10" s="49" t="n">
        <f aca="false">06_CONSTRUCTION!K14*17_PROJECT_FINANCE!$C$34</f>
        <v>110.61740697128</v>
      </c>
      <c r="L10" s="49" t="n">
        <f aca="false">06_CONSTRUCTION!L14*17_PROJECT_FINANCE!$C$34</f>
        <v>110.61740697128</v>
      </c>
      <c r="M10" s="49" t="n">
        <f aca="false">06_CONSTRUCTION!M14*17_PROJECT_FINANCE!$C$34</f>
        <v>110.61740697128</v>
      </c>
      <c r="N10" s="49" t="n">
        <f aca="false">06_CONSTRUCTION!N14*17_PROJECT_FINANCE!$C$34</f>
        <v>110.61740697128</v>
      </c>
      <c r="O10" s="49" t="n">
        <f aca="false">06_CONSTRUCTION!O14*17_PROJECT_FINANCE!$C$34</f>
        <v>110.61740697128</v>
      </c>
      <c r="P10" s="49" t="n">
        <f aca="false">06_CONSTRUCTION!P14*17_PROJECT_FINANCE!$C$34</f>
        <v>110.61740697128</v>
      </c>
      <c r="Q10" s="49" t="n">
        <f aca="false">06_CONSTRUCTION!Q14*17_PROJECT_FINANCE!$C$34</f>
        <v>110.61740697128</v>
      </c>
      <c r="R10" s="49" t="n">
        <f aca="false">06_CONSTRUCTION!R14*17_PROJECT_FINANCE!$C$34</f>
        <v>110.61740697128</v>
      </c>
      <c r="S10" s="49" t="n">
        <f aca="false">06_CONSTRUCTION!S14*17_PROJECT_FINANCE!$C$34</f>
        <v>110.61740697128</v>
      </c>
      <c r="T10" s="49" t="n">
        <f aca="false">06_CONSTRUCTION!T14*17_PROJECT_FINANCE!$C$34</f>
        <v>110.61740697128</v>
      </c>
      <c r="U10" s="49" t="n">
        <f aca="false">06_CONSTRUCTION!U14*17_PROJECT_FINANCE!$C$34</f>
        <v>110.61740697128</v>
      </c>
      <c r="V10" s="49" t="n">
        <f aca="false">06_CONSTRUCTION!V14*17_PROJECT_FINANCE!$C$34</f>
        <v>110.61740697128</v>
      </c>
      <c r="W10" s="49" t="n">
        <f aca="false">06_CONSTRUCTION!W14*17_PROJECT_FINANCE!$C$34</f>
        <v>110.61740697128</v>
      </c>
      <c r="X10" s="49" t="n">
        <f aca="false">06_CONSTRUCTION!X14*17_PROJECT_FINANCE!$C$34</f>
        <v>110.61740697128</v>
      </c>
      <c r="Y10" s="49" t="n">
        <f aca="false">06_CONSTRUCTION!Y14*17_PROJECT_FINANCE!$C$34</f>
        <v>110.61740697128</v>
      </c>
      <c r="Z10" s="49" t="n">
        <f aca="false">06_CONSTRUCTION!Z14*17_PROJECT_FINANCE!$C$34</f>
        <v>110.61740697128</v>
      </c>
      <c r="AA10" s="49" t="n">
        <f aca="false">06_CONSTRUCTION!AA14*17_PROJECT_FINANCE!$C$34</f>
        <v>110.61740697128</v>
      </c>
      <c r="AB10" s="49" t="n">
        <f aca="false">06_CONSTRUCTION!AB14*17_PROJECT_FINANCE!$C$34</f>
        <v>110.61740697128</v>
      </c>
      <c r="AC10" s="49" t="n">
        <f aca="false">06_CONSTRUCTION!AC14*17_PROJECT_FINANCE!$C$34</f>
        <v>110.61740697128</v>
      </c>
      <c r="AD10" s="49" t="n">
        <f aca="false">06_CONSTRUCTION!AD14*17_PROJECT_FINANCE!$C$34</f>
        <v>110.61740697128</v>
      </c>
      <c r="AE10" s="49" t="n">
        <f aca="false">06_CONSTRUCTION!AE14*17_PROJECT_FINANCE!$C$34</f>
        <v>110.61740697128</v>
      </c>
      <c r="AF10" s="49" t="n">
        <f aca="false">06_CONSTRUCTION!AF14*17_PROJECT_FINANCE!$C$34</f>
        <v>110.61740697128</v>
      </c>
      <c r="AG10" s="49" t="n">
        <f aca="false">06_CONSTRUCTION!AG14*17_PROJECT_FINANCE!$C$34</f>
        <v>110.61740697128</v>
      </c>
      <c r="AH10" s="49" t="n">
        <f aca="false">06_CONSTRUCTION!AH14*17_PROJECT_FINANCE!$C$34</f>
        <v>110.61740697128</v>
      </c>
      <c r="AI10" s="49" t="n">
        <f aca="false">06_CONSTRUCTION!AI14*17_PROJECT_FINANCE!$C$34</f>
        <v>110.61740697128</v>
      </c>
      <c r="AJ10" s="49" t="n">
        <f aca="false">06_CONSTRUCTION!AJ14*17_PROJECT_FINANCE!$C$34</f>
        <v>110.61740697128</v>
      </c>
      <c r="AK10" s="49" t="n">
        <f aca="false">06_CONSTRUCTION!AK14*17_PROJECT_FINANCE!$C$34</f>
        <v>110.61740697128</v>
      </c>
      <c r="AL10" s="49" t="n">
        <f aca="false">06_CONSTRUCTION!AL14*17_PROJECT_FINANCE!$C$34</f>
        <v>110.61740697128</v>
      </c>
      <c r="AM10" s="49" t="n">
        <f aca="false">06_CONSTRUCTION!AM14*17_PROJECT_FINANCE!$C$34</f>
        <v>110.61740697128</v>
      </c>
      <c r="AN10" s="49" t="n">
        <f aca="false">06_CONSTRUCTION!AN14*17_PROJECT_FINANCE!$C$34</f>
        <v>0</v>
      </c>
      <c r="AO10" s="49" t="n">
        <f aca="false">06_CONSTRUCTION!AO14*17_PROJECT_FINANCE!$C$34</f>
        <v>0</v>
      </c>
      <c r="AP10" s="49" t="n">
        <f aca="false">06_CONSTRUCTION!AP14*17_PROJECT_FINANCE!$C$34</f>
        <v>0</v>
      </c>
      <c r="AQ10" s="49" t="n">
        <f aca="false">06_CONSTRUCTION!AQ14*17_PROJECT_FINANCE!$C$34</f>
        <v>0</v>
      </c>
      <c r="AR10" s="49" t="n">
        <f aca="false">06_CONSTRUCTION!AR14*17_PROJECT_FINANCE!$C$34</f>
        <v>0</v>
      </c>
    </row>
    <row r="11" customFormat="false" ht="15" hidden="false" customHeight="false" outlineLevel="0" collapsed="false">
      <c r="A11" s="8" t="s">
        <v>556</v>
      </c>
      <c r="B11" s="8" t="s">
        <v>311</v>
      </c>
      <c r="E11" s="61" t="n">
        <f aca="false">12_UTILITY!E32</f>
        <v>137.547169811321</v>
      </c>
      <c r="F11" s="61" t="n">
        <f aca="false">12_UTILITY!F32</f>
        <v>140.142399430402</v>
      </c>
      <c r="G11" s="61" t="n">
        <f aca="false">12_UTILITY!G32</f>
        <v>142.78659564607</v>
      </c>
      <c r="H11" s="61" t="n">
        <f aca="false">12_UTILITY!H32</f>
        <v>145.480682356373</v>
      </c>
      <c r="I11" s="61" t="n">
        <f aca="false">12_UTILITY!I32</f>
        <v>148.225600891399</v>
      </c>
      <c r="J11" s="61" t="n">
        <f aca="false">12_UTILITY!J32</f>
        <v>151.022310342181</v>
      </c>
      <c r="K11" s="61" t="n">
        <f aca="false">12_UTILITY!K32</f>
        <v>153.871787895807</v>
      </c>
      <c r="L11" s="61" t="n">
        <f aca="false">12_UTILITY!L32</f>
        <v>156.77502917686</v>
      </c>
      <c r="M11" s="61" t="n">
        <f aca="false">12_UTILITY!M32</f>
        <v>159.733048595291</v>
      </c>
      <c r="N11" s="61" t="n">
        <f aca="false">12_UTILITY!N32</f>
        <v>162.746879700862</v>
      </c>
      <c r="O11" s="61" t="n">
        <f aca="false">12_UTILITY!O32</f>
        <v>165.817575544275</v>
      </c>
      <c r="P11" s="61" t="n">
        <f aca="false">12_UTILITY!P32</f>
        <v>168.94620904511</v>
      </c>
      <c r="Q11" s="61" t="n">
        <f aca="false">12_UTILITY!Q32</f>
        <v>172.133873366716</v>
      </c>
      <c r="R11" s="61" t="n">
        <f aca="false">12_UTILITY!R32</f>
        <v>175.381682298164</v>
      </c>
      <c r="S11" s="61" t="n">
        <f aca="false">12_UTILITY!S32</f>
        <v>178.690770643412</v>
      </c>
      <c r="T11" s="61" t="n">
        <f aca="false">12_UTILITY!T32</f>
        <v>182.062294617816</v>
      </c>
      <c r="U11" s="61" t="n">
        <f aca="false">12_UTILITY!U32</f>
        <v>185.497432252114</v>
      </c>
      <c r="V11" s="61" t="n">
        <f aca="false">12_UTILITY!V32</f>
        <v>188.997383804041</v>
      </c>
      <c r="W11" s="61" t="n">
        <f aca="false">12_UTILITY!W32</f>
        <v>192.563372177702</v>
      </c>
      <c r="X11" s="61" t="n">
        <f aca="false">12_UTILITY!X32</f>
        <v>196.196643350866</v>
      </c>
      <c r="Y11" s="61" t="n">
        <f aca="false">12_UTILITY!Y32</f>
        <v>199.898466810317</v>
      </c>
      <c r="Z11" s="61" t="n">
        <f aca="false">12_UTILITY!Z32</f>
        <v>203.670135995417</v>
      </c>
      <c r="AA11" s="61" t="n">
        <f aca="false">12_UTILITY!AA32</f>
        <v>207.512968750048</v>
      </c>
      <c r="AB11" s="61" t="n">
        <f aca="false">12_UTILITY!AB32</f>
        <v>211.428307783067</v>
      </c>
      <c r="AC11" s="61" t="n">
        <f aca="false">12_UTILITY!AC32</f>
        <v>215.417521137465</v>
      </c>
      <c r="AD11" s="61" t="n">
        <f aca="false">12_UTILITY!AD32</f>
        <v>219.48200266836</v>
      </c>
      <c r="AE11" s="61" t="n">
        <f aca="false">12_UTILITY!AE32</f>
        <v>223.623172530028</v>
      </c>
      <c r="AF11" s="61" t="n">
        <f aca="false">12_UTILITY!AF32</f>
        <v>227.842477672104</v>
      </c>
      <c r="AG11" s="61" t="n">
        <f aca="false">12_UTILITY!AG32</f>
        <v>232.141392345162</v>
      </c>
      <c r="AH11" s="61" t="n">
        <f aca="false">12_UTILITY!AH32</f>
        <v>236.521418615826</v>
      </c>
      <c r="AI11" s="61" t="n">
        <f aca="false">12_UTILITY!AI32</f>
        <v>240.984086891596</v>
      </c>
      <c r="AJ11" s="61" t="n">
        <f aca="false">12_UTILITY!AJ32</f>
        <v>245.530956455588</v>
      </c>
      <c r="AK11" s="61" t="n">
        <f aca="false">12_UTILITY!AK32</f>
        <v>250.163616011354</v>
      </c>
      <c r="AL11" s="61" t="n">
        <f aca="false">12_UTILITY!AL32</f>
        <v>254.883684237983</v>
      </c>
      <c r="AM11" s="61" t="n">
        <f aca="false">12_UTILITY!AM32</f>
        <v>259.692810355681</v>
      </c>
      <c r="AN11" s="61" t="n">
        <f aca="false">12_UTILITY!AN32</f>
        <v>264.592674702015</v>
      </c>
      <c r="AO11" s="61" t="n">
        <f aca="false">12_UTILITY!AO32</f>
        <v>269.584989319034</v>
      </c>
      <c r="AP11" s="61" t="n">
        <f aca="false">12_UTILITY!AP32</f>
        <v>274.671498551469</v>
      </c>
      <c r="AQ11" s="61" t="n">
        <f aca="false">12_UTILITY!AQ32</f>
        <v>279.853979656213</v>
      </c>
      <c r="AR11" s="61" t="n">
        <f aca="false">12_UTILITY!AR32</f>
        <v>285.134243423312</v>
      </c>
    </row>
    <row r="12" customFormat="false" ht="15" hidden="false" customHeight="false" outlineLevel="0" collapsed="false">
      <c r="A12" s="8" t="s">
        <v>557</v>
      </c>
      <c r="B12" s="8" t="s">
        <v>311</v>
      </c>
      <c r="E12" s="61" t="n">
        <f aca="false">12_UTILITY!E62</f>
        <v>94.4123773584906</v>
      </c>
      <c r="F12" s="61" t="n">
        <f aca="false">12_UTILITY!F62</f>
        <v>96.1937429690282</v>
      </c>
      <c r="G12" s="61" t="n">
        <f aca="false">12_UTILITY!G62</f>
        <v>98.0087192514626</v>
      </c>
      <c r="H12" s="61" t="n">
        <f aca="false">12_UTILITY!H62</f>
        <v>99.8579403694147</v>
      </c>
      <c r="I12" s="61" t="n">
        <f aca="false">12_UTILITY!I62</f>
        <v>101.742052451857</v>
      </c>
      <c r="J12" s="61" t="n">
        <f aca="false">12_UTILITY!J62</f>
        <v>103.661713818873</v>
      </c>
      <c r="K12" s="61" t="n">
        <f aca="false">12_UTILITY!K62</f>
        <v>105.617595211682</v>
      </c>
      <c r="L12" s="61" t="n">
        <f aca="false">12_UTILITY!L62</f>
        <v>107.610380026996</v>
      </c>
      <c r="M12" s="61" t="n">
        <f aca="false">12_UTILITY!M62</f>
        <v>109.640764555808</v>
      </c>
      <c r="N12" s="61" t="n">
        <f aca="false">12_UTILITY!N62</f>
        <v>111.709458226672</v>
      </c>
      <c r="O12" s="61" t="n">
        <f aca="false">12_UTILITY!O62</f>
        <v>113.81718385359</v>
      </c>
      <c r="P12" s="61" t="n">
        <f aca="false">12_UTILITY!P62</f>
        <v>115.964677888564</v>
      </c>
      <c r="Q12" s="61" t="n">
        <f aca="false">12_UTILITY!Q62</f>
        <v>118.152690678914</v>
      </c>
      <c r="R12" s="61" t="n">
        <f aca="false">12_UTILITY!R62</f>
        <v>120.38198672946</v>
      </c>
      <c r="S12" s="61" t="n">
        <f aca="false">12_UTILITY!S62</f>
        <v>122.653344969638</v>
      </c>
      <c r="T12" s="61" t="n">
        <f aca="false">12_UTILITY!T62</f>
        <v>124.967559025669</v>
      </c>
      <c r="U12" s="61" t="n">
        <f aca="false">12_UTILITY!U62</f>
        <v>127.325437497851</v>
      </c>
      <c r="V12" s="61" t="n">
        <f aca="false">12_UTILITY!V62</f>
        <v>129.727804243094</v>
      </c>
      <c r="W12" s="61" t="n">
        <f aca="false">12_UTILITY!W62</f>
        <v>132.175498662775</v>
      </c>
      <c r="X12" s="61" t="n">
        <f aca="false">12_UTILITY!X62</f>
        <v>134.669375996035</v>
      </c>
      <c r="Y12" s="61" t="n">
        <f aca="false">12_UTILITY!Y62</f>
        <v>137.210307618601</v>
      </c>
      <c r="Z12" s="61" t="n">
        <f aca="false">12_UTILITY!Z62</f>
        <v>139.799181347254</v>
      </c>
      <c r="AA12" s="61" t="n">
        <f aca="false">12_UTILITY!AA62</f>
        <v>142.436901750033</v>
      </c>
      <c r="AB12" s="61" t="n">
        <f aca="false">12_UTILITY!AB62</f>
        <v>145.124390462297</v>
      </c>
      <c r="AC12" s="61" t="n">
        <f aca="false">12_UTILITY!AC62</f>
        <v>147.862586508756</v>
      </c>
      <c r="AD12" s="61" t="n">
        <f aca="false">12_UTILITY!AD62</f>
        <v>150.652446631563</v>
      </c>
      <c r="AE12" s="61" t="n">
        <f aca="false">12_UTILITY!AE62</f>
        <v>153.494945624611</v>
      </c>
      <c r="AF12" s="61" t="n">
        <f aca="false">12_UTILITY!AF62</f>
        <v>156.391076674132</v>
      </c>
      <c r="AG12" s="61" t="n">
        <f aca="false">12_UTILITY!AG62</f>
        <v>159.341851705719</v>
      </c>
      <c r="AH12" s="61" t="n">
        <f aca="false">12_UTILITY!AH62</f>
        <v>162.348301737903</v>
      </c>
      <c r="AI12" s="61" t="n">
        <f aca="false">12_UTILITY!AI62</f>
        <v>165.411477242391</v>
      </c>
      <c r="AJ12" s="61" t="n">
        <f aca="false">12_UTILITY!AJ62</f>
        <v>168.532448511116</v>
      </c>
      <c r="AK12" s="61" t="n">
        <f aca="false">12_UTILITY!AK62</f>
        <v>171.712306030193</v>
      </c>
      <c r="AL12" s="61" t="n">
        <f aca="false">12_UTILITY!AL62</f>
        <v>174.952160860952</v>
      </c>
      <c r="AM12" s="61" t="n">
        <f aca="false">12_UTILITY!AM62</f>
        <v>178.25314502814</v>
      </c>
      <c r="AN12" s="61" t="n">
        <f aca="false">12_UTILITY!AN62</f>
        <v>181.616411915463</v>
      </c>
      <c r="AO12" s="61" t="n">
        <f aca="false">12_UTILITY!AO62</f>
        <v>185.043136668585</v>
      </c>
      <c r="AP12" s="61" t="n">
        <f aca="false">12_UTILITY!AP62</f>
        <v>188.534516605728</v>
      </c>
      <c r="AQ12" s="61" t="n">
        <f aca="false">12_UTILITY!AQ62</f>
        <v>192.091771636025</v>
      </c>
      <c r="AR12" s="61" t="n">
        <f aca="false">12_UTILITY!AR62</f>
        <v>195.716144685761</v>
      </c>
    </row>
    <row r="13" customFormat="false" ht="15" hidden="false" customHeight="false" outlineLevel="0" collapsed="false">
      <c r="A13" s="8" t="s">
        <v>558</v>
      </c>
      <c r="B13" s="8" t="s">
        <v>311</v>
      </c>
      <c r="E13" s="49" t="n">
        <f aca="false">06_CONSTRUCTION!E14*(15_TARIFF!E12-15_TARIFF!E9)</f>
        <v>0</v>
      </c>
      <c r="F13" s="49" t="n">
        <f aca="false">06_CONSTRUCTION!F14*(15_TARIFF!F12-15_TARIFF!F9)</f>
        <v>0</v>
      </c>
      <c r="G13" s="49" t="n">
        <f aca="false">06_CONSTRUCTION!G14*(15_TARIFF!G12-15_TARIFF!G9)</f>
        <v>0</v>
      </c>
      <c r="H13" s="49" t="n">
        <f aca="false">06_CONSTRUCTION!H14*(15_TARIFF!H12-15_TARIFF!H9)</f>
        <v>0</v>
      </c>
      <c r="I13" s="49" t="n">
        <f aca="false">06_CONSTRUCTION!I14*(15_TARIFF!I12-15_TARIFF!I9)</f>
        <v>0</v>
      </c>
      <c r="J13" s="49" t="n">
        <f aca="false">06_CONSTRUCTION!J14*(15_TARIFF!J12-15_TARIFF!J9)</f>
        <v>-4.13384908132694</v>
      </c>
      <c r="K13" s="49" t="n">
        <f aca="false">06_CONSTRUCTION!K14*(15_TARIFF!K12-15_TARIFF!K9)</f>
        <v>-3.58472166957075</v>
      </c>
      <c r="L13" s="49" t="n">
        <f aca="false">06_CONSTRUCTION!L14*(15_TARIFF!L12-15_TARIFF!L9)</f>
        <v>-3.02682591492976</v>
      </c>
      <c r="M13" s="49" t="n">
        <f aca="false">06_CONSTRUCTION!M14*(15_TARIFF!M12-15_TARIFF!M9)</f>
        <v>-2.46002822800571</v>
      </c>
      <c r="N13" s="49" t="n">
        <f aca="false">06_CONSTRUCTION!N14*(15_TARIFF!N12-15_TARIFF!N9)</f>
        <v>-1.88419313586641</v>
      </c>
      <c r="O13" s="49" t="n">
        <f aca="false">06_CONSTRUCTION!O14*(15_TARIFF!O12-15_TARIFF!O9)</f>
        <v>-1.29918325924756</v>
      </c>
      <c r="P13" s="49" t="n">
        <f aca="false">06_CONSTRUCTION!P14*(15_TARIFF!P12-15_TARIFF!P9)</f>
        <v>-0.704859289579588</v>
      </c>
      <c r="Q13" s="49" t="n">
        <f aca="false">06_CONSTRUCTION!Q14*(15_TARIFF!Q12-15_TARIFF!Q9)</f>
        <v>-0.101079965840853</v>
      </c>
      <c r="R13" s="49" t="n">
        <f aca="false">06_CONSTRUCTION!R14*(15_TARIFF!R12-15_TARIFF!R9)</f>
        <v>0.512297948760818</v>
      </c>
      <c r="S13" s="49" t="n">
        <f aca="false">06_CONSTRUCTION!S14*(15_TARIFF!S12-15_TARIFF!S9)</f>
        <v>1.13541969027663</v>
      </c>
      <c r="T13" s="49" t="n">
        <f aca="false">06_CONSTRUCTION!T14*(15_TARIFF!T12-15_TARIFF!T9)</f>
        <v>1.76843251767163</v>
      </c>
      <c r="U13" s="49" t="n">
        <f aca="false">06_CONSTRUCTION!U14*(15_TARIFF!U12-15_TARIFF!U9)</f>
        <v>2.41148573664542</v>
      </c>
      <c r="V13" s="49" t="n">
        <f aca="false">06_CONSTRUCTION!V14*(15_TARIFF!V12-15_TARIFF!V9)</f>
        <v>3.06473072361504</v>
      </c>
      <c r="W13" s="49" t="n">
        <f aca="false">06_CONSTRUCTION!W14*(15_TARIFF!W12-15_TARIFF!W9)</f>
        <v>3.72832094985782</v>
      </c>
      <c r="X13" s="49" t="n">
        <f aca="false">06_CONSTRUCTION!X14*(15_TARIFF!X12-15_TARIFF!X9)</f>
        <v>4.40241200581059</v>
      </c>
      <c r="Y13" s="49" t="n">
        <f aca="false">06_CONSTRUCTION!Y14*(15_TARIFF!Y12-15_TARIFF!Y9)</f>
        <v>5.08716162552409</v>
      </c>
      <c r="Z13" s="49" t="n">
        <f aca="false">06_CONSTRUCTION!Z14*(15_TARIFF!Z12-15_TARIFF!Z9)</f>
        <v>5.78272971126674</v>
      </c>
      <c r="AA13" s="49" t="n">
        <f aca="false">06_CONSTRUCTION!AA14*(15_TARIFF!AA12-15_TARIFF!AA9)</f>
        <v>6.48927835827672</v>
      </c>
      <c r="AB13" s="49" t="n">
        <f aca="false">06_CONSTRUCTION!AB14*(15_TARIFF!AB12-15_TARIFF!AB9)</f>
        <v>7.2069718796576</v>
      </c>
      <c r="AC13" s="49" t="n">
        <f aca="false">06_CONSTRUCTION!AC14*(15_TARIFF!AC12-15_TARIFF!AC9)</f>
        <v>7.93597683141459</v>
      </c>
      <c r="AD13" s="49" t="n">
        <f aca="false">06_CONSTRUCTION!AD14*(15_TARIFF!AD12-15_TARIFF!AD9)</f>
        <v>8.67646203762575</v>
      </c>
      <c r="AE13" s="49" t="n">
        <f aca="false">06_CONSTRUCTION!AE14*(15_TARIFF!AE12-15_TARIFF!AE9)</f>
        <v>9.42859861574672</v>
      </c>
      <c r="AF13" s="49" t="n">
        <f aca="false">06_CONSTRUCTION!AF14*(15_TARIFF!AF12-15_TARIFF!AF9)</f>
        <v>10.1925600020416</v>
      </c>
      <c r="AG13" s="49" t="n">
        <f aca="false">06_CONSTRUCTION!AG14*(15_TARIFF!AG12-15_TARIFF!AG9)</f>
        <v>10.9685219771386</v>
      </c>
      <c r="AH13" s="49" t="n">
        <f aca="false">06_CONSTRUCTION!AH14*(15_TARIFF!AH12-15_TARIFF!AH9)</f>
        <v>11.7566626917017</v>
      </c>
      <c r="AI13" s="49" t="n">
        <f aca="false">06_CONSTRUCTION!AI14*(15_TARIFF!AI12-15_TARIFF!AI9)</f>
        <v>12.5571626922176</v>
      </c>
      <c r="AJ13" s="49" t="n">
        <f aca="false">06_CONSTRUCTION!AJ14*(15_TARIFF!AJ12-15_TARIFF!AJ9)</f>
        <v>13.3702049468898</v>
      </c>
      <c r="AK13" s="49" t="n">
        <f aca="false">06_CONSTRUCTION!AK14*(15_TARIFF!AK12-15_TARIFF!AK9)</f>
        <v>14.1959748716342</v>
      </c>
      <c r="AL13" s="49" t="n">
        <f aca="false">06_CONSTRUCTION!AL14*(15_TARIFF!AL12-15_TARIFF!AL9)</f>
        <v>15.0346603561727</v>
      </c>
      <c r="AM13" s="49" t="n">
        <f aca="false">06_CONSTRUCTION!AM14*(15_TARIFF!AM12-15_TARIFF!AM9)</f>
        <v>15.8864517902161</v>
      </c>
      <c r="AN13" s="49" t="n">
        <f aca="false">06_CONSTRUCTION!AN14*(15_TARIFF!AN12-15_TARIFF!AN9)</f>
        <v>0</v>
      </c>
      <c r="AO13" s="49" t="n">
        <f aca="false">06_CONSTRUCTION!AO14*(15_TARIFF!AO12-15_TARIFF!AO9)</f>
        <v>0</v>
      </c>
      <c r="AP13" s="49" t="n">
        <f aca="false">06_CONSTRUCTION!AP14*(15_TARIFF!AP12-15_TARIFF!AP9)</f>
        <v>0</v>
      </c>
      <c r="AQ13" s="49" t="n">
        <f aca="false">06_CONSTRUCTION!AQ14*(15_TARIFF!AQ12-15_TARIFF!AQ9)</f>
        <v>0</v>
      </c>
      <c r="AR13" s="49" t="n">
        <f aca="false">06_CONSTRUCTION!AR14*(15_TARIFF!AR12-15_TARIFF!AR9)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560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561</v>
      </c>
      <c r="B7" s="8" t="s">
        <v>181</v>
      </c>
      <c r="C7" s="32" t="n">
        <f aca="false">SUM(16_REVENUE!$E$7:$AR$7)</f>
        <v>0</v>
      </c>
      <c r="E7" s="32" t="n">
        <f aca="false">14_PPA!$C$11*(04_GENERATION!E19+04_GENERATION!E21)</f>
        <v>0</v>
      </c>
      <c r="F7" s="32" t="n">
        <f aca="false">14_PPA!$C$11*(04_GENERATION!F19+04_GENERATION!F21)</f>
        <v>0</v>
      </c>
      <c r="G7" s="32" t="n">
        <f aca="false">14_PPA!$C$11*(04_GENERATION!G19+04_GENERATION!G21)</f>
        <v>0</v>
      </c>
      <c r="H7" s="32" t="n">
        <f aca="false">14_PPA!$C$11*(04_GENERATION!H19+04_GENERATION!H21)</f>
        <v>0</v>
      </c>
      <c r="I7" s="32" t="n">
        <f aca="false">14_PPA!$C$11*(04_GENERATION!I19+04_GENERATION!I21)</f>
        <v>0</v>
      </c>
      <c r="J7" s="32" t="n">
        <f aca="false">14_PPA!$C$11*(04_GENERATION!J19+04_GENERATION!J21)</f>
        <v>0</v>
      </c>
      <c r="K7" s="32" t="n">
        <f aca="false">14_PPA!$C$11*(04_GENERATION!K19+04_GENERATION!K21)</f>
        <v>0</v>
      </c>
      <c r="L7" s="32" t="n">
        <f aca="false">14_PPA!$C$11*(04_GENERATION!L19+04_GENERATION!L21)</f>
        <v>0</v>
      </c>
      <c r="M7" s="32" t="n">
        <f aca="false">14_PPA!$C$11*(04_GENERATION!M19+04_GENERATION!M21)</f>
        <v>0</v>
      </c>
      <c r="N7" s="32" t="n">
        <f aca="false">14_PPA!$C$11*(04_GENERATION!N19+04_GENERATION!N21)</f>
        <v>0</v>
      </c>
      <c r="O7" s="32" t="n">
        <f aca="false">14_PPA!$C$11*(04_GENERATION!O19+04_GENERATION!O21)</f>
        <v>0</v>
      </c>
      <c r="P7" s="32" t="n">
        <f aca="false">14_PPA!$C$11*(04_GENERATION!P19+04_GENERATION!P21)</f>
        <v>0</v>
      </c>
      <c r="Q7" s="32" t="n">
        <f aca="false">14_PPA!$C$11*(04_GENERATION!Q19+04_GENERATION!Q21)</f>
        <v>0</v>
      </c>
      <c r="R7" s="32" t="n">
        <f aca="false">14_PPA!$C$11*(04_GENERATION!R19+04_GENERATION!R21)</f>
        <v>0</v>
      </c>
      <c r="S7" s="32" t="n">
        <f aca="false">14_PPA!$C$11*(04_GENERATION!S19+04_GENERATION!S21)</f>
        <v>0</v>
      </c>
      <c r="T7" s="32" t="n">
        <f aca="false">14_PPA!$C$11*(04_GENERATION!T19+04_GENERATION!T21)</f>
        <v>0</v>
      </c>
      <c r="U7" s="32" t="n">
        <f aca="false">14_PPA!$C$11*(04_GENERATION!U19+04_GENERATION!U21)</f>
        <v>0</v>
      </c>
      <c r="V7" s="32" t="n">
        <f aca="false">14_PPA!$C$11*(04_GENERATION!V19+04_GENERATION!V21)</f>
        <v>0</v>
      </c>
      <c r="W7" s="32" t="n">
        <f aca="false">14_PPA!$C$11*(04_GENERATION!W19+04_GENERATION!W21)</f>
        <v>0</v>
      </c>
      <c r="X7" s="32" t="n">
        <f aca="false">14_PPA!$C$11*(04_GENERATION!X19+04_GENERATION!X21)</f>
        <v>0</v>
      </c>
      <c r="Y7" s="32" t="n">
        <f aca="false">14_PPA!$C$11*(04_GENERATION!Y19+04_GENERATION!Y21)</f>
        <v>0</v>
      </c>
      <c r="Z7" s="32" t="n">
        <f aca="false">14_PPA!$C$11*(04_GENERATION!Z19+04_GENERATION!Z21)</f>
        <v>0</v>
      </c>
      <c r="AA7" s="32" t="n">
        <f aca="false">14_PPA!$C$11*(04_GENERATION!AA19+04_GENERATION!AA21)</f>
        <v>0</v>
      </c>
      <c r="AB7" s="32" t="n">
        <f aca="false">14_PPA!$C$11*(04_GENERATION!AB19+04_GENERATION!AB21)</f>
        <v>0</v>
      </c>
      <c r="AC7" s="32" t="n">
        <f aca="false">14_PPA!$C$11*(04_GENERATION!AC19+04_GENERATION!AC21)</f>
        <v>0</v>
      </c>
      <c r="AD7" s="32" t="n">
        <f aca="false">14_PPA!$C$11*(04_GENERATION!AD19+04_GENERATION!AD21)</f>
        <v>0</v>
      </c>
      <c r="AE7" s="32" t="n">
        <f aca="false">14_PPA!$C$11*(04_GENERATION!AE19+04_GENERATION!AE21)</f>
        <v>0</v>
      </c>
      <c r="AF7" s="32" t="n">
        <f aca="false">14_PPA!$C$11*(04_GENERATION!AF19+04_GENERATION!AF21)</f>
        <v>0</v>
      </c>
      <c r="AG7" s="32" t="n">
        <f aca="false">14_PPA!$C$11*(04_GENERATION!AG19+04_GENERATION!AG21)</f>
        <v>0</v>
      </c>
      <c r="AH7" s="32" t="n">
        <f aca="false">14_PPA!$C$11*(04_GENERATION!AH19+04_GENERATION!AH21)</f>
        <v>0</v>
      </c>
      <c r="AI7" s="32" t="n">
        <f aca="false">14_PPA!$C$11*(04_GENERATION!AI19+04_GENERATION!AI21)</f>
        <v>0</v>
      </c>
      <c r="AJ7" s="32" t="n">
        <f aca="false">14_PPA!$C$11*(04_GENERATION!AJ19+04_GENERATION!AJ21)</f>
        <v>0</v>
      </c>
      <c r="AK7" s="32" t="n">
        <f aca="false">14_PPA!$C$11*(04_GENERATION!AK19+04_GENERATION!AK21)</f>
        <v>0</v>
      </c>
      <c r="AL7" s="32" t="n">
        <f aca="false">14_PPA!$C$11*(04_GENERATION!AL19+04_GENERATION!AL21)</f>
        <v>0</v>
      </c>
      <c r="AM7" s="32" t="n">
        <f aca="false">14_PPA!$C$11*(04_GENERATION!AM19+04_GENERATION!AM21)</f>
        <v>0</v>
      </c>
      <c r="AN7" s="32" t="n">
        <f aca="false">14_PPA!$C$11*(04_GENERATION!AN19+04_GENERATION!AN21)</f>
        <v>0</v>
      </c>
      <c r="AO7" s="32" t="n">
        <f aca="false">14_PPA!$C$11*(04_GENERATION!AO19+04_GENERATION!AO21)</f>
        <v>0</v>
      </c>
      <c r="AP7" s="32" t="n">
        <f aca="false">14_PPA!$C$11*(04_GENERATION!AP19+04_GENERATION!AP21)</f>
        <v>0</v>
      </c>
      <c r="AQ7" s="32" t="n">
        <f aca="false">14_PPA!$C$11*(04_GENERATION!AQ19+04_GENERATION!AQ21)</f>
        <v>0</v>
      </c>
      <c r="AR7" s="32" t="n">
        <f aca="false">14_PPA!$C$11*(04_GENERATION!AR19+04_GENERATION!AR21)</f>
        <v>0</v>
      </c>
    </row>
    <row r="8" customFormat="false" ht="15" hidden="false" customHeight="false" outlineLevel="0" collapsed="false">
      <c r="A8" s="8" t="s">
        <v>562</v>
      </c>
      <c r="B8" s="8" t="s">
        <v>181</v>
      </c>
      <c r="C8" s="32" t="n">
        <f aca="false">SUM(16_REVENUE!$E$8:$AR$8)</f>
        <v>0</v>
      </c>
      <c r="E8" s="32" t="n">
        <f aca="false">MAX(0,14_PPA!$C$12*04_GENERATION!E22-04_GENERATION!E20-16_REVENUE!E7)</f>
        <v>0</v>
      </c>
      <c r="F8" s="32" t="n">
        <f aca="false">MAX(0,14_PPA!$C$12*04_GENERATION!F22-04_GENERATION!F20-16_REVENUE!F7)</f>
        <v>0</v>
      </c>
      <c r="G8" s="32" t="n">
        <f aca="false">MAX(0,14_PPA!$C$12*04_GENERATION!G22-04_GENERATION!G20-16_REVENUE!G7)</f>
        <v>0</v>
      </c>
      <c r="H8" s="32" t="n">
        <f aca="false">MAX(0,14_PPA!$C$12*04_GENERATION!H22-04_GENERATION!H20-16_REVENUE!H7)</f>
        <v>0</v>
      </c>
      <c r="I8" s="32" t="n">
        <f aca="false">MAX(0,14_PPA!$C$12*04_GENERATION!I22-04_GENERATION!I20-16_REVENUE!I7)</f>
        <v>0</v>
      </c>
      <c r="J8" s="32" t="n">
        <f aca="false">MAX(0,14_PPA!$C$12*04_GENERATION!J22-04_GENERATION!J20-16_REVENUE!J7)</f>
        <v>0</v>
      </c>
      <c r="K8" s="32" t="n">
        <f aca="false">MAX(0,14_PPA!$C$12*04_GENERATION!K22-04_GENERATION!K20-16_REVENUE!K7)</f>
        <v>0</v>
      </c>
      <c r="L8" s="32" t="n">
        <f aca="false">MAX(0,14_PPA!$C$12*04_GENERATION!L22-04_GENERATION!L20-16_REVENUE!L7)</f>
        <v>0</v>
      </c>
      <c r="M8" s="32" t="n">
        <f aca="false">MAX(0,14_PPA!$C$12*04_GENERATION!M22-04_GENERATION!M20-16_REVENUE!M7)</f>
        <v>0</v>
      </c>
      <c r="N8" s="32" t="n">
        <f aca="false">MAX(0,14_PPA!$C$12*04_GENERATION!N22-04_GENERATION!N20-16_REVENUE!N7)</f>
        <v>0</v>
      </c>
      <c r="O8" s="32" t="n">
        <f aca="false">MAX(0,14_PPA!$C$12*04_GENERATION!O22-04_GENERATION!O20-16_REVENUE!O7)</f>
        <v>0</v>
      </c>
      <c r="P8" s="32" t="n">
        <f aca="false">MAX(0,14_PPA!$C$12*04_GENERATION!P22-04_GENERATION!P20-16_REVENUE!P7)</f>
        <v>0</v>
      </c>
      <c r="Q8" s="32" t="n">
        <f aca="false">MAX(0,14_PPA!$C$12*04_GENERATION!Q22-04_GENERATION!Q20-16_REVENUE!Q7)</f>
        <v>0</v>
      </c>
      <c r="R8" s="32" t="n">
        <f aca="false">MAX(0,14_PPA!$C$12*04_GENERATION!R22-04_GENERATION!R20-16_REVENUE!R7)</f>
        <v>0</v>
      </c>
      <c r="S8" s="32" t="n">
        <f aca="false">MAX(0,14_PPA!$C$12*04_GENERATION!S22-04_GENERATION!S20-16_REVENUE!S7)</f>
        <v>0</v>
      </c>
      <c r="T8" s="32" t="n">
        <f aca="false">MAX(0,14_PPA!$C$12*04_GENERATION!T22-04_GENERATION!T20-16_REVENUE!T7)</f>
        <v>0</v>
      </c>
      <c r="U8" s="32" t="n">
        <f aca="false">MAX(0,14_PPA!$C$12*04_GENERATION!U22-04_GENERATION!U20-16_REVENUE!U7)</f>
        <v>0</v>
      </c>
      <c r="V8" s="32" t="n">
        <f aca="false">MAX(0,14_PPA!$C$12*04_GENERATION!V22-04_GENERATION!V20-16_REVENUE!V7)</f>
        <v>0</v>
      </c>
      <c r="W8" s="32" t="n">
        <f aca="false">MAX(0,14_PPA!$C$12*04_GENERATION!W22-04_GENERATION!W20-16_REVENUE!W7)</f>
        <v>0</v>
      </c>
      <c r="X8" s="32" t="n">
        <f aca="false">MAX(0,14_PPA!$C$12*04_GENERATION!X22-04_GENERATION!X20-16_REVENUE!X7)</f>
        <v>0</v>
      </c>
      <c r="Y8" s="32" t="n">
        <f aca="false">MAX(0,14_PPA!$C$12*04_GENERATION!Y22-04_GENERATION!Y20-16_REVENUE!Y7)</f>
        <v>0</v>
      </c>
      <c r="Z8" s="32" t="n">
        <f aca="false">MAX(0,14_PPA!$C$12*04_GENERATION!Z22-04_GENERATION!Z20-16_REVENUE!Z7)</f>
        <v>0</v>
      </c>
      <c r="AA8" s="32" t="n">
        <f aca="false">MAX(0,14_PPA!$C$12*04_GENERATION!AA22-04_GENERATION!AA20-16_REVENUE!AA7)</f>
        <v>0</v>
      </c>
      <c r="AB8" s="32" t="n">
        <f aca="false">MAX(0,14_PPA!$C$12*04_GENERATION!AB22-04_GENERATION!AB20-16_REVENUE!AB7)</f>
        <v>0</v>
      </c>
      <c r="AC8" s="32" t="n">
        <f aca="false">MAX(0,14_PPA!$C$12*04_GENERATION!AC22-04_GENERATION!AC20-16_REVENUE!AC7)</f>
        <v>0</v>
      </c>
      <c r="AD8" s="32" t="n">
        <f aca="false">MAX(0,14_PPA!$C$12*04_GENERATION!AD22-04_GENERATION!AD20-16_REVENUE!AD7)</f>
        <v>0</v>
      </c>
      <c r="AE8" s="32" t="n">
        <f aca="false">MAX(0,14_PPA!$C$12*04_GENERATION!AE22-04_GENERATION!AE20-16_REVENUE!AE7)</f>
        <v>0</v>
      </c>
      <c r="AF8" s="32" t="n">
        <f aca="false">MAX(0,14_PPA!$C$12*04_GENERATION!AF22-04_GENERATION!AF20-16_REVENUE!AF7)</f>
        <v>0</v>
      </c>
      <c r="AG8" s="32" t="n">
        <f aca="false">MAX(0,14_PPA!$C$12*04_GENERATION!AG22-04_GENERATION!AG20-16_REVENUE!AG7)</f>
        <v>0</v>
      </c>
      <c r="AH8" s="32" t="n">
        <f aca="false">MAX(0,14_PPA!$C$12*04_GENERATION!AH22-04_GENERATION!AH20-16_REVENUE!AH7)</f>
        <v>0</v>
      </c>
      <c r="AI8" s="32" t="n">
        <f aca="false">MAX(0,14_PPA!$C$12*04_GENERATION!AI22-04_GENERATION!AI20-16_REVENUE!AI7)</f>
        <v>0</v>
      </c>
      <c r="AJ8" s="32" t="n">
        <f aca="false">MAX(0,14_PPA!$C$12*04_GENERATION!AJ22-04_GENERATION!AJ20-16_REVENUE!AJ7)</f>
        <v>0</v>
      </c>
      <c r="AK8" s="32" t="n">
        <f aca="false">MAX(0,14_PPA!$C$12*04_GENERATION!AK22-04_GENERATION!AK20-16_REVENUE!AK7)</f>
        <v>0</v>
      </c>
      <c r="AL8" s="32" t="n">
        <f aca="false">MAX(0,14_PPA!$C$12*04_GENERATION!AL22-04_GENERATION!AL20-16_REVENUE!AL7)</f>
        <v>0</v>
      </c>
      <c r="AM8" s="32" t="n">
        <f aca="false">MAX(0,14_PPA!$C$12*04_GENERATION!AM22-04_GENERATION!AM20-16_REVENUE!AM7)</f>
        <v>0</v>
      </c>
      <c r="AN8" s="32" t="n">
        <f aca="false">MAX(0,14_PPA!$C$12*04_GENERATION!AN22-04_GENERATION!AN20-16_REVENUE!AN7)</f>
        <v>0</v>
      </c>
      <c r="AO8" s="32" t="n">
        <f aca="false">MAX(0,14_PPA!$C$12*04_GENERATION!AO22-04_GENERATION!AO20-16_REVENUE!AO7)</f>
        <v>0</v>
      </c>
      <c r="AP8" s="32" t="n">
        <f aca="false">MAX(0,14_PPA!$C$12*04_GENERATION!AP22-04_GENERATION!AP20-16_REVENUE!AP7)</f>
        <v>0</v>
      </c>
      <c r="AQ8" s="32" t="n">
        <f aca="false">MAX(0,14_PPA!$C$12*04_GENERATION!AQ22-04_GENERATION!AQ20-16_REVENUE!AQ7)</f>
        <v>0</v>
      </c>
      <c r="AR8" s="32" t="n">
        <f aca="false">MAX(0,14_PPA!$C$12*04_GENERATION!AR22-04_GENERATION!AR20-16_REVENUE!AR7)</f>
        <v>0</v>
      </c>
    </row>
    <row r="9" customFormat="false" ht="15" hidden="false" customHeight="false" outlineLevel="0" collapsed="false">
      <c r="A9" s="8" t="s">
        <v>563</v>
      </c>
      <c r="B9" s="8" t="s">
        <v>181</v>
      </c>
      <c r="C9" s="32" t="n">
        <f aca="false">SUM(16_REVENUE!$E$9:$AR$9)</f>
        <v>49726.2739696006</v>
      </c>
      <c r="E9" s="32" t="n">
        <f aca="false">04_GENERATION!E20+16_REVENUE!E7+16_REVENUE!E8</f>
        <v>0</v>
      </c>
      <c r="F9" s="32" t="n">
        <f aca="false">04_GENERATION!F20+16_REVENUE!F7+16_REVENUE!F8</f>
        <v>0</v>
      </c>
      <c r="G9" s="32" t="n">
        <f aca="false">04_GENERATION!G20+16_REVENUE!G7+16_REVENUE!G8</f>
        <v>0</v>
      </c>
      <c r="H9" s="32" t="n">
        <f aca="false">04_GENERATION!H20+16_REVENUE!H7+16_REVENUE!H8</f>
        <v>0</v>
      </c>
      <c r="I9" s="32" t="n">
        <f aca="false">04_GENERATION!I20+16_REVENUE!I7+16_REVENUE!I8</f>
        <v>0</v>
      </c>
      <c r="J9" s="32" t="n">
        <f aca="false">04_GENERATION!J20+16_REVENUE!J7+16_REVENUE!J8</f>
        <v>1415.99105106065</v>
      </c>
      <c r="K9" s="32" t="n">
        <f aca="false">04_GENERATION!K20+16_REVENUE!K7+16_REVENUE!K8</f>
        <v>1665.87182477724</v>
      </c>
      <c r="L9" s="32" t="n">
        <f aca="false">04_GENERATION!L20+16_REVENUE!L7+16_REVENUE!L8</f>
        <v>1665.87182477724</v>
      </c>
      <c r="M9" s="32" t="n">
        <f aca="false">04_GENERATION!M20+16_REVENUE!M7+16_REVENUE!M8</f>
        <v>1665.87182477724</v>
      </c>
      <c r="N9" s="32" t="n">
        <f aca="false">04_GENERATION!N20+16_REVENUE!N7+16_REVENUE!N8</f>
        <v>1665.87182477724</v>
      </c>
      <c r="O9" s="32" t="n">
        <f aca="false">04_GENERATION!O20+16_REVENUE!O7+16_REVENUE!O8</f>
        <v>1665.87182477724</v>
      </c>
      <c r="P9" s="32" t="n">
        <f aca="false">04_GENERATION!P20+16_REVENUE!P7+16_REVENUE!P8</f>
        <v>1665.87182477724</v>
      </c>
      <c r="Q9" s="32" t="n">
        <f aca="false">04_GENERATION!Q20+16_REVENUE!Q7+16_REVENUE!Q8</f>
        <v>1665.87182477724</v>
      </c>
      <c r="R9" s="32" t="n">
        <f aca="false">04_GENERATION!R20+16_REVENUE!R7+16_REVENUE!R8</f>
        <v>1665.87182477724</v>
      </c>
      <c r="S9" s="32" t="n">
        <f aca="false">04_GENERATION!S20+16_REVENUE!S7+16_REVENUE!S8</f>
        <v>1665.87182477724</v>
      </c>
      <c r="T9" s="32" t="n">
        <f aca="false">04_GENERATION!T20+16_REVENUE!T7+16_REVENUE!T8</f>
        <v>1665.87182477724</v>
      </c>
      <c r="U9" s="32" t="n">
        <f aca="false">04_GENERATION!U20+16_REVENUE!U7+16_REVENUE!U8</f>
        <v>1665.87182477724</v>
      </c>
      <c r="V9" s="32" t="n">
        <f aca="false">04_GENERATION!V20+16_REVENUE!V7+16_REVENUE!V8</f>
        <v>1665.87182477724</v>
      </c>
      <c r="W9" s="32" t="n">
        <f aca="false">04_GENERATION!W20+16_REVENUE!W7+16_REVENUE!W8</f>
        <v>1665.87182477724</v>
      </c>
      <c r="X9" s="32" t="n">
        <f aca="false">04_GENERATION!X20+16_REVENUE!X7+16_REVENUE!X8</f>
        <v>1665.87182477724</v>
      </c>
      <c r="Y9" s="32" t="n">
        <f aca="false">04_GENERATION!Y20+16_REVENUE!Y7+16_REVENUE!Y8</f>
        <v>1665.87182477724</v>
      </c>
      <c r="Z9" s="32" t="n">
        <f aca="false">04_GENERATION!Z20+16_REVENUE!Z7+16_REVENUE!Z8</f>
        <v>1665.87182477724</v>
      </c>
      <c r="AA9" s="32" t="n">
        <f aca="false">04_GENERATION!AA20+16_REVENUE!AA7+16_REVENUE!AA8</f>
        <v>1665.87182477724</v>
      </c>
      <c r="AB9" s="32" t="n">
        <f aca="false">04_GENERATION!AB20+16_REVENUE!AB7+16_REVENUE!AB8</f>
        <v>1665.87182477724</v>
      </c>
      <c r="AC9" s="32" t="n">
        <f aca="false">04_GENERATION!AC20+16_REVENUE!AC7+16_REVENUE!AC8</f>
        <v>1665.87182477724</v>
      </c>
      <c r="AD9" s="32" t="n">
        <f aca="false">04_GENERATION!AD20+16_REVENUE!AD7+16_REVENUE!AD8</f>
        <v>1665.87182477724</v>
      </c>
      <c r="AE9" s="32" t="n">
        <f aca="false">04_GENERATION!AE20+16_REVENUE!AE7+16_REVENUE!AE8</f>
        <v>1665.87182477724</v>
      </c>
      <c r="AF9" s="32" t="n">
        <f aca="false">04_GENERATION!AF20+16_REVENUE!AF7+16_REVENUE!AF8</f>
        <v>1665.87182477724</v>
      </c>
      <c r="AG9" s="32" t="n">
        <f aca="false">04_GENERATION!AG20+16_REVENUE!AG7+16_REVENUE!AG8</f>
        <v>1665.87182477724</v>
      </c>
      <c r="AH9" s="32" t="n">
        <f aca="false">04_GENERATION!AH20+16_REVENUE!AH7+16_REVENUE!AH8</f>
        <v>1665.87182477724</v>
      </c>
      <c r="AI9" s="32" t="n">
        <f aca="false">04_GENERATION!AI20+16_REVENUE!AI7+16_REVENUE!AI8</f>
        <v>1665.87182477724</v>
      </c>
      <c r="AJ9" s="32" t="n">
        <f aca="false">04_GENERATION!AJ20+16_REVENUE!AJ7+16_REVENUE!AJ8</f>
        <v>1665.87182477724</v>
      </c>
      <c r="AK9" s="32" t="n">
        <f aca="false">04_GENERATION!AK20+16_REVENUE!AK7+16_REVENUE!AK8</f>
        <v>1665.87182477724</v>
      </c>
      <c r="AL9" s="32" t="n">
        <f aca="false">04_GENERATION!AL20+16_REVENUE!AL7+16_REVENUE!AL8</f>
        <v>1665.87182477724</v>
      </c>
      <c r="AM9" s="32" t="n">
        <f aca="false">04_GENERATION!AM20+16_REVENUE!AM7+16_REVENUE!AM8</f>
        <v>1665.87182477724</v>
      </c>
      <c r="AN9" s="32" t="n">
        <f aca="false">04_GENERATION!AN20+16_REVENUE!AN7+16_REVENUE!AN8</f>
        <v>0</v>
      </c>
      <c r="AO9" s="32" t="n">
        <f aca="false">04_GENERATION!AO20+16_REVENUE!AO7+16_REVENUE!AO8</f>
        <v>0</v>
      </c>
      <c r="AP9" s="32" t="n">
        <f aca="false">04_GENERATION!AP20+16_REVENUE!AP7+16_REVENUE!AP8</f>
        <v>0</v>
      </c>
      <c r="AQ9" s="32" t="n">
        <f aca="false">04_GENERATION!AQ20+16_REVENUE!AQ7+16_REVENUE!AQ8</f>
        <v>0</v>
      </c>
      <c r="AR9" s="32" t="n">
        <f aca="false">04_GENERATION!AR20+16_REVENUE!AR7+16_REVENUE!AR8</f>
        <v>0</v>
      </c>
    </row>
    <row r="10" customFormat="false" ht="15" hidden="false" customHeight="false" outlineLevel="0" collapsed="false">
      <c r="A10" s="6" t="s">
        <v>564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</row>
    <row r="11" customFormat="false" ht="15" hidden="false" customHeight="false" outlineLevel="0" collapsed="false">
      <c r="A11" s="8" t="s">
        <v>565</v>
      </c>
      <c r="B11" s="8" t="s">
        <v>84</v>
      </c>
      <c r="C11" s="34" t="n">
        <f aca="false">SUM(16_REVENUE!$E$11:$AR$11)</f>
        <v>4702.92088404501</v>
      </c>
      <c r="E11" s="34" t="n">
        <f aca="false">06_CONSTRUCTION!E14*15_TARIFF!E7*02_PROJECT_INPUTS!$C$15*12/1000*14_PPA!$C$13*04_GENERATION!E14</f>
        <v>0</v>
      </c>
      <c r="F11" s="34" t="n">
        <f aca="false">06_CONSTRUCTION!F14*15_TARIFF!F7*02_PROJECT_INPUTS!$C$15*12/1000*14_PPA!$C$13*04_GENERATION!F14</f>
        <v>0</v>
      </c>
      <c r="G11" s="34" t="n">
        <f aca="false">06_CONSTRUCTION!G14*15_TARIFF!G7*02_PROJECT_INPUTS!$C$15*12/1000*14_PPA!$C$13*04_GENERATION!G14</f>
        <v>0</v>
      </c>
      <c r="H11" s="34" t="n">
        <f aca="false">06_CONSTRUCTION!H14*15_TARIFF!H7*02_PROJECT_INPUTS!$C$15*12/1000*14_PPA!$C$13*04_GENERATION!H14</f>
        <v>0</v>
      </c>
      <c r="I11" s="34" t="n">
        <f aca="false">06_CONSTRUCTION!I14*15_TARIFF!I7*02_PROJECT_INPUTS!$C$15*12/1000*14_PPA!$C$13*04_GENERATION!I14</f>
        <v>0</v>
      </c>
      <c r="J11" s="34" t="n">
        <f aca="false">06_CONSTRUCTION!J14*15_TARIFF!J7*02_PROJECT_INPUTS!$C$15*12/1000*14_PPA!$C$13*04_GENERATION!J14</f>
        <v>112.771654717763</v>
      </c>
      <c r="K11" s="34" t="n">
        <f aca="false">06_CONSTRUCTION!K14*15_TARIFF!K7*02_PROJECT_INPUTS!$C$15*12/1000*14_PPA!$C$13*04_GENERATION!K14</f>
        <v>134.077985661315</v>
      </c>
      <c r="L11" s="34" t="n">
        <f aca="false">06_CONSTRUCTION!L14*15_TARIFF!L7*02_PROJECT_INPUTS!$C$15*12/1000*14_PPA!$C$13*04_GENERATION!L14</f>
        <v>135.511545374541</v>
      </c>
      <c r="M11" s="34" t="n">
        <f aca="false">06_CONSTRUCTION!M14*15_TARIFF!M7*02_PROJECT_INPUTS!$C$15*12/1000*14_PPA!$C$13*04_GENERATION!M14</f>
        <v>136.973776282032</v>
      </c>
      <c r="N11" s="34" t="n">
        <f aca="false">06_CONSTRUCTION!N14*15_TARIFF!N7*02_PROJECT_INPUTS!$C$15*12/1000*14_PPA!$C$13*04_GENERATION!N14</f>
        <v>138.465251807673</v>
      </c>
      <c r="O11" s="34" t="n">
        <f aca="false">06_CONSTRUCTION!O14*15_TARIFF!O7*02_PROJECT_INPUTS!$C$15*12/1000*14_PPA!$C$13*04_GENERATION!O14</f>
        <v>139.986556843826</v>
      </c>
      <c r="P11" s="34" t="n">
        <f aca="false">06_CONSTRUCTION!P14*15_TARIFF!P7*02_PROJECT_INPUTS!$C$15*12/1000*14_PPA!$C$13*04_GENERATION!P14</f>
        <v>141.538287980703</v>
      </c>
      <c r="Q11" s="34" t="n">
        <f aca="false">06_CONSTRUCTION!Q14*15_TARIFF!Q7*02_PROJECT_INPUTS!$C$15*12/1000*14_PPA!$C$13*04_GENERATION!Q14</f>
        <v>143.121053740317</v>
      </c>
      <c r="R11" s="34" t="n">
        <f aca="false">06_CONSTRUCTION!R14*15_TARIFF!R7*02_PROJECT_INPUTS!$C$15*12/1000*14_PPA!$C$13*04_GENERATION!R14</f>
        <v>144.735474815123</v>
      </c>
      <c r="S11" s="34" t="n">
        <f aca="false">06_CONSTRUCTION!S14*15_TARIFF!S7*02_PROJECT_INPUTS!$C$15*12/1000*14_PPA!$C$13*04_GENERATION!S14</f>
        <v>146.382184311426</v>
      </c>
      <c r="T11" s="34" t="n">
        <f aca="false">06_CONSTRUCTION!T14*15_TARIFF!T7*02_PROJECT_INPUTS!$C$15*12/1000*14_PPA!$C$13*04_GENERATION!T14</f>
        <v>148.061827997654</v>
      </c>
      <c r="U11" s="34" t="n">
        <f aca="false">06_CONSTRUCTION!U14*15_TARIFF!U7*02_PROJECT_INPUTS!$C$15*12/1000*14_PPA!$C$13*04_GENERATION!U14</f>
        <v>149.775064557607</v>
      </c>
      <c r="V11" s="34" t="n">
        <f aca="false">06_CONSTRUCTION!V14*15_TARIFF!V7*02_PROJECT_INPUTS!$C$15*12/1000*14_PPA!$C$13*04_GENERATION!V14</f>
        <v>151.522565848759</v>
      </c>
      <c r="W11" s="34" t="n">
        <f aca="false">06_CONSTRUCTION!W14*15_TARIFF!W7*02_PROJECT_INPUTS!$C$15*12/1000*14_PPA!$C$13*04_GENERATION!W14</f>
        <v>153.305017165735</v>
      </c>
      <c r="X11" s="34" t="n">
        <f aca="false">06_CONSTRUCTION!X14*15_TARIFF!X7*02_PROJECT_INPUTS!$C$15*12/1000*14_PPA!$C$13*04_GENERATION!X14</f>
        <v>155.123117509049</v>
      </c>
      <c r="Y11" s="34" t="n">
        <f aca="false">06_CONSTRUCTION!Y14*15_TARIFF!Y7*02_PROJECT_INPUTS!$C$15*12/1000*14_PPA!$C$13*04_GENERATION!Y14</f>
        <v>156.97757985923</v>
      </c>
      <c r="Z11" s="34" t="n">
        <f aca="false">06_CONSTRUCTION!Z14*15_TARIFF!Z7*02_PROJECT_INPUTS!$C$15*12/1000*14_PPA!$C$13*04_GENERATION!Z14</f>
        <v>158.869131456415</v>
      </c>
      <c r="AA11" s="34" t="n">
        <f aca="false">06_CONSTRUCTION!AA14*15_TARIFF!AA7*02_PROJECT_INPUTS!$C$15*12/1000*14_PPA!$C$13*04_GENERATION!AA14</f>
        <v>160.798514085543</v>
      </c>
      <c r="AB11" s="34" t="n">
        <f aca="false">06_CONSTRUCTION!AB14*15_TARIFF!AB7*02_PROJECT_INPUTS!$C$15*12/1000*14_PPA!$C$13*04_GENERATION!AB14</f>
        <v>162.766484367254</v>
      </c>
      <c r="AC11" s="34" t="n">
        <f aca="false">06_CONSTRUCTION!AC14*15_TARIFF!AC7*02_PROJECT_INPUTS!$C$15*12/1000*14_PPA!$C$13*04_GENERATION!AC14</f>
        <v>164.773814054599</v>
      </c>
      <c r="AD11" s="34" t="n">
        <f aca="false">06_CONSTRUCTION!AD14*15_TARIFF!AD7*02_PROJECT_INPUTS!$C$15*12/1000*14_PPA!$C$13*04_GENERATION!AD14</f>
        <v>166.821290335691</v>
      </c>
      <c r="AE11" s="34" t="n">
        <f aca="false">06_CONSTRUCTION!AE14*15_TARIFF!AE7*02_PROJECT_INPUTS!$C$15*12/1000*14_PPA!$C$13*04_GENERATION!AE14</f>
        <v>168.909716142405</v>
      </c>
      <c r="AF11" s="34" t="n">
        <f aca="false">06_CONSTRUCTION!AF14*15_TARIFF!AF7*02_PROJECT_INPUTS!$C$15*12/1000*14_PPA!$C$13*04_GENERATION!AF14</f>
        <v>171.039910465253</v>
      </c>
      <c r="AG11" s="34" t="n">
        <f aca="false">06_CONSTRUCTION!AG14*15_TARIFF!AG7*02_PROJECT_INPUTS!$C$15*12/1000*14_PPA!$C$13*04_GENERATION!AG14</f>
        <v>173.212708674558</v>
      </c>
      <c r="AH11" s="34" t="n">
        <f aca="false">06_CONSTRUCTION!AH14*15_TARIFF!AH7*02_PROJECT_INPUTS!$C$15*12/1000*14_PPA!$C$13*04_GENERATION!AH14</f>
        <v>175.428962848049</v>
      </c>
      <c r="AI11" s="34" t="n">
        <f aca="false">06_CONSTRUCTION!AI14*15_TARIFF!AI7*02_PROJECT_INPUTS!$C$15*12/1000*14_PPA!$C$13*04_GENERATION!AI14</f>
        <v>177.68954210501</v>
      </c>
      <c r="AJ11" s="34" t="n">
        <f aca="false">06_CONSTRUCTION!AJ14*15_TARIFF!AJ7*02_PROJECT_INPUTS!$C$15*12/1000*14_PPA!$C$13*04_GENERATION!AJ14</f>
        <v>179.995332947111</v>
      </c>
      <c r="AK11" s="34" t="n">
        <f aca="false">06_CONSTRUCTION!AK14*15_TARIFF!AK7*02_PROJECT_INPUTS!$C$15*12/1000*14_PPA!$C$13*04_GENERATION!AK14</f>
        <v>182.347239606053</v>
      </c>
      <c r="AL11" s="34" t="n">
        <f aca="false">06_CONSTRUCTION!AL14*15_TARIFF!AL7*02_PROJECT_INPUTS!$C$15*12/1000*14_PPA!$C$13*04_GENERATION!AL14</f>
        <v>184.746184398174</v>
      </c>
      <c r="AM11" s="34" t="n">
        <f aca="false">06_CONSTRUCTION!AM14*15_TARIFF!AM7*02_PROJECT_INPUTS!$C$15*12/1000*14_PPA!$C$13*04_GENERATION!AM14</f>
        <v>187.193108086137</v>
      </c>
      <c r="AN11" s="34" t="n">
        <f aca="false">06_CONSTRUCTION!AN14*15_TARIFF!AN7*02_PROJECT_INPUTS!$C$15*12/1000*14_PPA!$C$13*04_GENERATION!AN14</f>
        <v>0</v>
      </c>
      <c r="AO11" s="34" t="n">
        <f aca="false">06_CONSTRUCTION!AO14*15_TARIFF!AO7*02_PROJECT_INPUTS!$C$15*12/1000*14_PPA!$C$13*04_GENERATION!AO14</f>
        <v>0</v>
      </c>
      <c r="AP11" s="34" t="n">
        <f aca="false">06_CONSTRUCTION!AP14*15_TARIFF!AP7*02_PROJECT_INPUTS!$C$15*12/1000*14_PPA!$C$13*04_GENERATION!AP14</f>
        <v>0</v>
      </c>
      <c r="AQ11" s="34" t="n">
        <f aca="false">06_CONSTRUCTION!AQ14*15_TARIFF!AQ7*02_PROJECT_INPUTS!$C$15*12/1000*14_PPA!$C$13*04_GENERATION!AQ14</f>
        <v>0</v>
      </c>
      <c r="AR11" s="34" t="n">
        <f aca="false">06_CONSTRUCTION!AR14*15_TARIFF!AR7*02_PROJECT_INPUTS!$C$15*12/1000*14_PPA!$C$13*04_GENERATION!AR14</f>
        <v>0</v>
      </c>
    </row>
    <row r="12" customFormat="false" ht="15" hidden="false" customHeight="false" outlineLevel="0" collapsed="false">
      <c r="A12" s="8" t="s">
        <v>566</v>
      </c>
      <c r="B12" s="8" t="s">
        <v>84</v>
      </c>
      <c r="C12" s="34" t="n">
        <f aca="false">SUM(16_REVENUE!$E$12:$AR$12)</f>
        <v>1895.6506006346</v>
      </c>
      <c r="E12" s="34" t="n">
        <f aca="false">15_TARIFF!E8*04_GENERATION!E20/1000</f>
        <v>0</v>
      </c>
      <c r="F12" s="34" t="n">
        <f aca="false">15_TARIFF!F8*04_GENERATION!F20/1000</f>
        <v>0</v>
      </c>
      <c r="G12" s="34" t="n">
        <f aca="false">15_TARIFF!G8*04_GENERATION!G20/1000</f>
        <v>0</v>
      </c>
      <c r="H12" s="34" t="n">
        <f aca="false">15_TARIFF!H8*04_GENERATION!H20/1000</f>
        <v>0</v>
      </c>
      <c r="I12" s="34" t="n">
        <f aca="false">15_TARIFF!I8*04_GENERATION!I20/1000</f>
        <v>0</v>
      </c>
      <c r="J12" s="34" t="n">
        <f aca="false">15_TARIFF!J8*04_GENERATION!J20/1000</f>
        <v>39.865897692966</v>
      </c>
      <c r="K12" s="34" t="n">
        <f aca="false">15_TARIFF!K8*04_GENERATION!K20/1000</f>
        <v>47.8390772315592</v>
      </c>
      <c r="L12" s="34" t="n">
        <f aca="false">15_TARIFF!L8*04_GENERATION!L20/1000</f>
        <v>48.7958587761904</v>
      </c>
      <c r="M12" s="34" t="n">
        <f aca="false">15_TARIFF!M8*04_GENERATION!M20/1000</f>
        <v>49.7717759517142</v>
      </c>
      <c r="N12" s="34" t="n">
        <f aca="false">15_TARIFF!N8*04_GENERATION!N20/1000</f>
        <v>50.7672114707485</v>
      </c>
      <c r="O12" s="34" t="n">
        <f aca="false">15_TARIFF!O8*04_GENERATION!O20/1000</f>
        <v>51.7825557001635</v>
      </c>
      <c r="P12" s="34" t="n">
        <f aca="false">15_TARIFF!P8*04_GENERATION!P20/1000</f>
        <v>52.8182068141667</v>
      </c>
      <c r="Q12" s="34" t="n">
        <f aca="false">15_TARIFF!Q8*04_GENERATION!Q20/1000</f>
        <v>53.8745709504501</v>
      </c>
      <c r="R12" s="34" t="n">
        <f aca="false">15_TARIFF!R8*04_GENERATION!R20/1000</f>
        <v>54.9520623694591</v>
      </c>
      <c r="S12" s="34" t="n">
        <f aca="false">15_TARIFF!S8*04_GENERATION!S20/1000</f>
        <v>56.0511036168482</v>
      </c>
      <c r="T12" s="34" t="n">
        <f aca="false">15_TARIFF!T8*04_GENERATION!T20/1000</f>
        <v>57.1721256891852</v>
      </c>
      <c r="U12" s="34" t="n">
        <f aca="false">15_TARIFF!U8*04_GENERATION!U20/1000</f>
        <v>58.3155682029689</v>
      </c>
      <c r="V12" s="34" t="n">
        <f aca="false">15_TARIFF!V8*04_GENERATION!V20/1000</f>
        <v>59.4818795670283</v>
      </c>
      <c r="W12" s="34" t="n">
        <f aca="false">15_TARIFF!W8*04_GENERATION!W20/1000</f>
        <v>60.6715171583689</v>
      </c>
      <c r="X12" s="34" t="n">
        <f aca="false">15_TARIFF!X8*04_GENERATION!X20/1000</f>
        <v>61.8849475015362</v>
      </c>
      <c r="Y12" s="34" t="n">
        <f aca="false">15_TARIFF!Y8*04_GENERATION!Y20/1000</f>
        <v>63.122646451567</v>
      </c>
      <c r="Z12" s="34" t="n">
        <f aca="false">15_TARIFF!Z8*04_GENERATION!Z20/1000</f>
        <v>64.3850993805983</v>
      </c>
      <c r="AA12" s="34" t="n">
        <f aca="false">15_TARIFF!AA8*04_GENERATION!AA20/1000</f>
        <v>65.6728013682103</v>
      </c>
      <c r="AB12" s="34" t="n">
        <f aca="false">15_TARIFF!AB8*04_GENERATION!AB20/1000</f>
        <v>66.9862573955745</v>
      </c>
      <c r="AC12" s="34" t="n">
        <f aca="false">15_TARIFF!AC8*04_GENERATION!AC20/1000</f>
        <v>68.325982543486</v>
      </c>
      <c r="AD12" s="34" t="n">
        <f aca="false">15_TARIFF!AD8*04_GENERATION!AD20/1000</f>
        <v>69.6925021943557</v>
      </c>
      <c r="AE12" s="34" t="n">
        <f aca="false">15_TARIFF!AE8*04_GENERATION!AE20/1000</f>
        <v>71.0863522382428</v>
      </c>
      <c r="AF12" s="34" t="n">
        <f aca="false">15_TARIFF!AF8*04_GENERATION!AF20/1000</f>
        <v>72.5080792830077</v>
      </c>
      <c r="AG12" s="34" t="n">
        <f aca="false">15_TARIFF!AG8*04_GENERATION!AG20/1000</f>
        <v>73.9582408686678</v>
      </c>
      <c r="AH12" s="34" t="n">
        <f aca="false">15_TARIFF!AH8*04_GENERATION!AH20/1000</f>
        <v>75.4374056860412</v>
      </c>
      <c r="AI12" s="34" t="n">
        <f aca="false">15_TARIFF!AI8*04_GENERATION!AI20/1000</f>
        <v>76.946153799762</v>
      </c>
      <c r="AJ12" s="34" t="n">
        <f aca="false">15_TARIFF!AJ8*04_GENERATION!AJ20/1000</f>
        <v>78.4850768757572</v>
      </c>
      <c r="AK12" s="34" t="n">
        <f aca="false">15_TARIFF!AK8*04_GENERATION!AK20/1000</f>
        <v>80.0547784132724</v>
      </c>
      <c r="AL12" s="34" t="n">
        <f aca="false">15_TARIFF!AL8*04_GENERATION!AL20/1000</f>
        <v>81.6558739815378</v>
      </c>
      <c r="AM12" s="34" t="n">
        <f aca="false">15_TARIFF!AM8*04_GENERATION!AM20/1000</f>
        <v>83.2889914611686</v>
      </c>
      <c r="AN12" s="34" t="n">
        <f aca="false">15_TARIFF!AN8*04_GENERATION!AN20/1000</f>
        <v>0</v>
      </c>
      <c r="AO12" s="34" t="n">
        <f aca="false">15_TARIFF!AO8*04_GENERATION!AO20/1000</f>
        <v>0</v>
      </c>
      <c r="AP12" s="34" t="n">
        <f aca="false">15_TARIFF!AP8*04_GENERATION!AP20/1000</f>
        <v>0</v>
      </c>
      <c r="AQ12" s="34" t="n">
        <f aca="false">15_TARIFF!AQ8*04_GENERATION!AQ20/1000</f>
        <v>0</v>
      </c>
      <c r="AR12" s="34" t="n">
        <f aca="false">15_TARIFF!AR8*04_GENERATION!AR20/1000</f>
        <v>0</v>
      </c>
    </row>
    <row r="13" customFormat="false" ht="15" hidden="false" customHeight="false" outlineLevel="0" collapsed="false">
      <c r="A13" s="8" t="s">
        <v>567</v>
      </c>
      <c r="B13" s="8" t="s">
        <v>84</v>
      </c>
      <c r="C13" s="34" t="n">
        <f aca="false">SUM(16_REVENUE!$E$13:$AR$13)</f>
        <v>0</v>
      </c>
      <c r="E13" s="34" t="n">
        <f aca="false">15_TARIFF!E8*(16_REVENUE!E7+16_REVENUE!E8)/1000</f>
        <v>0</v>
      </c>
      <c r="F13" s="34" t="n">
        <f aca="false">15_TARIFF!F8*(16_REVENUE!F7+16_REVENUE!F8)/1000</f>
        <v>0</v>
      </c>
      <c r="G13" s="34" t="n">
        <f aca="false">15_TARIFF!G8*(16_REVENUE!G7+16_REVENUE!G8)/1000</f>
        <v>0</v>
      </c>
      <c r="H13" s="34" t="n">
        <f aca="false">15_TARIFF!H8*(16_REVENUE!H7+16_REVENUE!H8)/1000</f>
        <v>0</v>
      </c>
      <c r="I13" s="34" t="n">
        <f aca="false">15_TARIFF!I8*(16_REVENUE!I7+16_REVENUE!I8)/1000</f>
        <v>0</v>
      </c>
      <c r="J13" s="34" t="n">
        <f aca="false">15_TARIFF!J8*(16_REVENUE!J7+16_REVENUE!J8)/1000</f>
        <v>0</v>
      </c>
      <c r="K13" s="34" t="n">
        <f aca="false">15_TARIFF!K8*(16_REVENUE!K7+16_REVENUE!K8)/1000</f>
        <v>0</v>
      </c>
      <c r="L13" s="34" t="n">
        <f aca="false">15_TARIFF!L8*(16_REVENUE!L7+16_REVENUE!L8)/1000</f>
        <v>0</v>
      </c>
      <c r="M13" s="34" t="n">
        <f aca="false">15_TARIFF!M8*(16_REVENUE!M7+16_REVENUE!M8)/1000</f>
        <v>0</v>
      </c>
      <c r="N13" s="34" t="n">
        <f aca="false">15_TARIFF!N8*(16_REVENUE!N7+16_REVENUE!N8)/1000</f>
        <v>0</v>
      </c>
      <c r="O13" s="34" t="n">
        <f aca="false">15_TARIFF!O8*(16_REVENUE!O7+16_REVENUE!O8)/1000</f>
        <v>0</v>
      </c>
      <c r="P13" s="34" t="n">
        <f aca="false">15_TARIFF!P8*(16_REVENUE!P7+16_REVENUE!P8)/1000</f>
        <v>0</v>
      </c>
      <c r="Q13" s="34" t="n">
        <f aca="false">15_TARIFF!Q8*(16_REVENUE!Q7+16_REVENUE!Q8)/1000</f>
        <v>0</v>
      </c>
      <c r="R13" s="34" t="n">
        <f aca="false">15_TARIFF!R8*(16_REVENUE!R7+16_REVENUE!R8)/1000</f>
        <v>0</v>
      </c>
      <c r="S13" s="34" t="n">
        <f aca="false">15_TARIFF!S8*(16_REVENUE!S7+16_REVENUE!S8)/1000</f>
        <v>0</v>
      </c>
      <c r="T13" s="34" t="n">
        <f aca="false">15_TARIFF!T8*(16_REVENUE!T7+16_REVENUE!T8)/1000</f>
        <v>0</v>
      </c>
      <c r="U13" s="34" t="n">
        <f aca="false">15_TARIFF!U8*(16_REVENUE!U7+16_REVENUE!U8)/1000</f>
        <v>0</v>
      </c>
      <c r="V13" s="34" t="n">
        <f aca="false">15_TARIFF!V8*(16_REVENUE!V7+16_REVENUE!V8)/1000</f>
        <v>0</v>
      </c>
      <c r="W13" s="34" t="n">
        <f aca="false">15_TARIFF!W8*(16_REVENUE!W7+16_REVENUE!W8)/1000</f>
        <v>0</v>
      </c>
      <c r="X13" s="34" t="n">
        <f aca="false">15_TARIFF!X8*(16_REVENUE!X7+16_REVENUE!X8)/1000</f>
        <v>0</v>
      </c>
      <c r="Y13" s="34" t="n">
        <f aca="false">15_TARIFF!Y8*(16_REVENUE!Y7+16_REVENUE!Y8)/1000</f>
        <v>0</v>
      </c>
      <c r="Z13" s="34" t="n">
        <f aca="false">15_TARIFF!Z8*(16_REVENUE!Z7+16_REVENUE!Z8)/1000</f>
        <v>0</v>
      </c>
      <c r="AA13" s="34" t="n">
        <f aca="false">15_TARIFF!AA8*(16_REVENUE!AA7+16_REVENUE!AA8)/1000</f>
        <v>0</v>
      </c>
      <c r="AB13" s="34" t="n">
        <f aca="false">15_TARIFF!AB8*(16_REVENUE!AB7+16_REVENUE!AB8)/1000</f>
        <v>0</v>
      </c>
      <c r="AC13" s="34" t="n">
        <f aca="false">15_TARIFF!AC8*(16_REVENUE!AC7+16_REVENUE!AC8)/1000</f>
        <v>0</v>
      </c>
      <c r="AD13" s="34" t="n">
        <f aca="false">15_TARIFF!AD8*(16_REVENUE!AD7+16_REVENUE!AD8)/1000</f>
        <v>0</v>
      </c>
      <c r="AE13" s="34" t="n">
        <f aca="false">15_TARIFF!AE8*(16_REVENUE!AE7+16_REVENUE!AE8)/1000</f>
        <v>0</v>
      </c>
      <c r="AF13" s="34" t="n">
        <f aca="false">15_TARIFF!AF8*(16_REVENUE!AF7+16_REVENUE!AF8)/1000</f>
        <v>0</v>
      </c>
      <c r="AG13" s="34" t="n">
        <f aca="false">15_TARIFF!AG8*(16_REVENUE!AG7+16_REVENUE!AG8)/1000</f>
        <v>0</v>
      </c>
      <c r="AH13" s="34" t="n">
        <f aca="false">15_TARIFF!AH8*(16_REVENUE!AH7+16_REVENUE!AH8)/1000</f>
        <v>0</v>
      </c>
      <c r="AI13" s="34" t="n">
        <f aca="false">15_TARIFF!AI8*(16_REVENUE!AI7+16_REVENUE!AI8)/1000</f>
        <v>0</v>
      </c>
      <c r="AJ13" s="34" t="n">
        <f aca="false">15_TARIFF!AJ8*(16_REVENUE!AJ7+16_REVENUE!AJ8)/1000</f>
        <v>0</v>
      </c>
      <c r="AK13" s="34" t="n">
        <f aca="false">15_TARIFF!AK8*(16_REVENUE!AK7+16_REVENUE!AK8)/1000</f>
        <v>0</v>
      </c>
      <c r="AL13" s="34" t="n">
        <f aca="false">15_TARIFF!AL8*(16_REVENUE!AL7+16_REVENUE!AL8)/1000</f>
        <v>0</v>
      </c>
      <c r="AM13" s="34" t="n">
        <f aca="false">15_TARIFF!AM8*(16_REVENUE!AM7+16_REVENUE!AM8)/1000</f>
        <v>0</v>
      </c>
      <c r="AN13" s="34" t="n">
        <f aca="false">15_TARIFF!AN8*(16_REVENUE!AN7+16_REVENUE!AN8)/1000</f>
        <v>0</v>
      </c>
      <c r="AO13" s="34" t="n">
        <f aca="false">15_TARIFF!AO8*(16_REVENUE!AO7+16_REVENUE!AO8)/1000</f>
        <v>0</v>
      </c>
      <c r="AP13" s="34" t="n">
        <f aca="false">15_TARIFF!AP8*(16_REVENUE!AP7+16_REVENUE!AP8)/1000</f>
        <v>0</v>
      </c>
      <c r="AQ13" s="34" t="n">
        <f aca="false">15_TARIFF!AQ8*(16_REVENUE!AQ7+16_REVENUE!AQ8)/1000</f>
        <v>0</v>
      </c>
      <c r="AR13" s="34" t="n">
        <f aca="false">15_TARIFF!AR8*(16_REVENUE!AR7+16_REVENUE!AR8)/1000</f>
        <v>0</v>
      </c>
    </row>
    <row r="14" customFormat="false" ht="15" hidden="false" customHeight="false" outlineLevel="0" collapsed="false">
      <c r="A14" s="4" t="s">
        <v>568</v>
      </c>
      <c r="B14" s="8" t="s">
        <v>84</v>
      </c>
      <c r="C14" s="34" t="n">
        <f aca="false">SUM(16_REVENUE!$E$14:$AR$14)</f>
        <v>6598.57148467961</v>
      </c>
      <c r="E14" s="50" t="n">
        <f aca="false">16_REVENUE!E11+16_REVENUE!E12+16_REVENUE!E13</f>
        <v>0</v>
      </c>
      <c r="F14" s="50" t="n">
        <f aca="false">16_REVENUE!F11+16_REVENUE!F12+16_REVENUE!F13</f>
        <v>0</v>
      </c>
      <c r="G14" s="50" t="n">
        <f aca="false">16_REVENUE!G11+16_REVENUE!G12+16_REVENUE!G13</f>
        <v>0</v>
      </c>
      <c r="H14" s="50" t="n">
        <f aca="false">16_REVENUE!H11+16_REVENUE!H12+16_REVENUE!H13</f>
        <v>0</v>
      </c>
      <c r="I14" s="50" t="n">
        <f aca="false">16_REVENUE!I11+16_REVENUE!I12+16_REVENUE!I13</f>
        <v>0</v>
      </c>
      <c r="J14" s="50" t="n">
        <f aca="false">16_REVENUE!J11+16_REVENUE!J12+16_REVENUE!J13</f>
        <v>152.637552410729</v>
      </c>
      <c r="K14" s="50" t="n">
        <f aca="false">16_REVENUE!K11+16_REVENUE!K12+16_REVENUE!K13</f>
        <v>181.917062892874</v>
      </c>
      <c r="L14" s="50" t="n">
        <f aca="false">16_REVENUE!L11+16_REVENUE!L12+16_REVENUE!L13</f>
        <v>184.307404150732</v>
      </c>
      <c r="M14" s="50" t="n">
        <f aca="false">16_REVENUE!M11+16_REVENUE!M12+16_REVENUE!M13</f>
        <v>186.745552233746</v>
      </c>
      <c r="N14" s="50" t="n">
        <f aca="false">16_REVENUE!N11+16_REVENUE!N12+16_REVENUE!N13</f>
        <v>189.232463278421</v>
      </c>
      <c r="O14" s="50" t="n">
        <f aca="false">16_REVENUE!O11+16_REVENUE!O12+16_REVENUE!O13</f>
        <v>191.76911254399</v>
      </c>
      <c r="P14" s="50" t="n">
        <f aca="false">16_REVENUE!P11+16_REVENUE!P12+16_REVENUE!P13</f>
        <v>194.35649479487</v>
      </c>
      <c r="Q14" s="50" t="n">
        <f aca="false">16_REVENUE!Q11+16_REVENUE!Q12+16_REVENUE!Q13</f>
        <v>196.995624690767</v>
      </c>
      <c r="R14" s="50" t="n">
        <f aca="false">16_REVENUE!R11+16_REVENUE!R12+16_REVENUE!R13</f>
        <v>199.687537184582</v>
      </c>
      <c r="S14" s="50" t="n">
        <f aca="false">16_REVENUE!S11+16_REVENUE!S12+16_REVENUE!S13</f>
        <v>202.433287928274</v>
      </c>
      <c r="T14" s="50" t="n">
        <f aca="false">16_REVENUE!T11+16_REVENUE!T12+16_REVENUE!T13</f>
        <v>205.233953686839</v>
      </c>
      <c r="U14" s="50" t="n">
        <f aca="false">16_REVENUE!U11+16_REVENUE!U12+16_REVENUE!U13</f>
        <v>208.090632760576</v>
      </c>
      <c r="V14" s="50" t="n">
        <f aca="false">16_REVENUE!V11+16_REVENUE!V12+16_REVENUE!V13</f>
        <v>211.004445415788</v>
      </c>
      <c r="W14" s="50" t="n">
        <f aca="false">16_REVENUE!W11+16_REVENUE!W12+16_REVENUE!W13</f>
        <v>213.976534324103</v>
      </c>
      <c r="X14" s="50" t="n">
        <f aca="false">16_REVENUE!X11+16_REVENUE!X12+16_REVENUE!X13</f>
        <v>217.008065010586</v>
      </c>
      <c r="Y14" s="50" t="n">
        <f aca="false">16_REVENUE!Y11+16_REVENUE!Y12+16_REVENUE!Y13</f>
        <v>220.100226310797</v>
      </c>
      <c r="Z14" s="50" t="n">
        <f aca="false">16_REVENUE!Z11+16_REVENUE!Z12+16_REVENUE!Z13</f>
        <v>223.254230837013</v>
      </c>
      <c r="AA14" s="50" t="n">
        <f aca="false">16_REVENUE!AA11+16_REVENUE!AA12+16_REVENUE!AA13</f>
        <v>226.471315453754</v>
      </c>
      <c r="AB14" s="50" t="n">
        <f aca="false">16_REVENUE!AB11+16_REVENUE!AB12+16_REVENUE!AB13</f>
        <v>229.752741762829</v>
      </c>
      <c r="AC14" s="50" t="n">
        <f aca="false">16_REVENUE!AC11+16_REVENUE!AC12+16_REVENUE!AC13</f>
        <v>233.099796598085</v>
      </c>
      <c r="AD14" s="50" t="n">
        <f aca="false">16_REVENUE!AD11+16_REVENUE!AD12+16_REVENUE!AD13</f>
        <v>236.513792530047</v>
      </c>
      <c r="AE14" s="50" t="n">
        <f aca="false">16_REVENUE!AE11+16_REVENUE!AE12+16_REVENUE!AE13</f>
        <v>239.996068380648</v>
      </c>
      <c r="AF14" s="50" t="n">
        <f aca="false">16_REVENUE!AF11+16_REVENUE!AF12+16_REVENUE!AF13</f>
        <v>243.547989748261</v>
      </c>
      <c r="AG14" s="50" t="n">
        <f aca="false">16_REVENUE!AG11+16_REVENUE!AG12+16_REVENUE!AG13</f>
        <v>247.170949543226</v>
      </c>
      <c r="AH14" s="50" t="n">
        <f aca="false">16_REVENUE!AH11+16_REVENUE!AH12+16_REVENUE!AH13</f>
        <v>250.866368534091</v>
      </c>
      <c r="AI14" s="50" t="n">
        <f aca="false">16_REVENUE!AI11+16_REVENUE!AI12+16_REVENUE!AI13</f>
        <v>254.635695904772</v>
      </c>
      <c r="AJ14" s="50" t="n">
        <f aca="false">16_REVENUE!AJ11+16_REVENUE!AJ12+16_REVENUE!AJ13</f>
        <v>258.480409822868</v>
      </c>
      <c r="AK14" s="50" t="n">
        <f aca="false">16_REVENUE!AK11+16_REVENUE!AK12+16_REVENUE!AK13</f>
        <v>262.402018019325</v>
      </c>
      <c r="AL14" s="50" t="n">
        <f aca="false">16_REVENUE!AL11+16_REVENUE!AL12+16_REVENUE!AL13</f>
        <v>266.402058379712</v>
      </c>
      <c r="AM14" s="50" t="n">
        <f aca="false">16_REVENUE!AM11+16_REVENUE!AM12+16_REVENUE!AM13</f>
        <v>270.482099547306</v>
      </c>
      <c r="AN14" s="50" t="n">
        <f aca="false">16_REVENUE!AN11+16_REVENUE!AN12+16_REVENUE!AN13</f>
        <v>0</v>
      </c>
      <c r="AO14" s="50" t="n">
        <f aca="false">16_REVENUE!AO11+16_REVENUE!AO12+16_REVENUE!AO13</f>
        <v>0</v>
      </c>
      <c r="AP14" s="50" t="n">
        <f aca="false">16_REVENUE!AP11+16_REVENUE!AP12+16_REVENUE!AP13</f>
        <v>0</v>
      </c>
      <c r="AQ14" s="50" t="n">
        <f aca="false">16_REVENUE!AQ11+16_REVENUE!AQ12+16_REVENUE!AQ13</f>
        <v>0</v>
      </c>
      <c r="AR14" s="50" t="n">
        <f aca="false">16_REVENUE!AR11+16_REVENUE!AR12+16_REVENUE!AR13</f>
        <v>0</v>
      </c>
    </row>
    <row r="15" customFormat="false" ht="15" hidden="false" customHeight="false" outlineLevel="0" collapsed="false">
      <c r="A15" s="8" t="s">
        <v>569</v>
      </c>
      <c r="B15" s="8" t="s">
        <v>84</v>
      </c>
      <c r="C15" s="34" t="n">
        <f aca="false">SUM(16_REVENUE!$E$15:$AR$15)</f>
        <v>5608.78576197767</v>
      </c>
      <c r="E15" s="34" t="n">
        <f aca="false">16_REVENUE!E14*11_OFFTAKER!$C$6</f>
        <v>0</v>
      </c>
      <c r="F15" s="34" t="n">
        <f aca="false">16_REVENUE!F14*11_OFFTAKER!$C$6</f>
        <v>0</v>
      </c>
      <c r="G15" s="34" t="n">
        <f aca="false">16_REVENUE!G14*11_OFFTAKER!$C$6</f>
        <v>0</v>
      </c>
      <c r="H15" s="34" t="n">
        <f aca="false">16_REVENUE!H14*11_OFFTAKER!$C$6</f>
        <v>0</v>
      </c>
      <c r="I15" s="34" t="n">
        <f aca="false">16_REVENUE!I14*11_OFFTAKER!$C$6</f>
        <v>0</v>
      </c>
      <c r="J15" s="34" t="n">
        <f aca="false">16_REVENUE!J14*11_OFFTAKER!$C$6</f>
        <v>129.741919549119</v>
      </c>
      <c r="K15" s="34" t="n">
        <f aca="false">16_REVENUE!K14*11_OFFTAKER!$C$6</f>
        <v>154.629503458943</v>
      </c>
      <c r="L15" s="34" t="n">
        <f aca="false">16_REVENUE!L14*11_OFFTAKER!$C$6</f>
        <v>156.661293528122</v>
      </c>
      <c r="M15" s="34" t="n">
        <f aca="false">16_REVENUE!M14*11_OFFTAKER!$C$6</f>
        <v>158.733719398684</v>
      </c>
      <c r="N15" s="34" t="n">
        <f aca="false">16_REVENUE!N14*11_OFFTAKER!$C$6</f>
        <v>160.847593786658</v>
      </c>
      <c r="O15" s="34" t="n">
        <f aca="false">16_REVENUE!O14*11_OFFTAKER!$C$6</f>
        <v>163.003745662391</v>
      </c>
      <c r="P15" s="34" t="n">
        <f aca="false">16_REVENUE!P14*11_OFFTAKER!$C$6</f>
        <v>165.203020575639</v>
      </c>
      <c r="Q15" s="34" t="n">
        <f aca="false">16_REVENUE!Q14*11_OFFTAKER!$C$6</f>
        <v>167.446280987152</v>
      </c>
      <c r="R15" s="34" t="n">
        <f aca="false">16_REVENUE!R14*11_OFFTAKER!$C$6</f>
        <v>169.734406606895</v>
      </c>
      <c r="S15" s="34" t="n">
        <f aca="false">16_REVENUE!S14*11_OFFTAKER!$C$6</f>
        <v>172.068294739033</v>
      </c>
      <c r="T15" s="34" t="n">
        <f aca="false">16_REVENUE!T14*11_OFFTAKER!$C$6</f>
        <v>174.448860633814</v>
      </c>
      <c r="U15" s="34" t="n">
        <f aca="false">16_REVENUE!U14*11_OFFTAKER!$C$6</f>
        <v>176.87703784649</v>
      </c>
      <c r="V15" s="34" t="n">
        <f aca="false">16_REVENUE!V14*11_OFFTAKER!$C$6</f>
        <v>179.35377860342</v>
      </c>
      <c r="W15" s="34" t="n">
        <f aca="false">16_REVENUE!W14*11_OFFTAKER!$C$6</f>
        <v>181.880054175488</v>
      </c>
      <c r="X15" s="34" t="n">
        <f aca="false">16_REVENUE!X14*11_OFFTAKER!$C$6</f>
        <v>184.456855258998</v>
      </c>
      <c r="Y15" s="34" t="n">
        <f aca="false">16_REVENUE!Y14*11_OFFTAKER!$C$6</f>
        <v>187.085192364178</v>
      </c>
      <c r="Z15" s="34" t="n">
        <f aca="false">16_REVENUE!Z14*11_OFFTAKER!$C$6</f>
        <v>189.766096211461</v>
      </c>
      <c r="AA15" s="34" t="n">
        <f aca="false">16_REVENUE!AA14*11_OFFTAKER!$C$6</f>
        <v>192.50061813569</v>
      </c>
      <c r="AB15" s="34" t="n">
        <f aca="false">16_REVENUE!AB14*11_OFFTAKER!$C$6</f>
        <v>195.289830498404</v>
      </c>
      <c r="AC15" s="34" t="n">
        <f aca="false">16_REVENUE!AC14*11_OFFTAKER!$C$6</f>
        <v>198.134827108372</v>
      </c>
      <c r="AD15" s="34" t="n">
        <f aca="false">16_REVENUE!AD14*11_OFFTAKER!$C$6</f>
        <v>201.03672365054</v>
      </c>
      <c r="AE15" s="34" t="n">
        <f aca="false">16_REVENUE!AE14*11_OFFTAKER!$C$6</f>
        <v>203.996658123551</v>
      </c>
      <c r="AF15" s="34" t="n">
        <f aca="false">16_REVENUE!AF14*11_OFFTAKER!$C$6</f>
        <v>207.015791286022</v>
      </c>
      <c r="AG15" s="34" t="n">
        <f aca="false">16_REVENUE!AG14*11_OFFTAKER!$C$6</f>
        <v>210.095307111742</v>
      </c>
      <c r="AH15" s="34" t="n">
        <f aca="false">16_REVENUE!AH14*11_OFFTAKER!$C$6</f>
        <v>213.236413253977</v>
      </c>
      <c r="AI15" s="34" t="n">
        <f aca="false">16_REVENUE!AI14*11_OFFTAKER!$C$6</f>
        <v>216.440341519056</v>
      </c>
      <c r="AJ15" s="34" t="n">
        <f aca="false">16_REVENUE!AJ14*11_OFFTAKER!$C$6</f>
        <v>219.708348349438</v>
      </c>
      <c r="AK15" s="34" t="n">
        <f aca="false">16_REVENUE!AK14*11_OFFTAKER!$C$6</f>
        <v>223.041715316426</v>
      </c>
      <c r="AL15" s="34" t="n">
        <f aca="false">16_REVENUE!AL14*11_OFFTAKER!$C$6</f>
        <v>226.441749622755</v>
      </c>
      <c r="AM15" s="34" t="n">
        <f aca="false">16_REVENUE!AM14*11_OFFTAKER!$C$6</f>
        <v>229.90978461521</v>
      </c>
      <c r="AN15" s="34" t="n">
        <f aca="false">16_REVENUE!AN14*11_OFFTAKER!$C$6</f>
        <v>0</v>
      </c>
      <c r="AO15" s="34" t="n">
        <f aca="false">16_REVENUE!AO14*11_OFFTAKER!$C$6</f>
        <v>0</v>
      </c>
      <c r="AP15" s="34" t="n">
        <f aca="false">16_REVENUE!AP14*11_OFFTAKER!$C$6</f>
        <v>0</v>
      </c>
      <c r="AQ15" s="34" t="n">
        <f aca="false">16_REVENUE!AQ14*11_OFFTAKER!$C$6</f>
        <v>0</v>
      </c>
      <c r="AR15" s="34" t="n">
        <f aca="false">16_REVENUE!AR14*11_OFFTAKER!$C$6</f>
        <v>0</v>
      </c>
    </row>
    <row r="16" customFormat="false" ht="15" hidden="false" customHeight="false" outlineLevel="0" collapsed="false">
      <c r="A16" s="8" t="s">
        <v>570</v>
      </c>
      <c r="B16" s="8" t="s">
        <v>84</v>
      </c>
      <c r="C16" s="34" t="n">
        <f aca="false">SUM(16_REVENUE!$E$16:$AR$16)</f>
        <v>154.629503458943</v>
      </c>
      <c r="E16" s="34" t="n">
        <f aca="false">IF(06_CONSTRUCTION!E5=2,16_REVENUE!E15,0)</f>
        <v>0</v>
      </c>
      <c r="F16" s="34" t="n">
        <f aca="false">IF(06_CONSTRUCTION!F5=2,16_REVENUE!F15,0)</f>
        <v>0</v>
      </c>
      <c r="G16" s="34" t="n">
        <f aca="false">IF(06_CONSTRUCTION!G5=2,16_REVENUE!G15,0)</f>
        <v>0</v>
      </c>
      <c r="H16" s="34" t="n">
        <f aca="false">IF(06_CONSTRUCTION!H5=2,16_REVENUE!H15,0)</f>
        <v>0</v>
      </c>
      <c r="I16" s="34" t="n">
        <f aca="false">IF(06_CONSTRUCTION!I5=2,16_REVENUE!I15,0)</f>
        <v>0</v>
      </c>
      <c r="J16" s="34" t="n">
        <f aca="false">IF(06_CONSTRUCTION!J5=2,16_REVENUE!J15,0)</f>
        <v>0</v>
      </c>
      <c r="K16" s="34" t="n">
        <f aca="false">IF(06_CONSTRUCTION!K5=2,16_REVENUE!K15,0)</f>
        <v>154.629503458943</v>
      </c>
      <c r="L16" s="34" t="n">
        <f aca="false">IF(06_CONSTRUCTION!L5=2,16_REVENUE!L15,0)</f>
        <v>0</v>
      </c>
      <c r="M16" s="34" t="n">
        <f aca="false">IF(06_CONSTRUCTION!M5=2,16_REVENUE!M15,0)</f>
        <v>0</v>
      </c>
      <c r="N16" s="34" t="n">
        <f aca="false">IF(06_CONSTRUCTION!N5=2,16_REVENUE!N15,0)</f>
        <v>0</v>
      </c>
      <c r="O16" s="34" t="n">
        <f aca="false">IF(06_CONSTRUCTION!O5=2,16_REVENUE!O15,0)</f>
        <v>0</v>
      </c>
      <c r="P16" s="34" t="n">
        <f aca="false">IF(06_CONSTRUCTION!P5=2,16_REVENUE!P15,0)</f>
        <v>0</v>
      </c>
      <c r="Q16" s="34" t="n">
        <f aca="false">IF(06_CONSTRUCTION!Q5=2,16_REVENUE!Q15,0)</f>
        <v>0</v>
      </c>
      <c r="R16" s="34" t="n">
        <f aca="false">IF(06_CONSTRUCTION!R5=2,16_REVENUE!R15,0)</f>
        <v>0</v>
      </c>
      <c r="S16" s="34" t="n">
        <f aca="false">IF(06_CONSTRUCTION!S5=2,16_REVENUE!S15,0)</f>
        <v>0</v>
      </c>
      <c r="T16" s="34" t="n">
        <f aca="false">IF(06_CONSTRUCTION!T5=2,16_REVENUE!T15,0)</f>
        <v>0</v>
      </c>
      <c r="U16" s="34" t="n">
        <f aca="false">IF(06_CONSTRUCTION!U5=2,16_REVENUE!U15,0)</f>
        <v>0</v>
      </c>
      <c r="V16" s="34" t="n">
        <f aca="false">IF(06_CONSTRUCTION!V5=2,16_REVENUE!V15,0)</f>
        <v>0</v>
      </c>
      <c r="W16" s="34" t="n">
        <f aca="false">IF(06_CONSTRUCTION!W5=2,16_REVENUE!W15,0)</f>
        <v>0</v>
      </c>
      <c r="X16" s="34" t="n">
        <f aca="false">IF(06_CONSTRUCTION!X5=2,16_REVENUE!X15,0)</f>
        <v>0</v>
      </c>
      <c r="Y16" s="34" t="n">
        <f aca="false">IF(06_CONSTRUCTION!Y5=2,16_REVENUE!Y15,0)</f>
        <v>0</v>
      </c>
      <c r="Z16" s="34" t="n">
        <f aca="false">IF(06_CONSTRUCTION!Z5=2,16_REVENUE!Z15,0)</f>
        <v>0</v>
      </c>
      <c r="AA16" s="34" t="n">
        <f aca="false">IF(06_CONSTRUCTION!AA5=2,16_REVENUE!AA15,0)</f>
        <v>0</v>
      </c>
      <c r="AB16" s="34" t="n">
        <f aca="false">IF(06_CONSTRUCTION!AB5=2,16_REVENUE!AB15,0)</f>
        <v>0</v>
      </c>
      <c r="AC16" s="34" t="n">
        <f aca="false">IF(06_CONSTRUCTION!AC5=2,16_REVENUE!AC15,0)</f>
        <v>0</v>
      </c>
      <c r="AD16" s="34" t="n">
        <f aca="false">IF(06_CONSTRUCTION!AD5=2,16_REVENUE!AD15,0)</f>
        <v>0</v>
      </c>
      <c r="AE16" s="34" t="n">
        <f aca="false">IF(06_CONSTRUCTION!AE5=2,16_REVENUE!AE15,0)</f>
        <v>0</v>
      </c>
      <c r="AF16" s="34" t="n">
        <f aca="false">IF(06_CONSTRUCTION!AF5=2,16_REVENUE!AF15,0)</f>
        <v>0</v>
      </c>
      <c r="AG16" s="34" t="n">
        <f aca="false">IF(06_CONSTRUCTION!AG5=2,16_REVENUE!AG15,0)</f>
        <v>0</v>
      </c>
      <c r="AH16" s="34" t="n">
        <f aca="false">IF(06_CONSTRUCTION!AH5=2,16_REVENUE!AH15,0)</f>
        <v>0</v>
      </c>
      <c r="AI16" s="34" t="n">
        <f aca="false">IF(06_CONSTRUCTION!AI5=2,16_REVENUE!AI15,0)</f>
        <v>0</v>
      </c>
      <c r="AJ16" s="34" t="n">
        <f aca="false">IF(06_CONSTRUCTION!AJ5=2,16_REVENUE!AJ15,0)</f>
        <v>0</v>
      </c>
      <c r="AK16" s="34" t="n">
        <f aca="false">IF(06_CONSTRUCTION!AK5=2,16_REVENUE!AK15,0)</f>
        <v>0</v>
      </c>
      <c r="AL16" s="34" t="n">
        <f aca="false">IF(06_CONSTRUCTION!AL5=2,16_REVENUE!AL15,0)</f>
        <v>0</v>
      </c>
      <c r="AM16" s="34" t="n">
        <f aca="false">IF(06_CONSTRUCTION!AM5=2,16_REVENUE!AM15,0)</f>
        <v>0</v>
      </c>
      <c r="AN16" s="34" t="n">
        <f aca="false">IF(06_CONSTRUCTION!AN5=2,16_REVENUE!AN15,0)</f>
        <v>0</v>
      </c>
      <c r="AO16" s="34" t="n">
        <f aca="false">IF(06_CONSTRUCTION!AO5=2,16_REVENUE!AO15,0)</f>
        <v>0</v>
      </c>
      <c r="AP16" s="34" t="n">
        <f aca="false">IF(06_CONSTRUCTION!AP5=2,16_REVENUE!AP15,0)</f>
        <v>0</v>
      </c>
      <c r="AQ16" s="34" t="n">
        <f aca="false">IF(06_CONSTRUCTION!AQ5=2,16_REVENUE!AQ15,0)</f>
        <v>0</v>
      </c>
      <c r="AR16" s="34" t="n">
        <f aca="false">IF(06_CONSTRUCTION!AR5=2,16_REVENUE!AR15,0)</f>
        <v>0</v>
      </c>
    </row>
    <row r="17" customFormat="false" ht="15" hidden="false" customHeight="false" outlineLevel="0" collapsed="false">
      <c r="A17" s="8" t="s">
        <v>571</v>
      </c>
      <c r="B17" s="8" t="s">
        <v>84</v>
      </c>
      <c r="C17" s="34" t="n">
        <f aca="false">SUM(16_REVENUE!$E$17:$AR$17)</f>
        <v>989.785722701942</v>
      </c>
      <c r="E17" s="34" t="n">
        <f aca="false">16_REVENUE!E14-16_REVENUE!E15</f>
        <v>0</v>
      </c>
      <c r="F17" s="34" t="n">
        <f aca="false">16_REVENUE!F14-16_REVENUE!F15</f>
        <v>0</v>
      </c>
      <c r="G17" s="34" t="n">
        <f aca="false">16_REVENUE!G14-16_REVENUE!G15</f>
        <v>0</v>
      </c>
      <c r="H17" s="34" t="n">
        <f aca="false">16_REVENUE!H14-16_REVENUE!H15</f>
        <v>0</v>
      </c>
      <c r="I17" s="34" t="n">
        <f aca="false">16_REVENUE!I14-16_REVENUE!I15</f>
        <v>0</v>
      </c>
      <c r="J17" s="34" t="n">
        <f aca="false">16_REVENUE!J14-16_REVENUE!J15</f>
        <v>22.8956328616093</v>
      </c>
      <c r="K17" s="34" t="n">
        <f aca="false">16_REVENUE!K14-16_REVENUE!K15</f>
        <v>27.2875594339311</v>
      </c>
      <c r="L17" s="34" t="n">
        <f aca="false">16_REVENUE!L14-16_REVENUE!L15</f>
        <v>27.6461106226098</v>
      </c>
      <c r="M17" s="34" t="n">
        <f aca="false">16_REVENUE!M14-16_REVENUE!M15</f>
        <v>28.011832835062</v>
      </c>
      <c r="N17" s="34" t="n">
        <f aca="false">16_REVENUE!N14-16_REVENUE!N15</f>
        <v>28.3848694917632</v>
      </c>
      <c r="O17" s="34" t="n">
        <f aca="false">16_REVENUE!O14-16_REVENUE!O15</f>
        <v>28.7653668815985</v>
      </c>
      <c r="P17" s="34" t="n">
        <f aca="false">16_REVENUE!P14-16_REVENUE!P15</f>
        <v>29.1534742192304</v>
      </c>
      <c r="Q17" s="34" t="n">
        <f aca="false">16_REVENUE!Q14-16_REVENUE!Q15</f>
        <v>29.5493437036151</v>
      </c>
      <c r="R17" s="34" t="n">
        <f aca="false">16_REVENUE!R14-16_REVENUE!R15</f>
        <v>29.9531305776873</v>
      </c>
      <c r="S17" s="34" t="n">
        <f aca="false">16_REVENUE!S14-16_REVENUE!S15</f>
        <v>30.3649931892411</v>
      </c>
      <c r="T17" s="34" t="n">
        <f aca="false">16_REVENUE!T14-16_REVENUE!T15</f>
        <v>30.7850930530259</v>
      </c>
      <c r="U17" s="34" t="n">
        <f aca="false">16_REVENUE!U14-16_REVENUE!U15</f>
        <v>31.2135949140864</v>
      </c>
      <c r="V17" s="34" t="n">
        <f aca="false">16_REVENUE!V14-16_REVENUE!V15</f>
        <v>31.6506668123682</v>
      </c>
      <c r="W17" s="34" t="n">
        <f aca="false">16_REVENUE!W14-16_REVENUE!W15</f>
        <v>32.0964801486155</v>
      </c>
      <c r="X17" s="34" t="n">
        <f aca="false">16_REVENUE!X14-16_REVENUE!X15</f>
        <v>32.5512097515878</v>
      </c>
      <c r="Y17" s="34" t="n">
        <f aca="false">16_REVENUE!Y14-16_REVENUE!Y15</f>
        <v>33.0150339466196</v>
      </c>
      <c r="Z17" s="34" t="n">
        <f aca="false">16_REVENUE!Z14-16_REVENUE!Z15</f>
        <v>33.488134625552</v>
      </c>
      <c r="AA17" s="34" t="n">
        <f aca="false">16_REVENUE!AA14-16_REVENUE!AA15</f>
        <v>33.970697318063</v>
      </c>
      <c r="AB17" s="34" t="n">
        <f aca="false">16_REVENUE!AB14-16_REVENUE!AB15</f>
        <v>34.4629112644243</v>
      </c>
      <c r="AC17" s="34" t="n">
        <f aca="false">16_REVENUE!AC14-16_REVENUE!AC15</f>
        <v>34.9649694897128</v>
      </c>
      <c r="AD17" s="34" t="n">
        <f aca="false">16_REVENUE!AD14-16_REVENUE!AD15</f>
        <v>35.477068879507</v>
      </c>
      <c r="AE17" s="34" t="n">
        <f aca="false">16_REVENUE!AE14-16_REVENUE!AE15</f>
        <v>35.9994102570972</v>
      </c>
      <c r="AF17" s="34" t="n">
        <f aca="false">16_REVENUE!AF14-16_REVENUE!AF15</f>
        <v>36.5321984622391</v>
      </c>
      <c r="AG17" s="34" t="n">
        <f aca="false">16_REVENUE!AG14-16_REVENUE!AG15</f>
        <v>37.0756424314839</v>
      </c>
      <c r="AH17" s="34" t="n">
        <f aca="false">16_REVENUE!AH14-16_REVENUE!AH15</f>
        <v>37.6299552801136</v>
      </c>
      <c r="AI17" s="34" t="n">
        <f aca="false">16_REVENUE!AI14-16_REVENUE!AI15</f>
        <v>38.1953543857159</v>
      </c>
      <c r="AJ17" s="34" t="n">
        <f aca="false">16_REVENUE!AJ14-16_REVENUE!AJ15</f>
        <v>38.7720614734302</v>
      </c>
      <c r="AK17" s="34" t="n">
        <f aca="false">16_REVENUE!AK14-16_REVENUE!AK15</f>
        <v>39.3603027028988</v>
      </c>
      <c r="AL17" s="34" t="n">
        <f aca="false">16_REVENUE!AL14-16_REVENUE!AL15</f>
        <v>39.9603087569568</v>
      </c>
      <c r="AM17" s="34" t="n">
        <f aca="false">16_REVENUE!AM14-16_REVENUE!AM15</f>
        <v>40.5723149320959</v>
      </c>
      <c r="AN17" s="34" t="n">
        <f aca="false">16_REVENUE!AN14-16_REVENUE!AN15</f>
        <v>0</v>
      </c>
      <c r="AO17" s="34" t="n">
        <f aca="false">16_REVENUE!AO14-16_REVENUE!AO15</f>
        <v>0</v>
      </c>
      <c r="AP17" s="34" t="n">
        <f aca="false">16_REVENUE!AP14-16_REVENUE!AP15</f>
        <v>0</v>
      </c>
      <c r="AQ17" s="34" t="n">
        <f aca="false">16_REVENUE!AQ14-16_REVENUE!AQ15</f>
        <v>0</v>
      </c>
      <c r="AR17" s="34" t="n">
        <f aca="false">16_REVENUE!AR14-16_REVENUE!AR15</f>
        <v>0</v>
      </c>
    </row>
    <row r="18" customFormat="false" ht="15" hidden="false" customHeight="false" outlineLevel="0" collapsed="false">
      <c r="A18" s="6" t="s">
        <v>572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</row>
    <row r="19" customFormat="false" ht="15" hidden="false" customHeight="false" outlineLevel="0" collapsed="false">
      <c r="A19" s="8" t="s">
        <v>573</v>
      </c>
      <c r="B19" s="8" t="s">
        <v>84</v>
      </c>
      <c r="C19" s="34" t="n">
        <f aca="false">SUM(16_REVENUE!$E$19:$AR$19)</f>
        <v>0</v>
      </c>
      <c r="E19" s="34" t="n">
        <f aca="false">IF(01_CONTROL_PANEL!$C$12=1,12_UTILITY!E43*01_CONTROL_PANEL!$C$13,0)</f>
        <v>0</v>
      </c>
      <c r="F19" s="34" t="n">
        <f aca="false">IF(01_CONTROL_PANEL!$C$12=1,12_UTILITY!F43*01_CONTROL_PANEL!$C$13,0)</f>
        <v>0</v>
      </c>
      <c r="G19" s="34" t="n">
        <f aca="false">IF(01_CONTROL_PANEL!$C$12=1,12_UTILITY!G43*01_CONTROL_PANEL!$C$13,0)</f>
        <v>0</v>
      </c>
      <c r="H19" s="34" t="n">
        <f aca="false">IF(01_CONTROL_PANEL!$C$12=1,12_UTILITY!H43*01_CONTROL_PANEL!$C$13,0)</f>
        <v>0</v>
      </c>
      <c r="I19" s="34" t="n">
        <f aca="false">IF(01_CONTROL_PANEL!$C$12=1,12_UTILITY!I43*01_CONTROL_PANEL!$C$13,0)</f>
        <v>0</v>
      </c>
      <c r="J19" s="34" t="n">
        <f aca="false">IF(01_CONTROL_PANEL!$C$12=1,12_UTILITY!J43*01_CONTROL_PANEL!$C$13,0)</f>
        <v>0</v>
      </c>
      <c r="K19" s="34" t="n">
        <f aca="false">IF(01_CONTROL_PANEL!$C$12=1,12_UTILITY!K43*01_CONTROL_PANEL!$C$13,0)</f>
        <v>0</v>
      </c>
      <c r="L19" s="34" t="n">
        <f aca="false">IF(01_CONTROL_PANEL!$C$12=1,12_UTILITY!L43*01_CONTROL_PANEL!$C$13,0)</f>
        <v>0</v>
      </c>
      <c r="M19" s="34" t="n">
        <f aca="false">IF(01_CONTROL_PANEL!$C$12=1,12_UTILITY!M43*01_CONTROL_PANEL!$C$13,0)</f>
        <v>0</v>
      </c>
      <c r="N19" s="34" t="n">
        <f aca="false">IF(01_CONTROL_PANEL!$C$12=1,12_UTILITY!N43*01_CONTROL_PANEL!$C$13,0)</f>
        <v>0</v>
      </c>
      <c r="O19" s="34" t="n">
        <f aca="false">IF(01_CONTROL_PANEL!$C$12=1,12_UTILITY!O43*01_CONTROL_PANEL!$C$13,0)</f>
        <v>0</v>
      </c>
      <c r="P19" s="34" t="n">
        <f aca="false">IF(01_CONTROL_PANEL!$C$12=1,12_UTILITY!P43*01_CONTROL_PANEL!$C$13,0)</f>
        <v>0</v>
      </c>
      <c r="Q19" s="34" t="n">
        <f aca="false">IF(01_CONTROL_PANEL!$C$12=1,12_UTILITY!Q43*01_CONTROL_PANEL!$C$13,0)</f>
        <v>0</v>
      </c>
      <c r="R19" s="34" t="n">
        <f aca="false">IF(01_CONTROL_PANEL!$C$12=1,12_UTILITY!R43*01_CONTROL_PANEL!$C$13,0)</f>
        <v>0</v>
      </c>
      <c r="S19" s="34" t="n">
        <f aca="false">IF(01_CONTROL_PANEL!$C$12=1,12_UTILITY!S43*01_CONTROL_PANEL!$C$13,0)</f>
        <v>0</v>
      </c>
      <c r="T19" s="34" t="n">
        <f aca="false">IF(01_CONTROL_PANEL!$C$12=1,12_UTILITY!T43*01_CONTROL_PANEL!$C$13,0)</f>
        <v>0</v>
      </c>
      <c r="U19" s="34" t="n">
        <f aca="false">IF(01_CONTROL_PANEL!$C$12=1,12_UTILITY!U43*01_CONTROL_PANEL!$C$13,0)</f>
        <v>0</v>
      </c>
      <c r="V19" s="34" t="n">
        <f aca="false">IF(01_CONTROL_PANEL!$C$12=1,12_UTILITY!V43*01_CONTROL_PANEL!$C$13,0)</f>
        <v>0</v>
      </c>
      <c r="W19" s="34" t="n">
        <f aca="false">IF(01_CONTROL_PANEL!$C$12=1,12_UTILITY!W43*01_CONTROL_PANEL!$C$13,0)</f>
        <v>0</v>
      </c>
      <c r="X19" s="34" t="n">
        <f aca="false">IF(01_CONTROL_PANEL!$C$12=1,12_UTILITY!X43*01_CONTROL_PANEL!$C$13,0)</f>
        <v>0</v>
      </c>
      <c r="Y19" s="34" t="n">
        <f aca="false">IF(01_CONTROL_PANEL!$C$12=1,12_UTILITY!Y43*01_CONTROL_PANEL!$C$13,0)</f>
        <v>0</v>
      </c>
      <c r="Z19" s="34" t="n">
        <f aca="false">IF(01_CONTROL_PANEL!$C$12=1,12_UTILITY!Z43*01_CONTROL_PANEL!$C$13,0)</f>
        <v>0</v>
      </c>
      <c r="AA19" s="34" t="n">
        <f aca="false">IF(01_CONTROL_PANEL!$C$12=1,12_UTILITY!AA43*01_CONTROL_PANEL!$C$13,0)</f>
        <v>0</v>
      </c>
      <c r="AB19" s="34" t="n">
        <f aca="false">IF(01_CONTROL_PANEL!$C$12=1,12_UTILITY!AB43*01_CONTROL_PANEL!$C$13,0)</f>
        <v>0</v>
      </c>
      <c r="AC19" s="34" t="n">
        <f aca="false">IF(01_CONTROL_PANEL!$C$12=1,12_UTILITY!AC43*01_CONTROL_PANEL!$C$13,0)</f>
        <v>0</v>
      </c>
      <c r="AD19" s="34" t="n">
        <f aca="false">IF(01_CONTROL_PANEL!$C$12=1,12_UTILITY!AD43*01_CONTROL_PANEL!$C$13,0)</f>
        <v>0</v>
      </c>
      <c r="AE19" s="34" t="n">
        <f aca="false">IF(01_CONTROL_PANEL!$C$12=1,12_UTILITY!AE43*01_CONTROL_PANEL!$C$13,0)</f>
        <v>0</v>
      </c>
      <c r="AF19" s="34" t="n">
        <f aca="false">IF(01_CONTROL_PANEL!$C$12=1,12_UTILITY!AF43*01_CONTROL_PANEL!$C$13,0)</f>
        <v>0</v>
      </c>
      <c r="AG19" s="34" t="n">
        <f aca="false">IF(01_CONTROL_PANEL!$C$12=1,12_UTILITY!AG43*01_CONTROL_PANEL!$C$13,0)</f>
        <v>0</v>
      </c>
      <c r="AH19" s="34" t="n">
        <f aca="false">IF(01_CONTROL_PANEL!$C$12=1,12_UTILITY!AH43*01_CONTROL_PANEL!$C$13,0)</f>
        <v>0</v>
      </c>
      <c r="AI19" s="34" t="n">
        <f aca="false">IF(01_CONTROL_PANEL!$C$12=1,12_UTILITY!AI43*01_CONTROL_PANEL!$C$13,0)</f>
        <v>0</v>
      </c>
      <c r="AJ19" s="34" t="n">
        <f aca="false">IF(01_CONTROL_PANEL!$C$12=1,12_UTILITY!AJ43*01_CONTROL_PANEL!$C$13,0)</f>
        <v>0</v>
      </c>
      <c r="AK19" s="34" t="n">
        <f aca="false">IF(01_CONTROL_PANEL!$C$12=1,12_UTILITY!AK43*01_CONTROL_PANEL!$C$13,0)</f>
        <v>0</v>
      </c>
      <c r="AL19" s="34" t="n">
        <f aca="false">IF(01_CONTROL_PANEL!$C$12=1,12_UTILITY!AL43*01_CONTROL_PANEL!$C$13,0)</f>
        <v>0</v>
      </c>
      <c r="AM19" s="34" t="n">
        <f aca="false">IF(01_CONTROL_PANEL!$C$12=1,12_UTILITY!AM43*01_CONTROL_PANEL!$C$13,0)</f>
        <v>0</v>
      </c>
      <c r="AN19" s="34" t="n">
        <f aca="false">IF(01_CONTROL_PANEL!$C$12=1,12_UTILITY!AN43*01_CONTROL_PANEL!$C$13,0)</f>
        <v>0</v>
      </c>
      <c r="AO19" s="34" t="n">
        <f aca="false">IF(01_CONTROL_PANEL!$C$12=1,12_UTILITY!AO43*01_CONTROL_PANEL!$C$13,0)</f>
        <v>0</v>
      </c>
      <c r="AP19" s="34" t="n">
        <f aca="false">IF(01_CONTROL_PANEL!$C$12=1,12_UTILITY!AP43*01_CONTROL_PANEL!$C$13,0)</f>
        <v>0</v>
      </c>
      <c r="AQ19" s="34" t="n">
        <f aca="false">IF(01_CONTROL_PANEL!$C$12=1,12_UTILITY!AQ43*01_CONTROL_PANEL!$C$13,0)</f>
        <v>0</v>
      </c>
      <c r="AR19" s="34" t="n">
        <f aca="false">IF(01_CONTROL_PANEL!$C$12=1,12_UTILITY!AR43*01_CONTROL_PANEL!$C$13,0)</f>
        <v>0</v>
      </c>
    </row>
    <row r="20" customFormat="false" ht="15" hidden="false" customHeight="false" outlineLevel="0" collapsed="false">
      <c r="A20" s="8" t="s">
        <v>574</v>
      </c>
      <c r="B20" s="8" t="s">
        <v>84</v>
      </c>
      <c r="E20" s="34" t="n">
        <f aca="false">17A_STRUCTURES!$C$14*23_GUARANTEES!$C$6/12*16_REVENUE!E15</f>
        <v>0</v>
      </c>
      <c r="F20" s="34" t="n">
        <f aca="false">17A_STRUCTURES!$C$14*23_GUARANTEES!$C$6/12*16_REVENUE!F15</f>
        <v>0</v>
      </c>
      <c r="G20" s="34" t="n">
        <f aca="false">17A_STRUCTURES!$C$14*23_GUARANTEES!$C$6/12*16_REVENUE!G15</f>
        <v>0</v>
      </c>
      <c r="H20" s="34" t="n">
        <f aca="false">17A_STRUCTURES!$C$14*23_GUARANTEES!$C$6/12*16_REVENUE!H15</f>
        <v>0</v>
      </c>
      <c r="I20" s="34" t="n">
        <f aca="false">17A_STRUCTURES!$C$14*23_GUARANTEES!$C$6/12*16_REVENUE!I15</f>
        <v>0</v>
      </c>
      <c r="J20" s="34" t="n">
        <f aca="false">17A_STRUCTURES!$C$14*23_GUARANTEES!$C$6/12*16_REVENUE!J15</f>
        <v>129.741919549119</v>
      </c>
      <c r="K20" s="34" t="n">
        <f aca="false">17A_STRUCTURES!$C$14*23_GUARANTEES!$C$6/12*16_REVENUE!K15</f>
        <v>154.629503458943</v>
      </c>
      <c r="L20" s="34" t="n">
        <f aca="false">17A_STRUCTURES!$C$14*23_GUARANTEES!$C$6/12*16_REVENUE!L15</f>
        <v>156.661293528122</v>
      </c>
      <c r="M20" s="34" t="n">
        <f aca="false">17A_STRUCTURES!$C$14*23_GUARANTEES!$C$6/12*16_REVENUE!M15</f>
        <v>158.733719398684</v>
      </c>
      <c r="N20" s="34" t="n">
        <f aca="false">17A_STRUCTURES!$C$14*23_GUARANTEES!$C$6/12*16_REVENUE!N15</f>
        <v>160.847593786658</v>
      </c>
      <c r="O20" s="34" t="n">
        <f aca="false">17A_STRUCTURES!$C$14*23_GUARANTEES!$C$6/12*16_REVENUE!O15</f>
        <v>163.003745662391</v>
      </c>
      <c r="P20" s="34" t="n">
        <f aca="false">17A_STRUCTURES!$C$14*23_GUARANTEES!$C$6/12*16_REVENUE!P15</f>
        <v>165.203020575639</v>
      </c>
      <c r="Q20" s="34" t="n">
        <f aca="false">17A_STRUCTURES!$C$14*23_GUARANTEES!$C$6/12*16_REVENUE!Q15</f>
        <v>167.446280987152</v>
      </c>
      <c r="R20" s="34" t="n">
        <f aca="false">17A_STRUCTURES!$C$14*23_GUARANTEES!$C$6/12*16_REVENUE!R15</f>
        <v>169.734406606895</v>
      </c>
      <c r="S20" s="34" t="n">
        <f aca="false">17A_STRUCTURES!$C$14*23_GUARANTEES!$C$6/12*16_REVENUE!S15</f>
        <v>172.068294739033</v>
      </c>
      <c r="T20" s="34" t="n">
        <f aca="false">17A_STRUCTURES!$C$14*23_GUARANTEES!$C$6/12*16_REVENUE!T15</f>
        <v>174.448860633814</v>
      </c>
      <c r="U20" s="34" t="n">
        <f aca="false">17A_STRUCTURES!$C$14*23_GUARANTEES!$C$6/12*16_REVENUE!U15</f>
        <v>176.87703784649</v>
      </c>
      <c r="V20" s="34" t="n">
        <f aca="false">17A_STRUCTURES!$C$14*23_GUARANTEES!$C$6/12*16_REVENUE!V15</f>
        <v>179.35377860342</v>
      </c>
      <c r="W20" s="34" t="n">
        <f aca="false">17A_STRUCTURES!$C$14*23_GUARANTEES!$C$6/12*16_REVENUE!W15</f>
        <v>181.880054175488</v>
      </c>
      <c r="X20" s="34" t="n">
        <f aca="false">17A_STRUCTURES!$C$14*23_GUARANTEES!$C$6/12*16_REVENUE!X15</f>
        <v>184.456855258998</v>
      </c>
      <c r="Y20" s="34" t="n">
        <f aca="false">17A_STRUCTURES!$C$14*23_GUARANTEES!$C$6/12*16_REVENUE!Y15</f>
        <v>187.085192364178</v>
      </c>
      <c r="Z20" s="34" t="n">
        <f aca="false">17A_STRUCTURES!$C$14*23_GUARANTEES!$C$6/12*16_REVENUE!Z15</f>
        <v>189.766096211461</v>
      </c>
      <c r="AA20" s="34" t="n">
        <f aca="false">17A_STRUCTURES!$C$14*23_GUARANTEES!$C$6/12*16_REVENUE!AA15</f>
        <v>192.50061813569</v>
      </c>
      <c r="AB20" s="34" t="n">
        <f aca="false">17A_STRUCTURES!$C$14*23_GUARANTEES!$C$6/12*16_REVENUE!AB15</f>
        <v>195.289830498404</v>
      </c>
      <c r="AC20" s="34" t="n">
        <f aca="false">17A_STRUCTURES!$C$14*23_GUARANTEES!$C$6/12*16_REVENUE!AC15</f>
        <v>198.134827108372</v>
      </c>
      <c r="AD20" s="34" t="n">
        <f aca="false">17A_STRUCTURES!$C$14*23_GUARANTEES!$C$6/12*16_REVENUE!AD15</f>
        <v>201.03672365054</v>
      </c>
      <c r="AE20" s="34" t="n">
        <f aca="false">17A_STRUCTURES!$C$14*23_GUARANTEES!$C$6/12*16_REVENUE!AE15</f>
        <v>203.996658123551</v>
      </c>
      <c r="AF20" s="34" t="n">
        <f aca="false">17A_STRUCTURES!$C$14*23_GUARANTEES!$C$6/12*16_REVENUE!AF15</f>
        <v>207.015791286022</v>
      </c>
      <c r="AG20" s="34" t="n">
        <f aca="false">17A_STRUCTURES!$C$14*23_GUARANTEES!$C$6/12*16_REVENUE!AG15</f>
        <v>210.095307111742</v>
      </c>
      <c r="AH20" s="34" t="n">
        <f aca="false">17A_STRUCTURES!$C$14*23_GUARANTEES!$C$6/12*16_REVENUE!AH15</f>
        <v>213.236413253977</v>
      </c>
      <c r="AI20" s="34" t="n">
        <f aca="false">17A_STRUCTURES!$C$14*23_GUARANTEES!$C$6/12*16_REVENUE!AI15</f>
        <v>216.440341519056</v>
      </c>
      <c r="AJ20" s="34" t="n">
        <f aca="false">17A_STRUCTURES!$C$14*23_GUARANTEES!$C$6/12*16_REVENUE!AJ15</f>
        <v>219.708348349438</v>
      </c>
      <c r="AK20" s="34" t="n">
        <f aca="false">17A_STRUCTURES!$C$14*23_GUARANTEES!$C$6/12*16_REVENUE!AK15</f>
        <v>223.041715316426</v>
      </c>
      <c r="AL20" s="34" t="n">
        <f aca="false">17A_STRUCTURES!$C$14*23_GUARANTEES!$C$6/12*16_REVENUE!AL15</f>
        <v>226.441749622755</v>
      </c>
      <c r="AM20" s="34" t="n">
        <f aca="false">17A_STRUCTURES!$C$14*23_GUARANTEES!$C$6/12*16_REVENUE!AM15</f>
        <v>229.90978461521</v>
      </c>
      <c r="AN20" s="34" t="n">
        <f aca="false">17A_STRUCTURES!$C$14*23_GUARANTEES!$C$6/12*16_REVENUE!AN15</f>
        <v>0</v>
      </c>
      <c r="AO20" s="34" t="n">
        <f aca="false">17A_STRUCTURES!$C$14*23_GUARANTEES!$C$6/12*16_REVENUE!AO15</f>
        <v>0</v>
      </c>
      <c r="AP20" s="34" t="n">
        <f aca="false">17A_STRUCTURES!$C$14*23_GUARANTEES!$C$6/12*16_REVENUE!AP15</f>
        <v>0</v>
      </c>
      <c r="AQ20" s="34" t="n">
        <f aca="false">17A_STRUCTURES!$C$14*23_GUARANTEES!$C$6/12*16_REVENUE!AQ15</f>
        <v>0</v>
      </c>
      <c r="AR20" s="34" t="n">
        <f aca="false">17A_STRUCTURES!$C$14*23_GUARANTEES!$C$6/12*16_REVENUE!AR15</f>
        <v>0</v>
      </c>
    </row>
    <row r="21" customFormat="false" ht="15" hidden="false" customHeight="false" outlineLevel="0" collapsed="false">
      <c r="A21" s="8" t="s">
        <v>575</v>
      </c>
      <c r="B21" s="8" t="s">
        <v>84</v>
      </c>
      <c r="C21" s="34" t="n">
        <f aca="false">SUM(16_REVENUE!$E$21:$AR$21)</f>
        <v>0</v>
      </c>
      <c r="E21" s="34" t="n">
        <f aca="false">06_CONSTRUCTION!E14*MIN(16_REVENUE!D23,MAX(0,12_UTILITY!E41-12_UTILITY!E42))</f>
        <v>0</v>
      </c>
      <c r="F21" s="34" t="n">
        <f aca="false">06_CONSTRUCTION!F14*MIN(16_REVENUE!E23,MAX(0,12_UTILITY!F41-12_UTILITY!F42))</f>
        <v>0</v>
      </c>
      <c r="G21" s="34" t="n">
        <f aca="false">06_CONSTRUCTION!G14*MIN(16_REVENUE!F23,MAX(0,12_UTILITY!G41-12_UTILITY!G42))</f>
        <v>0</v>
      </c>
      <c r="H21" s="34" t="n">
        <f aca="false">06_CONSTRUCTION!H14*MIN(16_REVENUE!G23,MAX(0,12_UTILITY!H41-12_UTILITY!H42))</f>
        <v>0</v>
      </c>
      <c r="I21" s="34" t="n">
        <f aca="false">06_CONSTRUCTION!I14*MIN(16_REVENUE!H23,MAX(0,12_UTILITY!I41-12_UTILITY!I42))</f>
        <v>0</v>
      </c>
      <c r="J21" s="34" t="n">
        <f aca="false">06_CONSTRUCTION!J14*MIN(16_REVENUE!I23,MAX(0,12_UTILITY!J41-12_UTILITY!J42))</f>
        <v>0</v>
      </c>
      <c r="K21" s="34" t="n">
        <f aca="false">06_CONSTRUCTION!K14*MIN(16_REVENUE!J23,MAX(0,12_UTILITY!K41-12_UTILITY!K42))</f>
        <v>0</v>
      </c>
      <c r="L21" s="34" t="n">
        <f aca="false">06_CONSTRUCTION!L14*MIN(16_REVENUE!K23,MAX(0,12_UTILITY!L41-12_UTILITY!L42))</f>
        <v>0</v>
      </c>
      <c r="M21" s="34" t="n">
        <f aca="false">06_CONSTRUCTION!M14*MIN(16_REVENUE!L23,MAX(0,12_UTILITY!M41-12_UTILITY!M42))</f>
        <v>0</v>
      </c>
      <c r="N21" s="34" t="n">
        <f aca="false">06_CONSTRUCTION!N14*MIN(16_REVENUE!M23,MAX(0,12_UTILITY!N41-12_UTILITY!N42))</f>
        <v>0</v>
      </c>
      <c r="O21" s="34" t="n">
        <f aca="false">06_CONSTRUCTION!O14*MIN(16_REVENUE!N23,MAX(0,12_UTILITY!O41-12_UTILITY!O42))</f>
        <v>0</v>
      </c>
      <c r="P21" s="34" t="n">
        <f aca="false">06_CONSTRUCTION!P14*MIN(16_REVENUE!O23,MAX(0,12_UTILITY!P41-12_UTILITY!P42))</f>
        <v>0</v>
      </c>
      <c r="Q21" s="34" t="n">
        <f aca="false">06_CONSTRUCTION!Q14*MIN(16_REVENUE!P23,MAX(0,12_UTILITY!Q41-12_UTILITY!Q42))</f>
        <v>0</v>
      </c>
      <c r="R21" s="34" t="n">
        <f aca="false">06_CONSTRUCTION!R14*MIN(16_REVENUE!Q23,MAX(0,12_UTILITY!R41-12_UTILITY!R42))</f>
        <v>0</v>
      </c>
      <c r="S21" s="34" t="n">
        <f aca="false">06_CONSTRUCTION!S14*MIN(16_REVENUE!R23,MAX(0,12_UTILITY!S41-12_UTILITY!S42))</f>
        <v>0</v>
      </c>
      <c r="T21" s="34" t="n">
        <f aca="false">06_CONSTRUCTION!T14*MIN(16_REVENUE!S23,MAX(0,12_UTILITY!T41-12_UTILITY!T42))</f>
        <v>0</v>
      </c>
      <c r="U21" s="34" t="n">
        <f aca="false">06_CONSTRUCTION!U14*MIN(16_REVENUE!T23,MAX(0,12_UTILITY!U41-12_UTILITY!U42))</f>
        <v>0</v>
      </c>
      <c r="V21" s="34" t="n">
        <f aca="false">06_CONSTRUCTION!V14*MIN(16_REVENUE!U23,MAX(0,12_UTILITY!V41-12_UTILITY!V42))</f>
        <v>0</v>
      </c>
      <c r="W21" s="34" t="n">
        <f aca="false">06_CONSTRUCTION!W14*MIN(16_REVENUE!V23,MAX(0,12_UTILITY!W41-12_UTILITY!W42))</f>
        <v>0</v>
      </c>
      <c r="X21" s="34" t="n">
        <f aca="false">06_CONSTRUCTION!X14*MIN(16_REVENUE!W23,MAX(0,12_UTILITY!X41-12_UTILITY!X42))</f>
        <v>0</v>
      </c>
      <c r="Y21" s="34" t="n">
        <f aca="false">06_CONSTRUCTION!Y14*MIN(16_REVENUE!X23,MAX(0,12_UTILITY!Y41-12_UTILITY!Y42))</f>
        <v>0</v>
      </c>
      <c r="Z21" s="34" t="n">
        <f aca="false">06_CONSTRUCTION!Z14*MIN(16_REVENUE!Y23,MAX(0,12_UTILITY!Z41-12_UTILITY!Z42))</f>
        <v>0</v>
      </c>
      <c r="AA21" s="34" t="n">
        <f aca="false">06_CONSTRUCTION!AA14*MIN(16_REVENUE!Z23,MAX(0,12_UTILITY!AA41-12_UTILITY!AA42))</f>
        <v>0</v>
      </c>
      <c r="AB21" s="34" t="n">
        <f aca="false">06_CONSTRUCTION!AB14*MIN(16_REVENUE!AA23,MAX(0,12_UTILITY!AB41-12_UTILITY!AB42))</f>
        <v>0</v>
      </c>
      <c r="AC21" s="34" t="n">
        <f aca="false">06_CONSTRUCTION!AC14*MIN(16_REVENUE!AB23,MAX(0,12_UTILITY!AC41-12_UTILITY!AC42))</f>
        <v>0</v>
      </c>
      <c r="AD21" s="34" t="n">
        <f aca="false">06_CONSTRUCTION!AD14*MIN(16_REVENUE!AC23,MAX(0,12_UTILITY!AD41-12_UTILITY!AD42))</f>
        <v>0</v>
      </c>
      <c r="AE21" s="34" t="n">
        <f aca="false">06_CONSTRUCTION!AE14*MIN(16_REVENUE!AD23,MAX(0,12_UTILITY!AE41-12_UTILITY!AE42))</f>
        <v>0</v>
      </c>
      <c r="AF21" s="34" t="n">
        <f aca="false">06_CONSTRUCTION!AF14*MIN(16_REVENUE!AE23,MAX(0,12_UTILITY!AF41-12_UTILITY!AF42))</f>
        <v>0</v>
      </c>
      <c r="AG21" s="34" t="n">
        <f aca="false">06_CONSTRUCTION!AG14*MIN(16_REVENUE!AF23,MAX(0,12_UTILITY!AG41-12_UTILITY!AG42))</f>
        <v>0</v>
      </c>
      <c r="AH21" s="34" t="n">
        <f aca="false">06_CONSTRUCTION!AH14*MIN(16_REVENUE!AG23,MAX(0,12_UTILITY!AH41-12_UTILITY!AH42))</f>
        <v>0</v>
      </c>
      <c r="AI21" s="34" t="n">
        <f aca="false">06_CONSTRUCTION!AI14*MIN(16_REVENUE!AH23,MAX(0,12_UTILITY!AI41-12_UTILITY!AI42))</f>
        <v>0</v>
      </c>
      <c r="AJ21" s="34" t="n">
        <f aca="false">06_CONSTRUCTION!AJ14*MIN(16_REVENUE!AI23,MAX(0,12_UTILITY!AJ41-12_UTILITY!AJ42))</f>
        <v>0</v>
      </c>
      <c r="AK21" s="34" t="n">
        <f aca="false">06_CONSTRUCTION!AK14*MIN(16_REVENUE!AJ23,MAX(0,12_UTILITY!AK41-12_UTILITY!AK42))</f>
        <v>0</v>
      </c>
      <c r="AL21" s="34" t="n">
        <f aca="false">06_CONSTRUCTION!AL14*MIN(16_REVENUE!AK23,MAX(0,12_UTILITY!AL41-12_UTILITY!AL42))</f>
        <v>0</v>
      </c>
      <c r="AM21" s="34" t="n">
        <f aca="false">06_CONSTRUCTION!AM14*MIN(16_REVENUE!AL23,MAX(0,12_UTILITY!AM41-12_UTILITY!AM42))</f>
        <v>0</v>
      </c>
      <c r="AN21" s="34" t="n">
        <f aca="false">06_CONSTRUCTION!AN14*MIN(16_REVENUE!AM23,MAX(0,12_UTILITY!AN41-12_UTILITY!AN42))</f>
        <v>0</v>
      </c>
      <c r="AO21" s="34" t="n">
        <f aca="false">06_CONSTRUCTION!AO14*MIN(16_REVENUE!AN23,MAX(0,12_UTILITY!AO41-12_UTILITY!AO42))</f>
        <v>0</v>
      </c>
      <c r="AP21" s="34" t="n">
        <f aca="false">06_CONSTRUCTION!AP14*MIN(16_REVENUE!AO23,MAX(0,12_UTILITY!AP41-12_UTILITY!AP42))</f>
        <v>0</v>
      </c>
      <c r="AQ21" s="34" t="n">
        <f aca="false">06_CONSTRUCTION!AQ14*MIN(16_REVENUE!AP23,MAX(0,12_UTILITY!AQ41-12_UTILITY!AQ42))</f>
        <v>0</v>
      </c>
      <c r="AR21" s="34" t="n">
        <f aca="false">06_CONSTRUCTION!AR14*MIN(16_REVENUE!AQ23,MAX(0,12_UTILITY!AR41-12_UTILITY!AR42))</f>
        <v>0</v>
      </c>
    </row>
    <row r="22" customFormat="false" ht="15" hidden="false" customHeight="false" outlineLevel="0" collapsed="false">
      <c r="A22" s="8" t="s">
        <v>576</v>
      </c>
      <c r="B22" s="8" t="s">
        <v>84</v>
      </c>
      <c r="C22" s="34" t="n">
        <f aca="false">SUM(16_REVENUE!$E$22:$AR$22)</f>
        <v>0</v>
      </c>
      <c r="E22" s="34" t="n">
        <f aca="false">MIN(12_UTILITY!E43-16_REVENUE!E19,MAX(0,16_REVENUE!E20-16_REVENUE!D23+16_REVENUE!E21))</f>
        <v>0</v>
      </c>
      <c r="F22" s="34" t="n">
        <f aca="false">MIN(12_UTILITY!F43-16_REVENUE!F19,MAX(0,16_REVENUE!F20-16_REVENUE!E23+16_REVENUE!F21))</f>
        <v>0</v>
      </c>
      <c r="G22" s="34" t="n">
        <f aca="false">MIN(12_UTILITY!G43-16_REVENUE!G19,MAX(0,16_REVENUE!G20-16_REVENUE!F23+16_REVENUE!G21))</f>
        <v>0</v>
      </c>
      <c r="H22" s="34" t="n">
        <f aca="false">MIN(12_UTILITY!H43-16_REVENUE!H19,MAX(0,16_REVENUE!H20-16_REVENUE!G23+16_REVENUE!H21))</f>
        <v>0</v>
      </c>
      <c r="I22" s="34" t="n">
        <f aca="false">MIN(12_UTILITY!I43-16_REVENUE!I19,MAX(0,16_REVENUE!I20-16_REVENUE!H23+16_REVENUE!I21))</f>
        <v>0</v>
      </c>
      <c r="J22" s="34" t="n">
        <f aca="false">MIN(12_UTILITY!J43-16_REVENUE!J19,MAX(0,16_REVENUE!J20-16_REVENUE!I23+16_REVENUE!J21))</f>
        <v>0</v>
      </c>
      <c r="K22" s="34" t="n">
        <f aca="false">MIN(12_UTILITY!K43-16_REVENUE!K19,MAX(0,16_REVENUE!K20-16_REVENUE!J23+16_REVENUE!K21))</f>
        <v>0</v>
      </c>
      <c r="L22" s="34" t="n">
        <f aca="false">MIN(12_UTILITY!L43-16_REVENUE!L19,MAX(0,16_REVENUE!L20-16_REVENUE!K23+16_REVENUE!L21))</f>
        <v>0</v>
      </c>
      <c r="M22" s="34" t="n">
        <f aca="false">MIN(12_UTILITY!M43-16_REVENUE!M19,MAX(0,16_REVENUE!M20-16_REVENUE!L23+16_REVENUE!M21))</f>
        <v>0</v>
      </c>
      <c r="N22" s="34" t="n">
        <f aca="false">MIN(12_UTILITY!N43-16_REVENUE!N19,MAX(0,16_REVENUE!N20-16_REVENUE!M23+16_REVENUE!N21))</f>
        <v>0</v>
      </c>
      <c r="O22" s="34" t="n">
        <f aca="false">MIN(12_UTILITY!O43-16_REVENUE!O19,MAX(0,16_REVENUE!O20-16_REVENUE!N23+16_REVENUE!O21))</f>
        <v>0</v>
      </c>
      <c r="P22" s="34" t="n">
        <f aca="false">MIN(12_UTILITY!P43-16_REVENUE!P19,MAX(0,16_REVENUE!P20-16_REVENUE!O23+16_REVENUE!P21))</f>
        <v>0</v>
      </c>
      <c r="Q22" s="34" t="n">
        <f aca="false">MIN(12_UTILITY!Q43-16_REVENUE!Q19,MAX(0,16_REVENUE!Q20-16_REVENUE!P23+16_REVENUE!Q21))</f>
        <v>0</v>
      </c>
      <c r="R22" s="34" t="n">
        <f aca="false">MIN(12_UTILITY!R43-16_REVENUE!R19,MAX(0,16_REVENUE!R20-16_REVENUE!Q23+16_REVENUE!R21))</f>
        <v>0</v>
      </c>
      <c r="S22" s="34" t="n">
        <f aca="false">MIN(12_UTILITY!S43-16_REVENUE!S19,MAX(0,16_REVENUE!S20-16_REVENUE!R23+16_REVENUE!S21))</f>
        <v>0</v>
      </c>
      <c r="T22" s="34" t="n">
        <f aca="false">MIN(12_UTILITY!T43-16_REVENUE!T19,MAX(0,16_REVENUE!T20-16_REVENUE!S23+16_REVENUE!T21))</f>
        <v>0</v>
      </c>
      <c r="U22" s="34" t="n">
        <f aca="false">MIN(12_UTILITY!U43-16_REVENUE!U19,MAX(0,16_REVENUE!U20-16_REVENUE!T23+16_REVENUE!U21))</f>
        <v>0</v>
      </c>
      <c r="V22" s="34" t="n">
        <f aca="false">MIN(12_UTILITY!V43-16_REVENUE!V19,MAX(0,16_REVENUE!V20-16_REVENUE!U23+16_REVENUE!V21))</f>
        <v>0</v>
      </c>
      <c r="W22" s="34" t="n">
        <f aca="false">MIN(12_UTILITY!W43-16_REVENUE!W19,MAX(0,16_REVENUE!W20-16_REVENUE!V23+16_REVENUE!W21))</f>
        <v>0</v>
      </c>
      <c r="X22" s="34" t="n">
        <f aca="false">MIN(12_UTILITY!X43-16_REVENUE!X19,MAX(0,16_REVENUE!X20-16_REVENUE!W23+16_REVENUE!X21))</f>
        <v>0</v>
      </c>
      <c r="Y22" s="34" t="n">
        <f aca="false">MIN(12_UTILITY!Y43-16_REVENUE!Y19,MAX(0,16_REVENUE!Y20-16_REVENUE!X23+16_REVENUE!Y21))</f>
        <v>0</v>
      </c>
      <c r="Z22" s="34" t="n">
        <f aca="false">MIN(12_UTILITY!Z43-16_REVENUE!Z19,MAX(0,16_REVENUE!Z20-16_REVENUE!Y23+16_REVENUE!Z21))</f>
        <v>0</v>
      </c>
      <c r="AA22" s="34" t="n">
        <f aca="false">MIN(12_UTILITY!AA43-16_REVENUE!AA19,MAX(0,16_REVENUE!AA20-16_REVENUE!Z23+16_REVENUE!AA21))</f>
        <v>0</v>
      </c>
      <c r="AB22" s="34" t="n">
        <f aca="false">MIN(12_UTILITY!AB43-16_REVENUE!AB19,MAX(0,16_REVENUE!AB20-16_REVENUE!AA23+16_REVENUE!AB21))</f>
        <v>0</v>
      </c>
      <c r="AC22" s="34" t="n">
        <f aca="false">MIN(12_UTILITY!AC43-16_REVENUE!AC19,MAX(0,16_REVENUE!AC20-16_REVENUE!AB23+16_REVENUE!AC21))</f>
        <v>0</v>
      </c>
      <c r="AD22" s="34" t="n">
        <f aca="false">MIN(12_UTILITY!AD43-16_REVENUE!AD19,MAX(0,16_REVENUE!AD20-16_REVENUE!AC23+16_REVENUE!AD21))</f>
        <v>0</v>
      </c>
      <c r="AE22" s="34" t="n">
        <f aca="false">MIN(12_UTILITY!AE43-16_REVENUE!AE19,MAX(0,16_REVENUE!AE20-16_REVENUE!AD23+16_REVENUE!AE21))</f>
        <v>0</v>
      </c>
      <c r="AF22" s="34" t="n">
        <f aca="false">MIN(12_UTILITY!AF43-16_REVENUE!AF19,MAX(0,16_REVENUE!AF20-16_REVENUE!AE23+16_REVENUE!AF21))</f>
        <v>0</v>
      </c>
      <c r="AG22" s="34" t="n">
        <f aca="false">MIN(12_UTILITY!AG43-16_REVENUE!AG19,MAX(0,16_REVENUE!AG20-16_REVENUE!AF23+16_REVENUE!AG21))</f>
        <v>0</v>
      </c>
      <c r="AH22" s="34" t="n">
        <f aca="false">MIN(12_UTILITY!AH43-16_REVENUE!AH19,MAX(0,16_REVENUE!AH20-16_REVENUE!AG23+16_REVENUE!AH21))</f>
        <v>0</v>
      </c>
      <c r="AI22" s="34" t="n">
        <f aca="false">MIN(12_UTILITY!AI43-16_REVENUE!AI19,MAX(0,16_REVENUE!AI20-16_REVENUE!AH23+16_REVENUE!AI21))</f>
        <v>0</v>
      </c>
      <c r="AJ22" s="34" t="n">
        <f aca="false">MIN(12_UTILITY!AJ43-16_REVENUE!AJ19,MAX(0,16_REVENUE!AJ20-16_REVENUE!AI23+16_REVENUE!AJ21))</f>
        <v>0</v>
      </c>
      <c r="AK22" s="34" t="n">
        <f aca="false">MIN(12_UTILITY!AK43-16_REVENUE!AK19,MAX(0,16_REVENUE!AK20-16_REVENUE!AJ23+16_REVENUE!AK21))</f>
        <v>0</v>
      </c>
      <c r="AL22" s="34" t="n">
        <f aca="false">MIN(12_UTILITY!AL43-16_REVENUE!AL19,MAX(0,16_REVENUE!AL20-16_REVENUE!AK23+16_REVENUE!AL21))</f>
        <v>0</v>
      </c>
      <c r="AM22" s="34" t="n">
        <f aca="false">MIN(12_UTILITY!AM43-16_REVENUE!AM19,MAX(0,16_REVENUE!AM20-16_REVENUE!AL23+16_REVENUE!AM21))</f>
        <v>0</v>
      </c>
      <c r="AN22" s="34" t="n">
        <f aca="false">MIN(12_UTILITY!AN43-16_REVENUE!AN19,MAX(0,16_REVENUE!AN20-16_REVENUE!AM23+16_REVENUE!AN21))</f>
        <v>0</v>
      </c>
      <c r="AO22" s="34" t="n">
        <f aca="false">MIN(12_UTILITY!AO43-16_REVENUE!AO19,MAX(0,16_REVENUE!AO20-16_REVENUE!AN23+16_REVENUE!AO21))</f>
        <v>0</v>
      </c>
      <c r="AP22" s="34" t="n">
        <f aca="false">MIN(12_UTILITY!AP43-16_REVENUE!AP19,MAX(0,16_REVENUE!AP20-16_REVENUE!AO23+16_REVENUE!AP21))</f>
        <v>0</v>
      </c>
      <c r="AQ22" s="34" t="n">
        <f aca="false">MIN(12_UTILITY!AQ43-16_REVENUE!AQ19,MAX(0,16_REVENUE!AQ20-16_REVENUE!AP23+16_REVENUE!AQ21))</f>
        <v>0</v>
      </c>
      <c r="AR22" s="34" t="n">
        <f aca="false">MIN(12_UTILITY!AR43-16_REVENUE!AR19,MAX(0,16_REVENUE!AR20-16_REVENUE!AQ23+16_REVENUE!AR21))</f>
        <v>0</v>
      </c>
    </row>
    <row r="23" customFormat="false" ht="15" hidden="false" customHeight="false" outlineLevel="0" collapsed="false">
      <c r="A23" s="8" t="s">
        <v>577</v>
      </c>
      <c r="B23" s="8" t="s">
        <v>84</v>
      </c>
      <c r="E23" s="34" t="n">
        <f aca="false">16_REVENUE!D23+16_REVENUE!E22-16_REVENUE!E21</f>
        <v>0</v>
      </c>
      <c r="F23" s="34" t="n">
        <f aca="false">16_REVENUE!E23+16_REVENUE!F22-16_REVENUE!F21</f>
        <v>0</v>
      </c>
      <c r="G23" s="34" t="n">
        <f aca="false">16_REVENUE!F23+16_REVENUE!G22-16_REVENUE!G21</f>
        <v>0</v>
      </c>
      <c r="H23" s="34" t="n">
        <f aca="false">16_REVENUE!G23+16_REVENUE!H22-16_REVENUE!H21</f>
        <v>0</v>
      </c>
      <c r="I23" s="34" t="n">
        <f aca="false">16_REVENUE!H23+16_REVENUE!I22-16_REVENUE!I21</f>
        <v>0</v>
      </c>
      <c r="J23" s="34" t="n">
        <f aca="false">16_REVENUE!I23+16_REVENUE!J22-16_REVENUE!J21</f>
        <v>0</v>
      </c>
      <c r="K23" s="34" t="n">
        <f aca="false">16_REVENUE!J23+16_REVENUE!K22-16_REVENUE!K21</f>
        <v>0</v>
      </c>
      <c r="L23" s="34" t="n">
        <f aca="false">16_REVENUE!K23+16_REVENUE!L22-16_REVENUE!L21</f>
        <v>0</v>
      </c>
      <c r="M23" s="34" t="n">
        <f aca="false">16_REVENUE!L23+16_REVENUE!M22-16_REVENUE!M21</f>
        <v>0</v>
      </c>
      <c r="N23" s="34" t="n">
        <f aca="false">16_REVENUE!M23+16_REVENUE!N22-16_REVENUE!N21</f>
        <v>0</v>
      </c>
      <c r="O23" s="34" t="n">
        <f aca="false">16_REVENUE!N23+16_REVENUE!O22-16_REVENUE!O21</f>
        <v>0</v>
      </c>
      <c r="P23" s="34" t="n">
        <f aca="false">16_REVENUE!O23+16_REVENUE!P22-16_REVENUE!P21</f>
        <v>0</v>
      </c>
      <c r="Q23" s="34" t="n">
        <f aca="false">16_REVENUE!P23+16_REVENUE!Q22-16_REVENUE!Q21</f>
        <v>0</v>
      </c>
      <c r="R23" s="34" t="n">
        <f aca="false">16_REVENUE!Q23+16_REVENUE!R22-16_REVENUE!R21</f>
        <v>0</v>
      </c>
      <c r="S23" s="34" t="n">
        <f aca="false">16_REVENUE!R23+16_REVENUE!S22-16_REVENUE!S21</f>
        <v>0</v>
      </c>
      <c r="T23" s="34" t="n">
        <f aca="false">16_REVENUE!S23+16_REVENUE!T22-16_REVENUE!T21</f>
        <v>0</v>
      </c>
      <c r="U23" s="34" t="n">
        <f aca="false">16_REVENUE!T23+16_REVENUE!U22-16_REVENUE!U21</f>
        <v>0</v>
      </c>
      <c r="V23" s="34" t="n">
        <f aca="false">16_REVENUE!U23+16_REVENUE!V22-16_REVENUE!V21</f>
        <v>0</v>
      </c>
      <c r="W23" s="34" t="n">
        <f aca="false">16_REVENUE!V23+16_REVENUE!W22-16_REVENUE!W21</f>
        <v>0</v>
      </c>
      <c r="X23" s="34" t="n">
        <f aca="false">16_REVENUE!W23+16_REVENUE!X22-16_REVENUE!X21</f>
        <v>0</v>
      </c>
      <c r="Y23" s="34" t="n">
        <f aca="false">16_REVENUE!X23+16_REVENUE!Y22-16_REVENUE!Y21</f>
        <v>0</v>
      </c>
      <c r="Z23" s="34" t="n">
        <f aca="false">16_REVENUE!Y23+16_REVENUE!Z22-16_REVENUE!Z21</f>
        <v>0</v>
      </c>
      <c r="AA23" s="34" t="n">
        <f aca="false">16_REVENUE!Z23+16_REVENUE!AA22-16_REVENUE!AA21</f>
        <v>0</v>
      </c>
      <c r="AB23" s="34" t="n">
        <f aca="false">16_REVENUE!AA23+16_REVENUE!AB22-16_REVENUE!AB21</f>
        <v>0</v>
      </c>
      <c r="AC23" s="34" t="n">
        <f aca="false">16_REVENUE!AB23+16_REVENUE!AC22-16_REVENUE!AC21</f>
        <v>0</v>
      </c>
      <c r="AD23" s="34" t="n">
        <f aca="false">16_REVENUE!AC23+16_REVENUE!AD22-16_REVENUE!AD21</f>
        <v>0</v>
      </c>
      <c r="AE23" s="34" t="n">
        <f aca="false">16_REVENUE!AD23+16_REVENUE!AE22-16_REVENUE!AE21</f>
        <v>0</v>
      </c>
      <c r="AF23" s="34" t="n">
        <f aca="false">16_REVENUE!AE23+16_REVENUE!AF22-16_REVENUE!AF21</f>
        <v>0</v>
      </c>
      <c r="AG23" s="34" t="n">
        <f aca="false">16_REVENUE!AF23+16_REVENUE!AG22-16_REVENUE!AG21</f>
        <v>0</v>
      </c>
      <c r="AH23" s="34" t="n">
        <f aca="false">16_REVENUE!AG23+16_REVENUE!AH22-16_REVENUE!AH21</f>
        <v>0</v>
      </c>
      <c r="AI23" s="34" t="n">
        <f aca="false">16_REVENUE!AH23+16_REVENUE!AI22-16_REVENUE!AI21</f>
        <v>0</v>
      </c>
      <c r="AJ23" s="34" t="n">
        <f aca="false">16_REVENUE!AI23+16_REVENUE!AJ22-16_REVENUE!AJ21</f>
        <v>0</v>
      </c>
      <c r="AK23" s="34" t="n">
        <f aca="false">16_REVENUE!AJ23+16_REVENUE!AK22-16_REVENUE!AK21</f>
        <v>0</v>
      </c>
      <c r="AL23" s="34" t="n">
        <f aca="false">16_REVENUE!AK23+16_REVENUE!AL22-16_REVENUE!AL21</f>
        <v>0</v>
      </c>
      <c r="AM23" s="34" t="n">
        <f aca="false">16_REVENUE!AL23+16_REVENUE!AM22-16_REVENUE!AM21</f>
        <v>0</v>
      </c>
      <c r="AN23" s="34" t="n">
        <f aca="false">16_REVENUE!AM23+16_REVENUE!AN22-16_REVENUE!AN21</f>
        <v>0</v>
      </c>
      <c r="AO23" s="34" t="n">
        <f aca="false">16_REVENUE!AN23+16_REVENUE!AO22-16_REVENUE!AO21</f>
        <v>0</v>
      </c>
      <c r="AP23" s="34" t="n">
        <f aca="false">16_REVENUE!AO23+16_REVENUE!AP22-16_REVENUE!AP21</f>
        <v>0</v>
      </c>
      <c r="AQ23" s="34" t="n">
        <f aca="false">16_REVENUE!AP23+16_REVENUE!AQ22-16_REVENUE!AQ21</f>
        <v>0</v>
      </c>
      <c r="AR23" s="34" t="n">
        <f aca="false">16_REVENUE!AQ23+16_REVENUE!AR22-16_REVENUE!AR21</f>
        <v>0</v>
      </c>
    </row>
    <row r="24" customFormat="false" ht="15" hidden="false" customHeight="false" outlineLevel="0" collapsed="false">
      <c r="A24" s="4" t="s">
        <v>578</v>
      </c>
      <c r="B24" s="8" t="s">
        <v>84</v>
      </c>
      <c r="C24" s="34" t="n">
        <f aca="false">SUM(16_REVENUE!$E$24:$AR$24)</f>
        <v>0</v>
      </c>
      <c r="E24" s="50" t="n">
        <f aca="false">12_UTILITY!E43-16_REVENUE!E19-16_REVENUE!E22</f>
        <v>0</v>
      </c>
      <c r="F24" s="50" t="n">
        <f aca="false">12_UTILITY!F43-16_REVENUE!F19-16_REVENUE!F22</f>
        <v>0</v>
      </c>
      <c r="G24" s="50" t="n">
        <f aca="false">12_UTILITY!G43-16_REVENUE!G19-16_REVENUE!G22</f>
        <v>0</v>
      </c>
      <c r="H24" s="50" t="n">
        <f aca="false">12_UTILITY!H43-16_REVENUE!H19-16_REVENUE!H22</f>
        <v>0</v>
      </c>
      <c r="I24" s="50" t="n">
        <f aca="false">12_UTILITY!I43-16_REVENUE!I19-16_REVENUE!I22</f>
        <v>0</v>
      </c>
      <c r="J24" s="50" t="n">
        <f aca="false">12_UTILITY!J43-16_REVENUE!J19-16_REVENUE!J22</f>
        <v>0</v>
      </c>
      <c r="K24" s="50" t="n">
        <f aca="false">12_UTILITY!K43-16_REVENUE!K19-16_REVENUE!K22</f>
        <v>0</v>
      </c>
      <c r="L24" s="50" t="n">
        <f aca="false">12_UTILITY!L43-16_REVENUE!L19-16_REVENUE!L22</f>
        <v>0</v>
      </c>
      <c r="M24" s="50" t="n">
        <f aca="false">12_UTILITY!M43-16_REVENUE!M19-16_REVENUE!M22</f>
        <v>0</v>
      </c>
      <c r="N24" s="50" t="n">
        <f aca="false">12_UTILITY!N43-16_REVENUE!N19-16_REVENUE!N22</f>
        <v>0</v>
      </c>
      <c r="O24" s="50" t="n">
        <f aca="false">12_UTILITY!O43-16_REVENUE!O19-16_REVENUE!O22</f>
        <v>0</v>
      </c>
      <c r="P24" s="50" t="n">
        <f aca="false">12_UTILITY!P43-16_REVENUE!P19-16_REVENUE!P22</f>
        <v>0</v>
      </c>
      <c r="Q24" s="50" t="n">
        <f aca="false">12_UTILITY!Q43-16_REVENUE!Q19-16_REVENUE!Q22</f>
        <v>0</v>
      </c>
      <c r="R24" s="50" t="n">
        <f aca="false">12_UTILITY!R43-16_REVENUE!R19-16_REVENUE!R22</f>
        <v>0</v>
      </c>
      <c r="S24" s="50" t="n">
        <f aca="false">12_UTILITY!S43-16_REVENUE!S19-16_REVENUE!S22</f>
        <v>0</v>
      </c>
      <c r="T24" s="50" t="n">
        <f aca="false">12_UTILITY!T43-16_REVENUE!T19-16_REVENUE!T22</f>
        <v>0</v>
      </c>
      <c r="U24" s="50" t="n">
        <f aca="false">12_UTILITY!U43-16_REVENUE!U19-16_REVENUE!U22</f>
        <v>0</v>
      </c>
      <c r="V24" s="50" t="n">
        <f aca="false">12_UTILITY!V43-16_REVENUE!V19-16_REVENUE!V22</f>
        <v>0</v>
      </c>
      <c r="W24" s="50" t="n">
        <f aca="false">12_UTILITY!W43-16_REVENUE!W19-16_REVENUE!W22</f>
        <v>0</v>
      </c>
      <c r="X24" s="50" t="n">
        <f aca="false">12_UTILITY!X43-16_REVENUE!X19-16_REVENUE!X22</f>
        <v>0</v>
      </c>
      <c r="Y24" s="50" t="n">
        <f aca="false">12_UTILITY!Y43-16_REVENUE!Y19-16_REVENUE!Y22</f>
        <v>0</v>
      </c>
      <c r="Z24" s="50" t="n">
        <f aca="false">12_UTILITY!Z43-16_REVENUE!Z19-16_REVENUE!Z22</f>
        <v>0</v>
      </c>
      <c r="AA24" s="50" t="n">
        <f aca="false">12_UTILITY!AA43-16_REVENUE!AA19-16_REVENUE!AA22</f>
        <v>0</v>
      </c>
      <c r="AB24" s="50" t="n">
        <f aca="false">12_UTILITY!AB43-16_REVENUE!AB19-16_REVENUE!AB22</f>
        <v>0</v>
      </c>
      <c r="AC24" s="50" t="n">
        <f aca="false">12_UTILITY!AC43-16_REVENUE!AC19-16_REVENUE!AC22</f>
        <v>0</v>
      </c>
      <c r="AD24" s="50" t="n">
        <f aca="false">12_UTILITY!AD43-16_REVENUE!AD19-16_REVENUE!AD22</f>
        <v>0</v>
      </c>
      <c r="AE24" s="50" t="n">
        <f aca="false">12_UTILITY!AE43-16_REVENUE!AE19-16_REVENUE!AE22</f>
        <v>0</v>
      </c>
      <c r="AF24" s="50" t="n">
        <f aca="false">12_UTILITY!AF43-16_REVENUE!AF19-16_REVENUE!AF22</f>
        <v>0</v>
      </c>
      <c r="AG24" s="50" t="n">
        <f aca="false">12_UTILITY!AG43-16_REVENUE!AG19-16_REVENUE!AG22</f>
        <v>0</v>
      </c>
      <c r="AH24" s="50" t="n">
        <f aca="false">12_UTILITY!AH43-16_REVENUE!AH19-16_REVENUE!AH22</f>
        <v>0</v>
      </c>
      <c r="AI24" s="50" t="n">
        <f aca="false">12_UTILITY!AI43-16_REVENUE!AI19-16_REVENUE!AI22</f>
        <v>0</v>
      </c>
      <c r="AJ24" s="50" t="n">
        <f aca="false">12_UTILITY!AJ43-16_REVENUE!AJ19-16_REVENUE!AJ22</f>
        <v>0</v>
      </c>
      <c r="AK24" s="50" t="n">
        <f aca="false">12_UTILITY!AK43-16_REVENUE!AK19-16_REVENUE!AK22</f>
        <v>0</v>
      </c>
      <c r="AL24" s="50" t="n">
        <f aca="false">12_UTILITY!AL43-16_REVENUE!AL19-16_REVENUE!AL22</f>
        <v>0</v>
      </c>
      <c r="AM24" s="50" t="n">
        <f aca="false">12_UTILITY!AM43-16_REVENUE!AM19-16_REVENUE!AM22</f>
        <v>0</v>
      </c>
      <c r="AN24" s="50" t="n">
        <f aca="false">12_UTILITY!AN43-16_REVENUE!AN19-16_REVENUE!AN22</f>
        <v>0</v>
      </c>
      <c r="AO24" s="50" t="n">
        <f aca="false">12_UTILITY!AO43-16_REVENUE!AO19-16_REVENUE!AO22</f>
        <v>0</v>
      </c>
      <c r="AP24" s="50" t="n">
        <f aca="false">12_UTILITY!AP43-16_REVENUE!AP19-16_REVENUE!AP22</f>
        <v>0</v>
      </c>
      <c r="AQ24" s="50" t="n">
        <f aca="false">12_UTILITY!AQ43-16_REVENUE!AQ19-16_REVENUE!AQ22</f>
        <v>0</v>
      </c>
      <c r="AR24" s="50" t="n">
        <f aca="false">12_UTILITY!AR43-16_REVENUE!AR19-16_REVENUE!AR22</f>
        <v>0</v>
      </c>
    </row>
    <row r="25" customFormat="false" ht="15" hidden="false" customHeight="false" outlineLevel="0" collapsed="false">
      <c r="A25" s="4" t="s">
        <v>579</v>
      </c>
      <c r="B25" s="8" t="s">
        <v>84</v>
      </c>
      <c r="C25" s="34" t="n">
        <f aca="false">SUM(16_REVENUE!$E$25:$AR$25)</f>
        <v>6598.57148467961</v>
      </c>
      <c r="E25" s="50" t="n">
        <f aca="false">16_REVENUE!E14-16_REVENUE!E24</f>
        <v>0</v>
      </c>
      <c r="F25" s="50" t="n">
        <f aca="false">16_REVENUE!F14-16_REVENUE!F24</f>
        <v>0</v>
      </c>
      <c r="G25" s="50" t="n">
        <f aca="false">16_REVENUE!G14-16_REVENUE!G24</f>
        <v>0</v>
      </c>
      <c r="H25" s="50" t="n">
        <f aca="false">16_REVENUE!H14-16_REVENUE!H24</f>
        <v>0</v>
      </c>
      <c r="I25" s="50" t="n">
        <f aca="false">16_REVENUE!I14-16_REVENUE!I24</f>
        <v>0</v>
      </c>
      <c r="J25" s="50" t="n">
        <f aca="false">16_REVENUE!J14-16_REVENUE!J24</f>
        <v>152.637552410729</v>
      </c>
      <c r="K25" s="50" t="n">
        <f aca="false">16_REVENUE!K14-16_REVENUE!K24</f>
        <v>181.917062892874</v>
      </c>
      <c r="L25" s="50" t="n">
        <f aca="false">16_REVENUE!L14-16_REVENUE!L24</f>
        <v>184.307404150732</v>
      </c>
      <c r="M25" s="50" t="n">
        <f aca="false">16_REVENUE!M14-16_REVENUE!M24</f>
        <v>186.745552233746</v>
      </c>
      <c r="N25" s="50" t="n">
        <f aca="false">16_REVENUE!N14-16_REVENUE!N24</f>
        <v>189.232463278421</v>
      </c>
      <c r="O25" s="50" t="n">
        <f aca="false">16_REVENUE!O14-16_REVENUE!O24</f>
        <v>191.76911254399</v>
      </c>
      <c r="P25" s="50" t="n">
        <f aca="false">16_REVENUE!P14-16_REVENUE!P24</f>
        <v>194.35649479487</v>
      </c>
      <c r="Q25" s="50" t="n">
        <f aca="false">16_REVENUE!Q14-16_REVENUE!Q24</f>
        <v>196.995624690767</v>
      </c>
      <c r="R25" s="50" t="n">
        <f aca="false">16_REVENUE!R14-16_REVENUE!R24</f>
        <v>199.687537184582</v>
      </c>
      <c r="S25" s="50" t="n">
        <f aca="false">16_REVENUE!S14-16_REVENUE!S24</f>
        <v>202.433287928274</v>
      </c>
      <c r="T25" s="50" t="n">
        <f aca="false">16_REVENUE!T14-16_REVENUE!T24</f>
        <v>205.233953686839</v>
      </c>
      <c r="U25" s="50" t="n">
        <f aca="false">16_REVENUE!U14-16_REVENUE!U24</f>
        <v>208.090632760576</v>
      </c>
      <c r="V25" s="50" t="n">
        <f aca="false">16_REVENUE!V14-16_REVENUE!V24</f>
        <v>211.004445415788</v>
      </c>
      <c r="W25" s="50" t="n">
        <f aca="false">16_REVENUE!W14-16_REVENUE!W24</f>
        <v>213.976534324103</v>
      </c>
      <c r="X25" s="50" t="n">
        <f aca="false">16_REVENUE!X14-16_REVENUE!X24</f>
        <v>217.008065010586</v>
      </c>
      <c r="Y25" s="50" t="n">
        <f aca="false">16_REVENUE!Y14-16_REVENUE!Y24</f>
        <v>220.100226310797</v>
      </c>
      <c r="Z25" s="50" t="n">
        <f aca="false">16_REVENUE!Z14-16_REVENUE!Z24</f>
        <v>223.254230837013</v>
      </c>
      <c r="AA25" s="50" t="n">
        <f aca="false">16_REVENUE!AA14-16_REVENUE!AA24</f>
        <v>226.471315453754</v>
      </c>
      <c r="AB25" s="50" t="n">
        <f aca="false">16_REVENUE!AB14-16_REVENUE!AB24</f>
        <v>229.752741762829</v>
      </c>
      <c r="AC25" s="50" t="n">
        <f aca="false">16_REVENUE!AC14-16_REVENUE!AC24</f>
        <v>233.099796598085</v>
      </c>
      <c r="AD25" s="50" t="n">
        <f aca="false">16_REVENUE!AD14-16_REVENUE!AD24</f>
        <v>236.513792530047</v>
      </c>
      <c r="AE25" s="50" t="n">
        <f aca="false">16_REVENUE!AE14-16_REVENUE!AE24</f>
        <v>239.996068380648</v>
      </c>
      <c r="AF25" s="50" t="n">
        <f aca="false">16_REVENUE!AF14-16_REVENUE!AF24</f>
        <v>243.547989748261</v>
      </c>
      <c r="AG25" s="50" t="n">
        <f aca="false">16_REVENUE!AG14-16_REVENUE!AG24</f>
        <v>247.170949543226</v>
      </c>
      <c r="AH25" s="50" t="n">
        <f aca="false">16_REVENUE!AH14-16_REVENUE!AH24</f>
        <v>250.866368534091</v>
      </c>
      <c r="AI25" s="50" t="n">
        <f aca="false">16_REVENUE!AI14-16_REVENUE!AI24</f>
        <v>254.635695904772</v>
      </c>
      <c r="AJ25" s="50" t="n">
        <f aca="false">16_REVENUE!AJ14-16_REVENUE!AJ24</f>
        <v>258.480409822868</v>
      </c>
      <c r="AK25" s="50" t="n">
        <f aca="false">16_REVENUE!AK14-16_REVENUE!AK24</f>
        <v>262.402018019325</v>
      </c>
      <c r="AL25" s="50" t="n">
        <f aca="false">16_REVENUE!AL14-16_REVENUE!AL24</f>
        <v>266.402058379712</v>
      </c>
      <c r="AM25" s="50" t="n">
        <f aca="false">16_REVENUE!AM14-16_REVENUE!AM24</f>
        <v>270.482099547306</v>
      </c>
      <c r="AN25" s="50" t="n">
        <f aca="false">16_REVENUE!AN14-16_REVENUE!AN24</f>
        <v>0</v>
      </c>
      <c r="AO25" s="50" t="n">
        <f aca="false">16_REVENUE!AO14-16_REVENUE!AO24</f>
        <v>0</v>
      </c>
      <c r="AP25" s="50" t="n">
        <f aca="false">16_REVENUE!AP14-16_REVENUE!AP24</f>
        <v>0</v>
      </c>
      <c r="AQ25" s="50" t="n">
        <f aca="false">16_REVENUE!AQ14-16_REVENUE!AQ24</f>
        <v>0</v>
      </c>
      <c r="AR25" s="50" t="n">
        <f aca="false">16_REVENUE!AR14-16_REVENUE!AR24</f>
        <v>0</v>
      </c>
    </row>
    <row r="26" customFormat="false" ht="15" hidden="false" customHeight="false" outlineLevel="0" collapsed="false">
      <c r="A26" s="6" t="s">
        <v>580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</row>
    <row r="27" customFormat="false" ht="15" hidden="false" customHeight="false" outlineLevel="0" collapsed="false">
      <c r="A27" s="8" t="s">
        <v>581</v>
      </c>
      <c r="B27" s="8" t="s">
        <v>84</v>
      </c>
      <c r="C27" s="34" t="n">
        <f aca="false">SUM(16_REVENUE!$E$27:$AR$27)</f>
        <v>6307.03558750681</v>
      </c>
      <c r="E27" s="34" t="n">
        <f aca="false">16_REVENUE!E11+15_TARIFF!E8*IF(14_PPA!$C$11=1,04_GENERATION!E23,MIN(04_GENERATION!E23*09_GRID!E17,10_DEMAND!E33))/1000</f>
        <v>0</v>
      </c>
      <c r="F27" s="34" t="n">
        <f aca="false">16_REVENUE!F11+15_TARIFF!F8*IF(14_PPA!$C$11=1,04_GENERATION!F23,MIN(04_GENERATION!F23*09_GRID!F17,10_DEMAND!F33))/1000</f>
        <v>0</v>
      </c>
      <c r="G27" s="34" t="n">
        <f aca="false">16_REVENUE!G11+15_TARIFF!G8*IF(14_PPA!$C$11=1,04_GENERATION!G23,MIN(04_GENERATION!G23*09_GRID!G17,10_DEMAND!G33))/1000</f>
        <v>0</v>
      </c>
      <c r="H27" s="34" t="n">
        <f aca="false">16_REVENUE!H11+15_TARIFF!H8*IF(14_PPA!$C$11=1,04_GENERATION!H23,MIN(04_GENERATION!H23*09_GRID!H17,10_DEMAND!H33))/1000</f>
        <v>0</v>
      </c>
      <c r="I27" s="34" t="n">
        <f aca="false">16_REVENUE!I11+15_TARIFF!I8*IF(14_PPA!$C$11=1,04_GENERATION!I23,MIN(04_GENERATION!I23*09_GRID!I17,10_DEMAND!I33))/1000</f>
        <v>0</v>
      </c>
      <c r="J27" s="34" t="n">
        <f aca="false">16_REVENUE!J11+15_TARIFF!J8*IF(14_PPA!$C$11=1,04_GENERATION!J23,MIN(04_GENERATION!J23*09_GRID!J17,10_DEMAND!J33))/1000</f>
        <v>146.506496272732</v>
      </c>
      <c r="K27" s="34" t="n">
        <f aca="false">16_REVENUE!K11+15_TARIFF!K8*IF(14_PPA!$C$11=1,04_GENERATION!K23,MIN(04_GENERATION!K23*09_GRID!K17,10_DEMAND!K33))/1000</f>
        <v>174.559795527278</v>
      </c>
      <c r="L27" s="34" t="n">
        <f aca="false">16_REVENUE!L11+15_TARIFF!L8*IF(14_PPA!$C$11=1,04_GENERATION!L23,MIN(04_GENERATION!L23*09_GRID!L17,10_DEMAND!L33))/1000</f>
        <v>176.802991437824</v>
      </c>
      <c r="M27" s="34" t="n">
        <f aca="false">16_REVENUE!M11+15_TARIFF!M8*IF(14_PPA!$C$11=1,04_GENERATION!M23,MIN(04_GENERATION!M23*09_GRID!M17,10_DEMAND!M33))/1000</f>
        <v>179.09105126658</v>
      </c>
      <c r="N27" s="34" t="n">
        <f aca="false">16_REVENUE!N11+15_TARIFF!N8*IF(14_PPA!$C$11=1,04_GENERATION!N23,MIN(04_GENERATION!N23*09_GRID!N17,10_DEMAND!N33))/1000</f>
        <v>181.424872291912</v>
      </c>
      <c r="O27" s="34" t="n">
        <f aca="false">16_REVENUE!O11+15_TARIFF!O8*IF(14_PPA!$C$11=1,04_GENERATION!O23,MIN(04_GENERATION!O23*09_GRID!O17,10_DEMAND!O33))/1000</f>
        <v>183.80536973775</v>
      </c>
      <c r="P27" s="34" t="n">
        <f aca="false">16_REVENUE!P11+15_TARIFF!P8*IF(14_PPA!$C$11=1,04_GENERATION!P23,MIN(04_GENERATION!P23*09_GRID!P17,10_DEMAND!P33))/1000</f>
        <v>186.233477132505</v>
      </c>
      <c r="Q27" s="34" t="n">
        <f aca="false">16_REVENUE!Q11+15_TARIFF!Q8*IF(14_PPA!$C$11=1,04_GENERATION!Q23,MIN(04_GENERATION!Q23*09_GRID!Q17,10_DEMAND!Q33))/1000</f>
        <v>188.710146675155</v>
      </c>
      <c r="R27" s="34" t="n">
        <f aca="false">16_REVENUE!R11+15_TARIFF!R8*IF(14_PPA!$C$11=1,04_GENERATION!R23,MIN(04_GENERATION!R23*09_GRID!R17,10_DEMAND!R33))/1000</f>
        <v>191.236349608658</v>
      </c>
      <c r="S27" s="34" t="n">
        <f aca="false">16_REVENUE!S11+15_TARIFF!S8*IF(14_PPA!$C$11=1,04_GENERATION!S23,MIN(04_GENERATION!S23*09_GRID!S17,10_DEMAND!S33))/1000</f>
        <v>193.813076600832</v>
      </c>
      <c r="T27" s="34" t="n">
        <f aca="false">16_REVENUE!T11+15_TARIFF!T8*IF(14_PPA!$C$11=1,04_GENERATION!T23,MIN(04_GENERATION!T23*09_GRID!T17,10_DEMAND!T33))/1000</f>
        <v>196.441338132848</v>
      </c>
      <c r="U27" s="34" t="n">
        <f aca="false">16_REVENUE!U11+15_TARIFF!U8*IF(14_PPA!$C$11=1,04_GENERATION!U23,MIN(04_GENERATION!U23*09_GRID!U17,10_DEMAND!U33))/1000</f>
        <v>199.122164895505</v>
      </c>
      <c r="V27" s="34" t="n">
        <f aca="false">16_REVENUE!V11+15_TARIFF!V8*IF(14_PPA!$C$11=1,04_GENERATION!V23,MIN(04_GENERATION!V23*09_GRID!V17,10_DEMAND!V33))/1000</f>
        <v>201.856608193415</v>
      </c>
      <c r="W27" s="34" t="n">
        <f aca="false">16_REVENUE!W11+15_TARIFF!W8*IF(14_PPA!$C$11=1,04_GENERATION!W23,MIN(04_GENERATION!W23*09_GRID!W17,10_DEMAND!W33))/1000</f>
        <v>204.645740357284</v>
      </c>
      <c r="X27" s="34" t="n">
        <f aca="false">16_REVENUE!X11+15_TARIFF!X8*IF(14_PPA!$C$11=1,04_GENERATION!X23,MIN(04_GENERATION!X23*09_GRID!X17,10_DEMAND!X33))/1000</f>
        <v>207.490655164429</v>
      </c>
      <c r="Y27" s="34" t="n">
        <f aca="false">16_REVENUE!Y11+15_TARIFF!Y8*IF(14_PPA!$C$11=1,04_GENERATION!Y23,MIN(04_GENERATION!Y23*09_GRID!Y17,10_DEMAND!Y33))/1000</f>
        <v>210.392468267718</v>
      </c>
      <c r="Z27" s="34" t="n">
        <f aca="false">16_REVENUE!Z11+15_TARIFF!Z8*IF(14_PPA!$C$11=1,04_GENERATION!Z23,MIN(04_GENERATION!Z23*09_GRID!Z17,10_DEMAND!Z33))/1000</f>
        <v>213.352317633072</v>
      </c>
      <c r="AA27" s="34" t="n">
        <f aca="false">16_REVENUE!AA11+15_TARIFF!AA8*IF(14_PPA!$C$11=1,04_GENERATION!AA23,MIN(04_GENERATION!AA23*09_GRID!AA17,10_DEMAND!AA33))/1000</f>
        <v>216.371363985734</v>
      </c>
      <c r="AB27" s="34" t="n">
        <f aca="false">16_REVENUE!AB11+15_TARIFF!AB8*IF(14_PPA!$C$11=1,04_GENERATION!AB23,MIN(04_GENERATION!AB23*09_GRID!AB17,10_DEMAND!AB33))/1000</f>
        <v>219.450791265448</v>
      </c>
      <c r="AC27" s="34" t="n">
        <f aca="false">16_REVENUE!AC11+15_TARIFF!AC8*IF(14_PPA!$C$11=1,04_GENERATION!AC23,MIN(04_GENERATION!AC23*09_GRID!AC17,10_DEMAND!AC33))/1000</f>
        <v>222.591807090757</v>
      </c>
      <c r="AD27" s="34" t="n">
        <f aca="false">16_REVENUE!AD11+15_TARIFF!AD8*IF(14_PPA!$C$11=1,04_GENERATION!AD23,MIN(04_GENERATION!AD23*09_GRID!AD17,10_DEMAND!AD33))/1000</f>
        <v>225.795643232573</v>
      </c>
      <c r="AE27" s="34" t="n">
        <f aca="false">16_REVENUE!AE11+15_TARIFF!AE8*IF(14_PPA!$C$11=1,04_GENERATION!AE23,MIN(04_GENERATION!AE23*09_GRID!AE17,10_DEMAND!AE33))/1000</f>
        <v>229.063556097224</v>
      </c>
      <c r="AF27" s="34" t="n">
        <f aca="false">16_REVENUE!AF11+15_TARIFF!AF8*IF(14_PPA!$C$11=1,04_GENERATION!AF23,MIN(04_GENERATION!AF23*09_GRID!AF17,10_DEMAND!AF33))/1000</f>
        <v>232.396827219168</v>
      </c>
      <c r="AG27" s="34" t="n">
        <f aca="false">16_REVENUE!AG11+15_TARIFF!AG8*IF(14_PPA!$C$11=1,04_GENERATION!AG23,MIN(04_GENERATION!AG23*09_GRID!AG17,10_DEMAND!AG33))/1000</f>
        <v>235.796763763552</v>
      </c>
      <c r="AH27" s="34" t="n">
        <f aca="false">16_REVENUE!AH11+15_TARIFF!AH8*IF(14_PPA!$C$11=1,04_GENERATION!AH23,MIN(04_GENERATION!AH23*09_GRID!AH17,10_DEMAND!AH33))/1000</f>
        <v>239.264699038823</v>
      </c>
      <c r="AI27" s="34" t="n">
        <f aca="false">16_REVENUE!AI11+15_TARIFF!AI8*IF(14_PPA!$C$11=1,04_GENERATION!AI23,MIN(04_GENERATION!AI23*09_GRID!AI17,10_DEMAND!AI33))/1000</f>
        <v>242.801993019599</v>
      </c>
      <c r="AJ27" s="34" t="n">
        <f aca="false">16_REVENUE!AJ11+15_TARIFF!AJ8*IF(14_PPA!$C$11=1,04_GENERATION!AJ23,MIN(04_GENERATION!AJ23*09_GRID!AJ17,10_DEMAND!AJ33))/1000</f>
        <v>246.410032879991</v>
      </c>
      <c r="AK27" s="34" t="n">
        <f aca="false">16_REVENUE!AK11+15_TARIFF!AK8*IF(14_PPA!$C$11=1,04_GENERATION!AK23,MIN(04_GENERATION!AK23*09_GRID!AK17,10_DEMAND!AK33))/1000</f>
        <v>250.090233537591</v>
      </c>
      <c r="AL27" s="34" t="n">
        <f aca="false">16_REVENUE!AL11+15_TARIFF!AL8*IF(14_PPA!$C$11=1,04_GENERATION!AL23,MIN(04_GENERATION!AL23*09_GRID!AL17,10_DEMAND!AL33))/1000</f>
        <v>253.844038208343</v>
      </c>
      <c r="AM27" s="34" t="n">
        <f aca="false">16_REVENUE!AM11+15_TARIFF!AM8*IF(14_PPA!$C$11=1,04_GENERATION!AM23,MIN(04_GENERATION!AM23*09_GRID!AM17,10_DEMAND!AM33))/1000</f>
        <v>257.67291897251</v>
      </c>
      <c r="AN27" s="34" t="n">
        <f aca="false">16_REVENUE!AN11+15_TARIFF!AN8*IF(14_PPA!$C$11=1,04_GENERATION!AN23,MIN(04_GENERATION!AN23*09_GRID!AN17,10_DEMAND!AN33))/1000</f>
        <v>0</v>
      </c>
      <c r="AO27" s="34" t="n">
        <f aca="false">16_REVENUE!AO11+15_TARIFF!AO8*IF(14_PPA!$C$11=1,04_GENERATION!AO23,MIN(04_GENERATION!AO23*09_GRID!AO17,10_DEMAND!AO33))/1000</f>
        <v>0</v>
      </c>
      <c r="AP27" s="34" t="n">
        <f aca="false">16_REVENUE!AP11+15_TARIFF!AP8*IF(14_PPA!$C$11=1,04_GENERATION!AP23,MIN(04_GENERATION!AP23*09_GRID!AP17,10_DEMAND!AP33))/1000</f>
        <v>0</v>
      </c>
      <c r="AQ27" s="34" t="n">
        <f aca="false">16_REVENUE!AQ11+15_TARIFF!AQ8*IF(14_PPA!$C$11=1,04_GENERATION!AQ23,MIN(04_GENERATION!AQ23*09_GRID!AQ17,10_DEMAND!AQ33))/1000</f>
        <v>0</v>
      </c>
      <c r="AR27" s="34" t="n">
        <f aca="false">16_REVENUE!AR11+15_TARIFF!AR8*IF(14_PPA!$C$11=1,04_GENERATION!AR23,MIN(04_GENERATION!AR23*09_GRID!AR17,10_DEMAND!AR33))/1000</f>
        <v>0</v>
      </c>
    </row>
    <row r="28" customFormat="false" ht="15" hidden="false" customHeight="false" outlineLevel="0" collapsed="false">
      <c r="A28" s="6" t="s">
        <v>582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</row>
    <row r="29" customFormat="false" ht="15" hidden="false" customHeight="false" outlineLevel="0" collapsed="false">
      <c r="A29" s="4" t="s">
        <v>583</v>
      </c>
      <c r="B29" s="8" t="s">
        <v>56</v>
      </c>
      <c r="C29" s="36" t="n">
        <f aca="false">IFERROR(16_REVENUE!$C$11/16_REVENUE!$C$14,0)</f>
        <v>0.712718032223206</v>
      </c>
    </row>
    <row r="30" customFormat="false" ht="15" hidden="false" customHeight="false" outlineLevel="0" collapsed="false">
      <c r="A30" s="4" t="s">
        <v>584</v>
      </c>
      <c r="B30" s="8" t="s">
        <v>585</v>
      </c>
      <c r="C30" s="36" t="n">
        <f aca="false">IFERROR((1-03_HYDROLOGY!$C$35/03_HYDROLOGY!$C$33)*SUMPRODUCT((06_CONSTRUCTION!$E$5:$AR$5=2)*16_REVENUE!$E$12:$AR$12)/SUMPRODUCT((06_CONSTRUCTION!$E$5:$AR$5=2)*16_REVENUE!$E$14:$AR$14),0)</f>
        <v>0.0404429757637877</v>
      </c>
    </row>
    <row r="31" customFormat="false" ht="15" hidden="false" customHeight="false" outlineLevel="0" collapsed="false">
      <c r="A31" s="4" t="s">
        <v>586</v>
      </c>
      <c r="B31" s="8" t="s">
        <v>56</v>
      </c>
      <c r="C31" s="36" t="n">
        <f aca="false">IFERROR(16_REVENUE!$C$15/16_REVENUE!$C$14,0)</f>
        <v>0.85</v>
      </c>
    </row>
    <row r="32" customFormat="false" ht="15" hidden="false" customHeight="false" outlineLevel="0" collapsed="false">
      <c r="A32" s="4" t="s">
        <v>587</v>
      </c>
      <c r="B32" s="8" t="s">
        <v>84</v>
      </c>
      <c r="C32" s="17" t="n">
        <f aca="false">12_UTILITY!$C$43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588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589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590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591</v>
      </c>
      <c r="B5" s="8" t="s">
        <v>84</v>
      </c>
      <c r="C5" s="62" t="n">
        <f aca="false">06_CONSTRUCTION!$C$25</f>
        <v>1110.05572917934</v>
      </c>
    </row>
    <row r="6" customFormat="false" ht="15" hidden="false" customHeight="false" outlineLevel="0" collapsed="false">
      <c r="A6" s="8" t="s">
        <v>592</v>
      </c>
      <c r="B6" s="8" t="s">
        <v>84</v>
      </c>
      <c r="C6" s="37" t="n">
        <f aca="false">SUMPRODUCT(08_TRANSMISSION!$E$33:$AR$33,06_CONSTRUCTION!$E$13:$AR$13)</f>
        <v>0</v>
      </c>
      <c r="D6" s="10" t="s">
        <v>593</v>
      </c>
    </row>
    <row r="7" customFormat="false" ht="15" hidden="false" customHeight="false" outlineLevel="0" collapsed="false">
      <c r="A7" s="4" t="s">
        <v>594</v>
      </c>
      <c r="B7" s="8" t="s">
        <v>84</v>
      </c>
      <c r="C7" s="44" t="n">
        <f aca="false">17_PROJECT_FINANCE!$C$5+17_PROJECT_FINANCE!$C$6</f>
        <v>1110.05572917934</v>
      </c>
    </row>
    <row r="8" customFormat="false" ht="15" hidden="false" customHeight="false" outlineLevel="0" collapsed="false">
      <c r="A8" s="8" t="s">
        <v>595</v>
      </c>
      <c r="B8" s="8" t="s">
        <v>84</v>
      </c>
      <c r="C8" s="62" t="n">
        <f aca="false">18_DEBT!$C$41</f>
        <v>150.306198659089</v>
      </c>
    </row>
    <row r="9" customFormat="false" ht="15" hidden="false" customHeight="false" outlineLevel="0" collapsed="false">
      <c r="A9" s="8" t="s">
        <v>596</v>
      </c>
      <c r="B9" s="8" t="s">
        <v>84</v>
      </c>
      <c r="C9" s="37" t="n">
        <f aca="false">17A_STRUCTURES!$C$26*(17_PROJECT_FINANCE!$C$15+17_PROJECT_FINANCE!$C$16)</f>
        <v>19.1933288503314</v>
      </c>
    </row>
    <row r="10" customFormat="false" ht="15" hidden="false" customHeight="false" outlineLevel="0" collapsed="false">
      <c r="A10" s="8" t="s">
        <v>597</v>
      </c>
      <c r="B10" s="8" t="s">
        <v>84</v>
      </c>
      <c r="C10" s="62" t="n">
        <f aca="false">18_DEBT!$C$44</f>
        <v>36.872090026236</v>
      </c>
    </row>
    <row r="11" customFormat="false" ht="15" hidden="false" customHeight="false" outlineLevel="0" collapsed="false">
      <c r="A11" s="4" t="s">
        <v>598</v>
      </c>
      <c r="B11" s="8" t="s">
        <v>84</v>
      </c>
      <c r="C11" s="44" t="n">
        <f aca="false">17_PROJECT_FINANCE!$C$7+17_PROJECT_FINANCE!$C$8+17_PROJECT_FINANCE!$C$9+17_PROJECT_FINANCE!$C$10</f>
        <v>1316.427346715</v>
      </c>
    </row>
    <row r="12" customFormat="false" ht="15" hidden="false" customHeight="false" outlineLevel="0" collapsed="false">
      <c r="A12" s="6" t="s">
        <v>599</v>
      </c>
      <c r="B12" s="7"/>
      <c r="C12" s="7"/>
      <c r="D12" s="7"/>
      <c r="E12" s="7"/>
      <c r="F12" s="7"/>
      <c r="G12" s="7"/>
      <c r="H12" s="7"/>
      <c r="I12" s="7"/>
      <c r="J12" s="7"/>
    </row>
    <row r="13" customFormat="false" ht="15" hidden="false" customHeight="false" outlineLevel="0" collapsed="false">
      <c r="A13" s="8" t="s">
        <v>600</v>
      </c>
      <c r="B13" s="8" t="s">
        <v>84</v>
      </c>
      <c r="C13" s="37" t="n">
        <f aca="false">IF(01_CONTROL_PANEL!$C$11=1,17A_STRUCTURES!$C$7*17_PROJECT_FINANCE!$C$7,18_DEBT!$C$8)</f>
        <v>55.502786458967</v>
      </c>
    </row>
    <row r="14" customFormat="false" ht="15" hidden="false" customHeight="false" outlineLevel="0" collapsed="false">
      <c r="A14" s="8" t="s">
        <v>601</v>
      </c>
      <c r="B14" s="8" t="s">
        <v>84</v>
      </c>
      <c r="C14" s="37" t="n">
        <f aca="false">IF(01_CONTROL_PANEL!$C$11=1,17A_STRUCTURES!$C$6*17_PROJECT_FINANCE!$C$7,18_DEBT!$C$9)</f>
        <v>111.005572917934</v>
      </c>
    </row>
    <row r="15" customFormat="false" ht="15" hidden="false" customHeight="false" outlineLevel="0" collapsed="false">
      <c r="A15" s="8" t="s">
        <v>602</v>
      </c>
      <c r="B15" s="8" t="s">
        <v>84</v>
      </c>
      <c r="C15" s="37" t="n">
        <f aca="false">IF(01_CONTROL_PANEL!$C$11=1,MIN(17A_STRUCTURES!$C$8,17A_STRUCTURES!$C$9)*17_PROJECT_FINANCE!$C$7,18_DEBT!$C$7)</f>
        <v>333.016718753802</v>
      </c>
    </row>
    <row r="16" customFormat="false" ht="15" hidden="false" customHeight="false" outlineLevel="0" collapsed="false">
      <c r="A16" s="8" t="s">
        <v>603</v>
      </c>
      <c r="B16" s="8" t="s">
        <v>84</v>
      </c>
      <c r="C16" s="37" t="n">
        <f aca="false">IF(01_CONTROL_PANEL!$C$11=1,MIN(17_PROJECT_FINANCE!$C$22,MAX(0,(17A_STRUCTURES!$C$9*(17_PROJECT_FINANCE!$C$7+17_PROJECT_FINANCE!$C$15*(18_DEBT!$C$14+17A_STRUCTURES!$C$26))-17_PROJECT_FINANCE!$C$15)/(1-17A_STRUCTURES!$C$9*(18_DEBT!$C$15+17A_STRUCTURES!$C$26)))),MIN(18_DEBT!$C$6,MAX(0,(17A_STRUCTURES!$C$9*(17_PROJECT_FINANCE!$C$7+17_PROJECT_FINANCE!$C$15*(18_DEBT!$C$14+17A_STRUCTURES!$C$26))-17_PROJECT_FINANCE!$C$15)/(1-17A_STRUCTURES!$C$9*(18_DEBT!$C$15+17A_STRUCTURES!$C$26)))))</f>
        <v>626.649723762768</v>
      </c>
    </row>
    <row r="17" customFormat="false" ht="15" hidden="false" customHeight="false" outlineLevel="0" collapsed="false">
      <c r="A17" s="8" t="s">
        <v>604</v>
      </c>
      <c r="B17" s="8" t="s">
        <v>84</v>
      </c>
      <c r="C17" s="37" t="n">
        <f aca="false">17_PROJECT_FINANCE!$C$11-17_PROJECT_FINANCE!$C$13-17_PROJECT_FINANCE!$C$14-17_PROJECT_FINANCE!$C$15-17_PROJECT_FINANCE!$C$16</f>
        <v>190.252544821525</v>
      </c>
    </row>
    <row r="18" customFormat="false" ht="15" hidden="false" customHeight="false" outlineLevel="0" collapsed="false">
      <c r="A18" s="8" t="s">
        <v>605</v>
      </c>
      <c r="B18" s="8" t="s">
        <v>84</v>
      </c>
      <c r="C18" s="37" t="n">
        <f aca="false">IF(17A_STRUCTURES!$C$11=2,17_PROJECT_FINANCE!$C$17,0)</f>
        <v>0</v>
      </c>
    </row>
    <row r="19" customFormat="false" ht="15" hidden="false" customHeight="false" outlineLevel="0" collapsed="false">
      <c r="A19" s="8" t="s">
        <v>606</v>
      </c>
      <c r="B19" s="8" t="s">
        <v>84</v>
      </c>
      <c r="C19" s="37" t="n">
        <f aca="false">IF(17A_STRUCTURES!$C$11=1,17_PROJECT_FINANCE!$C$17,0)</f>
        <v>190.252544821525</v>
      </c>
    </row>
    <row r="20" customFormat="false" ht="15" hidden="false" customHeight="false" outlineLevel="0" collapsed="false">
      <c r="A20" s="4" t="s">
        <v>607</v>
      </c>
      <c r="B20" s="8" t="s">
        <v>84</v>
      </c>
      <c r="C20" s="44" t="n">
        <f aca="false">17_PROJECT_FINANCE!$C$13+17_PROJECT_FINANCE!$C$14+17_PROJECT_FINANCE!$C$15+17_PROJECT_FINANCE!$C$16+17_PROJECT_FINANCE!$C$17</f>
        <v>1316.427346715</v>
      </c>
    </row>
    <row r="21" customFormat="false" ht="15" hidden="false" customHeight="false" outlineLevel="0" collapsed="false">
      <c r="A21" s="6" t="s">
        <v>608</v>
      </c>
      <c r="B21" s="7"/>
      <c r="C21" s="7"/>
      <c r="D21" s="7"/>
      <c r="E21" s="7"/>
      <c r="F21" s="7"/>
      <c r="G21" s="7"/>
      <c r="H21" s="7"/>
      <c r="I21" s="7"/>
      <c r="J21" s="7"/>
    </row>
    <row r="22" customFormat="false" ht="15" hidden="false" customHeight="false" outlineLevel="0" collapsed="false">
      <c r="A22" s="4" t="s">
        <v>609</v>
      </c>
      <c r="B22" s="8" t="s">
        <v>84</v>
      </c>
      <c r="C22" s="44" t="n">
        <f aca="false">SUMPRODUCT(18_DEBT!$E$23:$AR$23,18_DEBT!$E$19:$AR$19)</f>
        <v>774.570556816893</v>
      </c>
    </row>
    <row r="23" customFormat="false" ht="15" hidden="false" customHeight="false" outlineLevel="0" collapsed="false">
      <c r="A23" s="4" t="s">
        <v>610</v>
      </c>
      <c r="B23" s="8" t="s">
        <v>84</v>
      </c>
      <c r="C23" s="44" t="n">
        <f aca="false">17_PROJECT_FINANCE!$C$15+17_PROJECT_FINANCE!$C$22</f>
        <v>1107.5872755707</v>
      </c>
    </row>
    <row r="24" customFormat="false" ht="15" hidden="false" customHeight="false" outlineLevel="0" collapsed="false">
      <c r="A24" s="4" t="s">
        <v>611</v>
      </c>
      <c r="B24" s="8" t="s">
        <v>56</v>
      </c>
      <c r="C24" s="36" t="n">
        <f aca="false">(17_PROJECT_FINANCE!$C$15+17_PROJECT_FINANCE!$C$16)/17_PROJECT_FINANCE!$C$11</f>
        <v>0.728993092487265</v>
      </c>
    </row>
    <row r="25" customFormat="false" ht="15" hidden="false" customHeight="false" outlineLevel="0" collapsed="false">
      <c r="A25" s="8" t="s">
        <v>612</v>
      </c>
      <c r="B25" s="8" t="s">
        <v>84</v>
      </c>
      <c r="C25" s="37" t="n">
        <f aca="false">17A_STRUCTURES!$C$10*17_PROJECT_FINANCE!$C$7</f>
        <v>222.011145835868</v>
      </c>
    </row>
    <row r="26" customFormat="false" ht="15" hidden="false" customHeight="false" outlineLevel="0" collapsed="false">
      <c r="A26" s="4" t="s">
        <v>613</v>
      </c>
      <c r="B26" s="8" t="s">
        <v>84</v>
      </c>
      <c r="C26" s="44" t="n">
        <f aca="false">IF(17A_STRUCTURES!$C$11=1,MAX(0,17_PROJECT_FINANCE!$C$19-17_PROJECT_FINANCE!$C$25),0)</f>
        <v>0</v>
      </c>
    </row>
    <row r="27" customFormat="false" ht="15" hidden="false" customHeight="false" outlineLevel="0" collapsed="false">
      <c r="A27" s="8" t="s">
        <v>614</v>
      </c>
      <c r="B27" s="8" t="s">
        <v>84</v>
      </c>
      <c r="C27" s="37" t="n">
        <f aca="false">17_PROJECT_FINANCE!$C$18</f>
        <v>0</v>
      </c>
    </row>
    <row r="28" customFormat="false" ht="15" hidden="false" customHeight="false" outlineLevel="0" collapsed="false">
      <c r="A28" s="8" t="s">
        <v>615</v>
      </c>
      <c r="B28" s="8" t="s">
        <v>56</v>
      </c>
      <c r="C28" s="55" t="n">
        <f aca="false">17_PROJECT_FINANCE!$C$26/17_PROJECT_FINANCE!$C$11</f>
        <v>0</v>
      </c>
    </row>
    <row r="29" customFormat="false" ht="15" hidden="false" customHeight="false" outlineLevel="0" collapsed="false">
      <c r="A29" s="6" t="s">
        <v>616</v>
      </c>
      <c r="B29" s="7"/>
      <c r="C29" s="7"/>
      <c r="D29" s="7"/>
      <c r="E29" s="7"/>
      <c r="F29" s="7"/>
      <c r="G29" s="7"/>
      <c r="H29" s="7"/>
      <c r="I29" s="7"/>
      <c r="J29" s="7"/>
    </row>
    <row r="30" customFormat="false" ht="15" hidden="false" customHeight="false" outlineLevel="0" collapsed="false">
      <c r="A30" s="4" t="s">
        <v>617</v>
      </c>
      <c r="B30" s="8" t="s">
        <v>56</v>
      </c>
      <c r="C30" s="36" t="n">
        <f aca="false">IFERROR(IRR(20_CASH_FLOW!$E$44:$AR$44,0.08),"n/a")</f>
        <v>0.0971728277032352</v>
      </c>
    </row>
    <row r="31" customFormat="false" ht="15" hidden="false" customHeight="false" outlineLevel="0" collapsed="false">
      <c r="A31" s="4" t="s">
        <v>618</v>
      </c>
      <c r="B31" s="8" t="s">
        <v>84</v>
      </c>
      <c r="C31" s="44" t="n">
        <f aca="false">NPV(02_PROJECT_INPUTS!$C$23,20_CASH_FLOW!$E$44:$AR$44)</f>
        <v>-24.0701885443577</v>
      </c>
    </row>
    <row r="32" customFormat="false" ht="15" hidden="false" customHeight="false" outlineLevel="0" collapsed="false">
      <c r="A32" s="4" t="s">
        <v>619</v>
      </c>
      <c r="B32" s="8" t="s">
        <v>56</v>
      </c>
      <c r="C32" s="36" t="n">
        <f aca="false">IF(17_PROJECT_FINANCE!$C$19&gt;0,IFERROR(IRR(20_CASH_FLOW!$E$41:$AR$41,0.1),IFERROR(IRR(20_CASH_FLOW!$E$41:$AR$41,-0.1),IFERROR(IRR(20_CASH_FLOW!$E$41:$AR$41,-0.5),-1))),"n/a")</f>
        <v>0.163458350947316</v>
      </c>
    </row>
    <row r="33" customFormat="false" ht="15" hidden="false" customHeight="false" outlineLevel="0" collapsed="false">
      <c r="A33" s="4" t="s">
        <v>620</v>
      </c>
      <c r="B33" s="8" t="s">
        <v>56</v>
      </c>
      <c r="C33" s="36" t="n">
        <f aca="false">IF(17_PROJECT_FINANCE!$C$14+17_PROJECT_FINANCE!$C$18&gt;0,IFERROR(IRR(20_CASH_FLOW!$E$40:$AR$40,0.05),"n/a"),"n/a")</f>
        <v>0.163458350947316</v>
      </c>
    </row>
    <row r="34" customFormat="false" ht="15" hidden="false" customHeight="false" outlineLevel="0" collapsed="false">
      <c r="A34" s="4" t="s">
        <v>621</v>
      </c>
      <c r="B34" s="8" t="s">
        <v>311</v>
      </c>
      <c r="C34" s="63" t="n">
        <f aca="false">NPV(02_PROJECT_INPUTS!$C$23,20_CASH_FLOW!$E$45:$AR$45)/NPV(02_PROJECT_INPUTS!$C$23,20_CASH_FLOW!$E$46:$AR$46)*1000</f>
        <v>110.61740697128</v>
      </c>
    </row>
    <row r="35" customFormat="false" ht="15" hidden="false" customHeight="false" outlineLevel="0" collapsed="false">
      <c r="A35" s="4" t="s">
        <v>622</v>
      </c>
      <c r="B35" s="8" t="s">
        <v>311</v>
      </c>
      <c r="C35" s="63" t="n">
        <f aca="false">NPV(02_PROJECT_INPUTS!$C$23,20_CASH_FLOW!$E$47:$AR$47)/NPV(02_PROJECT_INPUTS!$C$23,20_CASH_FLOW!$E$48:$AR$48)*1000</f>
        <v>133.851004329566</v>
      </c>
    </row>
    <row r="36" customFormat="false" ht="15" hidden="false" customHeight="false" outlineLevel="0" collapsed="false">
      <c r="A36" s="4" t="s">
        <v>81</v>
      </c>
      <c r="B36" s="8" t="s">
        <v>82</v>
      </c>
      <c r="C36" s="64" t="n">
        <f aca="false">IF(COUNT(20_CASH_FLOW!$E$21:$AR$21)=0,99,MIN(20_CASH_FLOW!$E$21:$AR$21))</f>
        <v>1.64011829786849</v>
      </c>
    </row>
    <row r="37" customFormat="false" ht="15" hidden="false" customHeight="false" outlineLevel="0" collapsed="false">
      <c r="A37" s="4" t="s">
        <v>623</v>
      </c>
      <c r="B37" s="8" t="s">
        <v>82</v>
      </c>
      <c r="C37" s="64" t="n">
        <f aca="false">AVERAGE(20_CASH_FLOW!$E$21:$AR$21)</f>
        <v>3.32398517818224</v>
      </c>
    </row>
    <row r="38" customFormat="false" ht="15" hidden="false" customHeight="false" outlineLevel="0" collapsed="false">
      <c r="A38" s="4" t="s">
        <v>624</v>
      </c>
      <c r="B38" s="8" t="s">
        <v>82</v>
      </c>
      <c r="C38" s="64" t="n">
        <f aca="false">IFERROR(SUMPRODUCT(20_CASH_FLOW!$E$19:$AR$19,18_DEBT!$E$22:$AR$22,18_DEBT!$E$21:$AR$21)/(17_PROJECT_FINANCE!$C$15+17_PROJECT_FINANCE!$C$16),0)</f>
        <v>1.86901350615235</v>
      </c>
    </row>
    <row r="39" customFormat="false" ht="15" hidden="false" customHeight="false" outlineLevel="0" collapsed="false">
      <c r="A39" s="4" t="s">
        <v>625</v>
      </c>
      <c r="B39" s="8" t="s">
        <v>82</v>
      </c>
      <c r="C39" s="64" t="n">
        <f aca="false">IFERROR(SUMPRODUCT(20_CASH_FLOW!$E$19:$AR$19,18_DEBT!$E$19:$AR$19)/(17_PROJECT_FINANCE!$C$15+17_PROJECT_FINANCE!$C$16),0)</f>
        <v>1.68777383132097</v>
      </c>
    </row>
    <row r="40" customFormat="false" ht="15" hidden="false" customHeight="false" outlineLevel="0" collapsed="false">
      <c r="A40" s="4" t="s">
        <v>626</v>
      </c>
      <c r="B40" s="8" t="s">
        <v>84</v>
      </c>
      <c r="C40" s="17" t="n">
        <f aca="false">20_CASH_FLOW!$C$30</f>
        <v>0</v>
      </c>
    </row>
    <row r="41" customFormat="false" ht="15" hidden="false" customHeight="false" outlineLevel="0" collapsed="false">
      <c r="A41" s="8" t="s">
        <v>627</v>
      </c>
      <c r="B41" s="8" t="s">
        <v>84</v>
      </c>
      <c r="C41" s="37" t="n">
        <f aca="false">SUMPRODUCT((06_CONSTRUCTION!$E$5:$AR$5=2)*07_OPEX!$E$20:$AR$20)</f>
        <v>28.542853710975</v>
      </c>
    </row>
    <row r="42" customFormat="false" ht="15" hidden="false" customHeight="false" outlineLevel="0" collapsed="false">
      <c r="A42" s="4" t="s">
        <v>628</v>
      </c>
      <c r="B42" s="8" t="s">
        <v>311</v>
      </c>
      <c r="C42" s="63" t="n">
        <f aca="false">IFERROR(SUMPRODUCT((06_CONSTRUCTION!$E$5:$AR$5&gt;=1)*(06_CONSTRUCTION!$E$5:$AR$5&lt;=10)*12_UTILITY!$E$41:$AR$41)/11_OFFTAKER!$C$6/SUMPRODUCT((06_CONSTRUCTION!$E$5:$AR$5&gt;=1)*(06_CONSTRUCTION!$E$5:$AR$5&lt;=10)*16_REVENUE!$E$9:$AR$9)*1000,0)</f>
        <v>294.229330277491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9" min="5" style="0" width="15"/>
  </cols>
  <sheetData>
    <row r="1" customFormat="false" ht="17.35" hidden="false" customHeight="false" outlineLevel="0" collapsed="false">
      <c r="A1" s="1" t="s">
        <v>629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630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29" t="s">
        <v>631</v>
      </c>
      <c r="B4" s="29" t="s">
        <v>632</v>
      </c>
      <c r="C4" s="29" t="s">
        <v>633</v>
      </c>
      <c r="D4" s="29"/>
      <c r="E4" s="29" t="s">
        <v>634</v>
      </c>
      <c r="F4" s="29" t="s">
        <v>635</v>
      </c>
      <c r="G4" s="29" t="s">
        <v>636</v>
      </c>
      <c r="H4" s="29" t="s">
        <v>637</v>
      </c>
      <c r="I4" s="29" t="s">
        <v>638</v>
      </c>
    </row>
    <row r="5" customFormat="false" ht="15" hidden="false" customHeight="false" outlineLevel="0" collapsed="false">
      <c r="A5" s="8" t="s">
        <v>639</v>
      </c>
      <c r="B5" s="8"/>
      <c r="C5" s="65" t="str">
        <f aca="false">INDEX(E5:I5,01_CONTROL_PANEL!$C$9)</f>
        <v>PPP (SOE + private, DFI-backed)</v>
      </c>
      <c r="E5" s="19" t="s">
        <v>640</v>
      </c>
      <c r="F5" s="19" t="s">
        <v>641</v>
      </c>
      <c r="G5" s="19" t="s">
        <v>642</v>
      </c>
      <c r="H5" s="19" t="s">
        <v>643</v>
      </c>
      <c r="I5" s="19" t="s">
        <v>644</v>
      </c>
    </row>
    <row r="6" customFormat="false" ht="15" hidden="false" customHeight="false" outlineLevel="0" collapsed="false">
      <c r="A6" s="8" t="s">
        <v>645</v>
      </c>
      <c r="B6" s="8" t="s">
        <v>646</v>
      </c>
      <c r="C6" s="66" t="n">
        <f aca="false">INDEX(E6:I6,01_CONTROL_PANEL!$C$9)</f>
        <v>0.1</v>
      </c>
      <c r="E6" s="12" t="n">
        <v>0.15</v>
      </c>
      <c r="F6" s="12" t="n">
        <v>0</v>
      </c>
      <c r="G6" s="12" t="n">
        <v>0.1</v>
      </c>
      <c r="H6" s="12" t="n">
        <v>0</v>
      </c>
      <c r="I6" s="12" t="n">
        <v>0.05</v>
      </c>
    </row>
    <row r="7" customFormat="false" ht="15" hidden="false" customHeight="false" outlineLevel="0" collapsed="false">
      <c r="A7" s="8" t="s">
        <v>600</v>
      </c>
      <c r="B7" s="8" t="s">
        <v>646</v>
      </c>
      <c r="C7" s="66" t="n">
        <f aca="false">INDEX(E7:I7,01_CONTROL_PANEL!$C$9)</f>
        <v>0.05</v>
      </c>
      <c r="E7" s="12" t="n">
        <v>0</v>
      </c>
      <c r="F7" s="12" t="n">
        <v>0</v>
      </c>
      <c r="G7" s="12" t="n">
        <v>0.05</v>
      </c>
      <c r="H7" s="12" t="n">
        <v>0.35</v>
      </c>
      <c r="I7" s="12" t="n">
        <v>0.08</v>
      </c>
    </row>
    <row r="8" customFormat="false" ht="15" hidden="false" customHeight="false" outlineLevel="0" collapsed="false">
      <c r="A8" s="8" t="s">
        <v>647</v>
      </c>
      <c r="B8" s="8" t="s">
        <v>646</v>
      </c>
      <c r="C8" s="66" t="n">
        <f aca="false">INDEX(E8:I8,01_CONTROL_PANEL!$C$9)</f>
        <v>0.3</v>
      </c>
      <c r="E8" s="12" t="n">
        <v>0.55</v>
      </c>
      <c r="F8" s="12" t="n">
        <v>0</v>
      </c>
      <c r="G8" s="12" t="n">
        <v>0.3</v>
      </c>
      <c r="H8" s="12" t="n">
        <v>0.25</v>
      </c>
      <c r="I8" s="12" t="n">
        <v>0.35</v>
      </c>
    </row>
    <row r="9" customFormat="false" ht="15" hidden="false" customHeight="false" outlineLevel="0" collapsed="false">
      <c r="A9" s="8" t="s">
        <v>648</v>
      </c>
      <c r="B9" s="8" t="s">
        <v>646</v>
      </c>
      <c r="C9" s="66" t="n">
        <f aca="false">INDEX(E9:I9,01_CONTROL_PANEL!$C$9)</f>
        <v>0.75</v>
      </c>
      <c r="E9" s="12" t="n">
        <v>0.85</v>
      </c>
      <c r="F9" s="12" t="n">
        <v>0.7</v>
      </c>
      <c r="G9" s="12" t="n">
        <v>0.75</v>
      </c>
      <c r="H9" s="12" t="n">
        <v>0.55</v>
      </c>
      <c r="I9" s="12" t="n">
        <v>0.72</v>
      </c>
    </row>
    <row r="10" customFormat="false" ht="15" hidden="false" customHeight="false" outlineLevel="0" collapsed="false">
      <c r="A10" s="8" t="s">
        <v>649</v>
      </c>
      <c r="B10" s="8" t="s">
        <v>646</v>
      </c>
      <c r="C10" s="66" t="n">
        <f aca="false">INDEX(E10:I10,01_CONTROL_PANEL!$C$9)</f>
        <v>0.2</v>
      </c>
      <c r="E10" s="12" t="n">
        <v>0</v>
      </c>
      <c r="F10" s="12" t="n">
        <v>0.35</v>
      </c>
      <c r="G10" s="12" t="n">
        <v>0.2</v>
      </c>
      <c r="H10" s="12" t="n">
        <v>0.25</v>
      </c>
      <c r="I10" s="12" t="n">
        <v>0.25</v>
      </c>
    </row>
    <row r="11" customFormat="false" ht="15" hidden="false" customHeight="false" outlineLevel="0" collapsed="false">
      <c r="A11" s="8" t="s">
        <v>650</v>
      </c>
      <c r="B11" s="8" t="s">
        <v>50</v>
      </c>
      <c r="C11" s="67" t="n">
        <f aca="false">INDEX(E11:I11,01_CONTROL_PANEL!$C$9)</f>
        <v>1</v>
      </c>
      <c r="E11" s="23" t="n">
        <v>2</v>
      </c>
      <c r="F11" s="23" t="n">
        <v>1</v>
      </c>
      <c r="G11" s="23" t="n">
        <v>1</v>
      </c>
      <c r="H11" s="23" t="n">
        <v>1</v>
      </c>
      <c r="I11" s="23" t="n">
        <v>1</v>
      </c>
    </row>
    <row r="12" customFormat="false" ht="15" hidden="false" customHeight="false" outlineLevel="0" collapsed="false">
      <c r="A12" s="8" t="s">
        <v>651</v>
      </c>
      <c r="B12" s="8" t="s">
        <v>56</v>
      </c>
      <c r="C12" s="66" t="n">
        <f aca="false">INDEX(E12:I12,01_CONTROL_PANEL!$C$9)</f>
        <v>0.4</v>
      </c>
      <c r="E12" s="12" t="n">
        <v>1</v>
      </c>
      <c r="F12" s="12" t="n">
        <v>0</v>
      </c>
      <c r="G12" s="12" t="n">
        <v>0.4</v>
      </c>
      <c r="H12" s="12" t="n">
        <v>0.2</v>
      </c>
      <c r="I12" s="12" t="n">
        <v>0.15</v>
      </c>
    </row>
    <row r="13" customFormat="false" ht="15" hidden="false" customHeight="false" outlineLevel="0" collapsed="false">
      <c r="A13" s="8" t="s">
        <v>652</v>
      </c>
      <c r="B13" s="8" t="s">
        <v>56</v>
      </c>
      <c r="C13" s="66" t="n">
        <f aca="false">INDEX(E13:I13,01_CONTROL_PANEL!$C$9)</f>
        <v>0</v>
      </c>
      <c r="E13" s="12" t="n">
        <v>1</v>
      </c>
      <c r="F13" s="12" t="n">
        <v>0</v>
      </c>
      <c r="G13" s="12" t="n">
        <v>0</v>
      </c>
      <c r="H13" s="12" t="n">
        <v>0</v>
      </c>
      <c r="I13" s="12" t="n">
        <v>0</v>
      </c>
    </row>
    <row r="14" customFormat="false" ht="15" hidden="false" customHeight="false" outlineLevel="0" collapsed="false">
      <c r="A14" s="8" t="s">
        <v>653</v>
      </c>
      <c r="B14" s="8" t="s">
        <v>53</v>
      </c>
      <c r="C14" s="67" t="n">
        <f aca="false">INDEX(E14:I14,01_CONTROL_PANEL!$C$9)</f>
        <v>1</v>
      </c>
      <c r="E14" s="23" t="n">
        <v>0</v>
      </c>
      <c r="F14" s="23" t="n">
        <v>1</v>
      </c>
      <c r="G14" s="23" t="n">
        <v>1</v>
      </c>
      <c r="H14" s="23" t="n">
        <v>1</v>
      </c>
      <c r="I14" s="23" t="n">
        <v>1</v>
      </c>
    </row>
    <row r="15" customFormat="false" ht="15" hidden="false" customHeight="false" outlineLevel="0" collapsed="false">
      <c r="A15" s="8" t="s">
        <v>654</v>
      </c>
      <c r="B15" s="8" t="s">
        <v>53</v>
      </c>
      <c r="C15" s="67" t="n">
        <f aca="false">INDEX(E15:I15,01_CONTROL_PANEL!$C$9)</f>
        <v>1</v>
      </c>
      <c r="E15" s="23" t="n">
        <v>0</v>
      </c>
      <c r="F15" s="23" t="n">
        <v>1</v>
      </c>
      <c r="G15" s="23" t="n">
        <v>1</v>
      </c>
      <c r="H15" s="23" t="n">
        <v>1</v>
      </c>
      <c r="I15" s="23" t="n">
        <v>1</v>
      </c>
    </row>
    <row r="16" customFormat="false" ht="15" hidden="false" customHeight="false" outlineLevel="0" collapsed="false">
      <c r="A16" s="8" t="s">
        <v>655</v>
      </c>
      <c r="B16" s="8" t="s">
        <v>656</v>
      </c>
      <c r="C16" s="66" t="n">
        <f aca="false">INDEX(E16:I16,01_CONTROL_PANEL!$C$9)</f>
        <v>1</v>
      </c>
      <c r="E16" s="12" t="n">
        <v>0</v>
      </c>
      <c r="F16" s="12" t="n">
        <v>1</v>
      </c>
      <c r="G16" s="12" t="n">
        <v>1</v>
      </c>
      <c r="H16" s="12" t="n">
        <v>1</v>
      </c>
      <c r="I16" s="12" t="n">
        <v>0.5</v>
      </c>
    </row>
    <row r="17" customFormat="false" ht="15" hidden="false" customHeight="false" outlineLevel="0" collapsed="false">
      <c r="A17" s="8" t="s">
        <v>657</v>
      </c>
      <c r="B17" s="8" t="s">
        <v>56</v>
      </c>
      <c r="C17" s="68" t="n">
        <f aca="false">INDEX(E17:I17,01_CONTROL_PANEL!$C$9)</f>
        <v>0.03</v>
      </c>
      <c r="E17" s="13" t="n">
        <v>0.02</v>
      </c>
      <c r="F17" s="13" t="n">
        <v>0.03</v>
      </c>
      <c r="G17" s="13" t="n">
        <v>0.03</v>
      </c>
      <c r="H17" s="13" t="n">
        <v>0.03</v>
      </c>
      <c r="I17" s="13" t="n">
        <v>0.025</v>
      </c>
    </row>
    <row r="18" customFormat="false" ht="15" hidden="false" customHeight="false" outlineLevel="0" collapsed="false">
      <c r="A18" s="8" t="s">
        <v>658</v>
      </c>
      <c r="B18" s="8" t="s">
        <v>109</v>
      </c>
      <c r="C18" s="67" t="n">
        <f aca="false">INDEX(E18:I18,01_CONTROL_PANEL!$C$9)</f>
        <v>5</v>
      </c>
      <c r="E18" s="23" t="n">
        <v>5</v>
      </c>
      <c r="F18" s="23" t="n">
        <v>5</v>
      </c>
      <c r="G18" s="23" t="n">
        <v>5</v>
      </c>
      <c r="H18" s="23" t="n">
        <v>5</v>
      </c>
      <c r="I18" s="23" t="n">
        <v>5</v>
      </c>
    </row>
    <row r="19" customFormat="false" ht="15" hidden="false" customHeight="false" outlineLevel="0" collapsed="false">
      <c r="A19" s="8" t="s">
        <v>659</v>
      </c>
      <c r="B19" s="8" t="s">
        <v>109</v>
      </c>
      <c r="C19" s="67" t="n">
        <f aca="false">INDEX(E19:I19,01_CONTROL_PANEL!$C$9)</f>
        <v>20</v>
      </c>
      <c r="E19" s="23" t="n">
        <v>20</v>
      </c>
      <c r="F19" s="23" t="n">
        <v>20</v>
      </c>
      <c r="G19" s="23" t="n">
        <v>20</v>
      </c>
      <c r="H19" s="23" t="n">
        <v>20</v>
      </c>
      <c r="I19" s="23" t="n">
        <v>20</v>
      </c>
    </row>
    <row r="20" customFormat="false" ht="15" hidden="false" customHeight="false" outlineLevel="0" collapsed="false">
      <c r="A20" s="8" t="s">
        <v>660</v>
      </c>
      <c r="B20" s="8" t="s">
        <v>56</v>
      </c>
      <c r="C20" s="68" t="n">
        <f aca="false">INDEX(E20:I20,01_CONTROL_PANEL!$C$9)</f>
        <v>0.08</v>
      </c>
      <c r="E20" s="13" t="n">
        <v>0.075</v>
      </c>
      <c r="F20" s="13" t="n">
        <v>0.085</v>
      </c>
      <c r="G20" s="13" t="n">
        <v>0.08</v>
      </c>
      <c r="H20" s="13" t="n">
        <v>0.08</v>
      </c>
      <c r="I20" s="13" t="n">
        <v>0.078</v>
      </c>
    </row>
    <row r="21" customFormat="false" ht="15" hidden="false" customHeight="false" outlineLevel="0" collapsed="false">
      <c r="A21" s="8" t="s">
        <v>661</v>
      </c>
      <c r="B21" s="8" t="s">
        <v>109</v>
      </c>
      <c r="C21" s="67" t="n">
        <f aca="false">INDEX(E21:I21,01_CONTROL_PANEL!$C$9)</f>
        <v>18</v>
      </c>
      <c r="E21" s="23" t="n">
        <v>15</v>
      </c>
      <c r="F21" s="23" t="n">
        <v>18</v>
      </c>
      <c r="G21" s="23" t="n">
        <v>18</v>
      </c>
      <c r="H21" s="23" t="n">
        <v>18</v>
      </c>
      <c r="I21" s="23" t="n">
        <v>18</v>
      </c>
    </row>
    <row r="22" customFormat="false" ht="15" hidden="false" customHeight="false" outlineLevel="0" collapsed="false">
      <c r="A22" s="8" t="s">
        <v>662</v>
      </c>
      <c r="B22" s="8" t="s">
        <v>82</v>
      </c>
      <c r="C22" s="69" t="n">
        <f aca="false">INDEX(E22:I22,01_CONTROL_PANEL!$C$9)</f>
        <v>1.3</v>
      </c>
      <c r="E22" s="70" t="n">
        <v>1.2</v>
      </c>
      <c r="F22" s="70" t="n">
        <v>1.35</v>
      </c>
      <c r="G22" s="70" t="n">
        <v>1.3</v>
      </c>
      <c r="H22" s="70" t="n">
        <v>1.3</v>
      </c>
      <c r="I22" s="70" t="n">
        <v>1.3</v>
      </c>
    </row>
    <row r="23" customFormat="false" ht="15" hidden="false" customHeight="false" outlineLevel="0" collapsed="false">
      <c r="A23" s="8" t="s">
        <v>663</v>
      </c>
      <c r="B23" s="8" t="s">
        <v>56</v>
      </c>
      <c r="C23" s="66" t="n">
        <f aca="false">INDEX(E23:I23,01_CONTROL_PANEL!$C$9)</f>
        <v>0.15</v>
      </c>
      <c r="E23" s="12" t="n">
        <v>0.1</v>
      </c>
      <c r="F23" s="12" t="n">
        <v>0.16</v>
      </c>
      <c r="G23" s="12" t="n">
        <v>0.15</v>
      </c>
      <c r="H23" s="12" t="n">
        <v>0.15</v>
      </c>
      <c r="I23" s="12" t="n">
        <v>0.14</v>
      </c>
    </row>
    <row r="24" customFormat="false" ht="15" hidden="false" customHeight="false" outlineLevel="0" collapsed="false">
      <c r="A24" s="8" t="s">
        <v>664</v>
      </c>
      <c r="B24" s="8"/>
      <c r="C24" s="71" t="str">
        <f aca="false">IF(17A_STRUCTURES!$C$7+17A_STRUCTURES!$C$6+17A_STRUCTURES!$C$9+IF(17A_STRUCTURES!$C$11=2,1,17A_STRUCTURES!$C$10)&gt;=1,"OK","Structurally under-funded")</f>
        <v>OK</v>
      </c>
    </row>
    <row r="25" customFormat="false" ht="15" hidden="false" customHeight="false" outlineLevel="0" collapsed="false">
      <c r="A25" s="8" t="s">
        <v>665</v>
      </c>
      <c r="B25" s="8" t="s">
        <v>82</v>
      </c>
      <c r="C25" s="70" t="n">
        <v>1.1</v>
      </c>
    </row>
    <row r="26" customFormat="false" ht="15" hidden="false" customHeight="false" outlineLevel="0" collapsed="false">
      <c r="A26" s="8" t="s">
        <v>666</v>
      </c>
      <c r="B26" s="8" t="s">
        <v>667</v>
      </c>
      <c r="C26" s="12" t="n">
        <v>0.02</v>
      </c>
    </row>
    <row r="27" customFormat="false" ht="15" hidden="false" customHeight="false" outlineLevel="0" collapsed="false">
      <c r="A27" s="8" t="s">
        <v>668</v>
      </c>
      <c r="B27" s="8" t="s">
        <v>669</v>
      </c>
      <c r="C27" s="23" t="n">
        <v>6</v>
      </c>
    </row>
    <row r="29" customFormat="false" ht="15" hidden="false" customHeight="false" outlineLevel="0" collapsed="false">
      <c r="A29" s="6" t="s">
        <v>670</v>
      </c>
      <c r="B29" s="7"/>
      <c r="C29" s="7"/>
      <c r="D29" s="7"/>
      <c r="E29" s="7"/>
      <c r="F29" s="7"/>
      <c r="G29" s="7"/>
      <c r="H29" s="7"/>
      <c r="I29" s="7"/>
      <c r="J29" s="7"/>
    </row>
    <row r="30" customFormat="false" ht="15" hidden="false" customHeight="false" outlineLevel="0" collapsed="false">
      <c r="A30" s="29" t="s">
        <v>671</v>
      </c>
      <c r="B30" s="29" t="s">
        <v>632</v>
      </c>
      <c r="C30" s="29"/>
      <c r="D30" s="29"/>
      <c r="E30" s="29" t="s">
        <v>634</v>
      </c>
      <c r="F30" s="29" t="s">
        <v>635</v>
      </c>
      <c r="G30" s="29" t="s">
        <v>636</v>
      </c>
      <c r="H30" s="29" t="s">
        <v>637</v>
      </c>
      <c r="I30" s="29" t="s">
        <v>638</v>
      </c>
    </row>
    <row r="31" customFormat="false" ht="15" hidden="false" customHeight="false" outlineLevel="0" collapsed="false">
      <c r="A31" s="10" t="s">
        <v>672</v>
      </c>
    </row>
    <row r="32" customFormat="false" ht="15" hidden="false" customHeight="false" outlineLevel="0" collapsed="false">
      <c r="A32" s="8" t="s">
        <v>673</v>
      </c>
      <c r="B32" s="8" t="s">
        <v>56</v>
      </c>
      <c r="E32" s="42" t="n">
        <f aca="false">MAX(0,E9-E8)</f>
        <v>0.3</v>
      </c>
      <c r="F32" s="42" t="n">
        <f aca="false">MAX(0,F9-F8)</f>
        <v>0.7</v>
      </c>
      <c r="G32" s="42" t="n">
        <f aca="false">MAX(0,G9-G8)</f>
        <v>0.45</v>
      </c>
      <c r="H32" s="42" t="n">
        <f aca="false">MAX(0,H9-H8)</f>
        <v>0.3</v>
      </c>
      <c r="I32" s="42" t="n">
        <f aca="false">MAX(0,I9-I8)</f>
        <v>0.37</v>
      </c>
    </row>
    <row r="33" customFormat="false" ht="15" hidden="false" customHeight="false" outlineLevel="0" collapsed="false">
      <c r="A33" s="8" t="s">
        <v>674</v>
      </c>
      <c r="B33" s="8" t="s">
        <v>56</v>
      </c>
      <c r="E33" s="42" t="n">
        <f aca="false">IF(E11=2,0,MAX(0,1-E6-E7-E9))</f>
        <v>0</v>
      </c>
      <c r="F33" s="42" t="n">
        <f aca="false">IF(F11=2,0,MAX(0,1-F6-F7-F9))</f>
        <v>0.3</v>
      </c>
      <c r="G33" s="42" t="n">
        <f aca="false">IF(G11=2,0,MAX(0,1-G6-G7-G9))</f>
        <v>0.1</v>
      </c>
      <c r="H33" s="42" t="n">
        <f aca="false">IF(H11=2,0,MAX(0,1-H6-H7-H9))</f>
        <v>0.1</v>
      </c>
      <c r="I33" s="42" t="n">
        <f aca="false">IF(I11=2,0,MAX(0,1-I6-I7-I9))</f>
        <v>0.15</v>
      </c>
    </row>
    <row r="34" customFormat="false" ht="15" hidden="false" customHeight="false" outlineLevel="0" collapsed="false">
      <c r="A34" s="8" t="s">
        <v>675</v>
      </c>
      <c r="B34" s="8" t="s">
        <v>56</v>
      </c>
      <c r="E34" s="42" t="n">
        <f aca="false">IF(E11=2,MAX(0,1-E7-E9-E6),0)</f>
        <v>0</v>
      </c>
      <c r="F34" s="42" t="n">
        <f aca="false">IF(F11=2,MAX(0,1-F7-F9-F6),0)</f>
        <v>0</v>
      </c>
      <c r="G34" s="42" t="n">
        <f aca="false">IF(G11=2,MAX(0,1-G7-G9-G6),0)</f>
        <v>0</v>
      </c>
      <c r="H34" s="42" t="n">
        <f aca="false">IF(H11=2,MAX(0,1-H7-H9-H6),0)</f>
        <v>0</v>
      </c>
      <c r="I34" s="42" t="n">
        <f aca="false">IF(I11=2,MAX(0,1-I7-I9-I6),0)</f>
        <v>0</v>
      </c>
    </row>
    <row r="35" customFormat="false" ht="15" hidden="false" customHeight="false" outlineLevel="0" collapsed="false">
      <c r="A35" s="8" t="s">
        <v>676</v>
      </c>
      <c r="B35" s="8" t="s">
        <v>56</v>
      </c>
      <c r="E35" s="72" t="n">
        <f aca="false">(E6+E34)*02_PROJECT_INPUTS!$C$24+E8*E17+E32*E20+E33*E23/(1-21_TAX!$C$6)</f>
        <v>0.0455</v>
      </c>
      <c r="F35" s="72" t="n">
        <f aca="false">(F6+F34)*02_PROJECT_INPUTS!$C$24+F8*F17+F32*F20+F33*F23/(1-21_TAX!$C$6)</f>
        <v>0.128071428571429</v>
      </c>
      <c r="G35" s="72" t="n">
        <f aca="false">(G6+G34)*02_PROJECT_INPUTS!$C$24+G8*G17+G32*G20+G33*G23/(1-21_TAX!$C$6)</f>
        <v>0.0744285714285714</v>
      </c>
      <c r="H35" s="72" t="n">
        <f aca="false">(H6+H34)*02_PROJECT_INPUTS!$C$24+H8*H17+H32*H20+H33*H23/(1-21_TAX!$C$6)</f>
        <v>0.0529285714285714</v>
      </c>
      <c r="I35" s="72" t="n">
        <f aca="false">(I6+I34)*02_PROJECT_INPUTS!$C$24+I8*I17+I32*I20+I33*I23/(1-21_TAX!$C$6)</f>
        <v>0.07161</v>
      </c>
    </row>
    <row r="36" customFormat="false" ht="15" hidden="false" customHeight="false" outlineLevel="0" collapsed="false">
      <c r="A36" s="8" t="s">
        <v>677</v>
      </c>
      <c r="B36" s="8" t="s">
        <v>56</v>
      </c>
      <c r="E36" s="72" t="n">
        <f aca="false">IFERROR(E35/(1-E7),0)</f>
        <v>0.0455</v>
      </c>
      <c r="F36" s="72" t="n">
        <f aca="false">IFERROR(F35/(1-F7),0)</f>
        <v>0.128071428571429</v>
      </c>
      <c r="G36" s="72" t="n">
        <f aca="false">IFERROR(G35/(1-G7),0)</f>
        <v>0.0783458646616541</v>
      </c>
      <c r="H36" s="72" t="n">
        <f aca="false">IFERROR(H35/(1-H7),0)</f>
        <v>0.0814285714285714</v>
      </c>
      <c r="I36" s="72" t="n">
        <f aca="false">IFERROR(I35/(1-I7),0)</f>
        <v>0.0778369565217391</v>
      </c>
    </row>
    <row r="37" customFormat="false" ht="15" hidden="false" customHeight="false" outlineLevel="0" collapsed="false">
      <c r="A37" s="8" t="s">
        <v>678</v>
      </c>
      <c r="B37" s="8" t="s">
        <v>82</v>
      </c>
      <c r="E37" s="40" t="n">
        <f aca="false">E36/(1-(1+E36)^-02_PROJECT_INPUTS!$C$13)</f>
        <v>0.0617531732416263</v>
      </c>
      <c r="F37" s="40" t="n">
        <f aca="false">F36/(1-(1+F36)^-02_PROJECT_INPUTS!$C$13)</f>
        <v>0.131613040162201</v>
      </c>
      <c r="G37" s="40" t="n">
        <f aca="false">G36/(1-(1+G36)^-02_PROJECT_INPUTS!$C$13)</f>
        <v>0.0874448255849525</v>
      </c>
      <c r="H37" s="40" t="n">
        <f aca="false">H36/(1-(1+H36)^-02_PROJECT_INPUTS!$C$13)</f>
        <v>0.0900274050886682</v>
      </c>
      <c r="I37" s="40" t="n">
        <f aca="false">I36/(1-(1+I36)^-02_PROJECT_INPUTS!$C$13)</f>
        <v>0.0870209533004836</v>
      </c>
    </row>
    <row r="38" customFormat="false" ht="15" hidden="false" customHeight="false" outlineLevel="0" collapsed="false">
      <c r="A38" s="8" t="s">
        <v>679</v>
      </c>
      <c r="B38" s="8" t="s">
        <v>311</v>
      </c>
      <c r="E38" s="49" t="n">
        <f aca="false">(17_PROJECT_FINANCE!$C$7*(1+E9*(18_DEBT!$C$15+17A_STRUCTURES!$C$26))*(1-E7)*E37+17_PROJECT_FINANCE!$C$41)/03_HYDROLOGY!$C$33*1000</f>
        <v>65.9781056079413</v>
      </c>
      <c r="F38" s="49" t="n">
        <f aca="false">(17_PROJECT_FINANCE!$C$7*(1+F9*(18_DEBT!$C$15+17A_STRUCTURES!$C$26))*(1-F7)*F37+17_PROJECT_FINANCE!$C$41)/03_HYDROLOGY!$C$33*1000</f>
        <v>118.340272446339</v>
      </c>
      <c r="G38" s="49" t="n">
        <f aca="false">(17_PROJECT_FINANCE!$C$7*(1+G9*(18_DEBT!$C$15+17A_STRUCTURES!$C$26))*(1-G7)*G37+17_PROJECT_FINANCE!$C$41)/03_HYDROLOGY!$C$33*1000</f>
        <v>81.623062188218</v>
      </c>
      <c r="H38" s="49" t="n">
        <f aca="false">(17_PROJECT_FINANCE!$C$7*(1+H9*(18_DEBT!$C$15+17A_STRUCTURES!$C$26))*(1-H7)*H37+17_PROJECT_FINANCE!$C$41)/03_HYDROLOGY!$C$33*1000</f>
        <v>60.8455033748944</v>
      </c>
      <c r="I38" s="49" t="n">
        <f aca="false">(17_PROJECT_FINANCE!$C$7*(1+I9*(18_DEBT!$C$15+17A_STRUCTURES!$C$26))*(1-I7)*I37+17_PROJECT_FINANCE!$C$41)/03_HYDROLOGY!$C$33*1000</f>
        <v>78.9317400970535</v>
      </c>
    </row>
    <row r="39" customFormat="false" ht="15" hidden="false" customHeight="false" outlineLevel="0" collapsed="false">
      <c r="A39" s="8" t="s">
        <v>680</v>
      </c>
      <c r="B39" s="8" t="s">
        <v>311</v>
      </c>
      <c r="E39" s="61" t="n">
        <f aca="false">17_PROJECT_FINANCE!$C$42</f>
        <v>294.229330277491</v>
      </c>
      <c r="F39" s="61" t="n">
        <f aca="false">17_PROJECT_FINANCE!$C$42</f>
        <v>294.229330277491</v>
      </c>
      <c r="G39" s="61" t="n">
        <f aca="false">17_PROJECT_FINANCE!$C$42</f>
        <v>294.229330277491</v>
      </c>
      <c r="H39" s="61" t="n">
        <f aca="false">17_PROJECT_FINANCE!$C$42</f>
        <v>294.229330277491</v>
      </c>
      <c r="I39" s="61" t="n">
        <f aca="false">17_PROJECT_FINANCE!$C$42</f>
        <v>294.229330277491</v>
      </c>
    </row>
    <row r="40" customFormat="false" ht="15" hidden="false" customHeight="false" outlineLevel="0" collapsed="false">
      <c r="A40" s="8" t="s">
        <v>681</v>
      </c>
      <c r="B40" s="8" t="s">
        <v>423</v>
      </c>
      <c r="E40" s="34" t="n">
        <f aca="false">MAX(0,E38-E39)*03_HYDROLOGY!$C$33/1000</f>
        <v>0</v>
      </c>
      <c r="F40" s="34" t="n">
        <f aca="false">MAX(0,F38-F39)*03_HYDROLOGY!$C$33/1000</f>
        <v>0</v>
      </c>
      <c r="G40" s="34" t="n">
        <f aca="false">MAX(0,G38-G39)*03_HYDROLOGY!$C$33/1000</f>
        <v>0</v>
      </c>
      <c r="H40" s="34" t="n">
        <f aca="false">MAX(0,H38-H39)*03_HYDROLOGY!$C$33/1000</f>
        <v>0</v>
      </c>
      <c r="I40" s="34" t="n">
        <f aca="false">MAX(0,I38-I39)*03_HYDROLOGY!$C$33/1000</f>
        <v>0</v>
      </c>
    </row>
    <row r="41" customFormat="false" ht="15" hidden="false" customHeight="false" outlineLevel="0" collapsed="false">
      <c r="A41" s="8" t="s">
        <v>682</v>
      </c>
      <c r="B41" s="8" t="s">
        <v>84</v>
      </c>
      <c r="E41" s="34" t="n">
        <f aca="false">(E6+E7+E34)*17_PROJECT_FINANCE!$C$7</f>
        <v>166.508359376901</v>
      </c>
      <c r="F41" s="34" t="n">
        <f aca="false">(F6+F7+F34)*17_PROJECT_FINANCE!$C$7</f>
        <v>0</v>
      </c>
      <c r="G41" s="34" t="n">
        <f aca="false">(G6+G7+G34)*17_PROJECT_FINANCE!$C$7</f>
        <v>166.508359376901</v>
      </c>
      <c r="H41" s="34" t="n">
        <f aca="false">(H6+H7+H34)*17_PROJECT_FINANCE!$C$7</f>
        <v>388.519505212769</v>
      </c>
      <c r="I41" s="34" t="n">
        <f aca="false">(I6+I7+I34)*17_PROJECT_FINANCE!$C$7</f>
        <v>144.307244793314</v>
      </c>
    </row>
    <row r="42" customFormat="false" ht="15" hidden="false" customHeight="false" outlineLevel="0" collapsed="false">
      <c r="A42" s="8" t="s">
        <v>683</v>
      </c>
      <c r="B42" s="8" t="s">
        <v>84</v>
      </c>
      <c r="E42" s="34" t="n">
        <f aca="false">E33*17_PROJECT_FINANCE!$C$7</f>
        <v>0</v>
      </c>
      <c r="F42" s="34" t="n">
        <f aca="false">F33*17_PROJECT_FINANCE!$C$7</f>
        <v>333.016718753802</v>
      </c>
      <c r="G42" s="34" t="n">
        <f aca="false">G33*17_PROJECT_FINANCE!$C$7</f>
        <v>111.005572917934</v>
      </c>
      <c r="H42" s="34" t="n">
        <f aca="false">H33*17_PROJECT_FINANCE!$C$7</f>
        <v>111.005572917934</v>
      </c>
      <c r="I42" s="34" t="n">
        <f aca="false">I33*17_PROJECT_FINANCE!$C$7</f>
        <v>166.508359376901</v>
      </c>
    </row>
    <row r="43" customFormat="false" ht="15" hidden="false" customHeight="false" outlineLevel="0" collapsed="false">
      <c r="A43" s="8" t="s">
        <v>684</v>
      </c>
      <c r="B43" s="8" t="s">
        <v>84</v>
      </c>
      <c r="E43" s="34" t="n">
        <f aca="false">E9*17_PROJECT_FINANCE!$C$7</f>
        <v>943.547369802439</v>
      </c>
      <c r="F43" s="34" t="n">
        <f aca="false">F9*17_PROJECT_FINANCE!$C$7</f>
        <v>777.039010425538</v>
      </c>
      <c r="G43" s="34" t="n">
        <f aca="false">G9*17_PROJECT_FINANCE!$C$7</f>
        <v>832.541796884505</v>
      </c>
      <c r="H43" s="34" t="n">
        <f aca="false">H9*17_PROJECT_FINANCE!$C$7</f>
        <v>610.530651048637</v>
      </c>
      <c r="I43" s="34" t="n">
        <f aca="false">I9*17_PROJECT_FINANCE!$C$7</f>
        <v>799.240125009125</v>
      </c>
    </row>
    <row r="44" customFormat="false" ht="15" hidden="false" customHeight="false" outlineLevel="0" collapsed="false">
      <c r="A44" s="8" t="s">
        <v>685</v>
      </c>
      <c r="B44" s="8" t="s">
        <v>423</v>
      </c>
      <c r="E44" s="34" t="n">
        <f aca="false">17_PROJECT_FINANCE!$C$7*(E8*E17/(1-(1+E17)^-E19)+E32*E20/(1-(1+E20)^-E21))</f>
        <v>75.0645946270887</v>
      </c>
      <c r="F44" s="34" t="n">
        <f aca="false">17_PROJECT_FINANCE!$C$7*(F8*F17/(1-(1+F17)^-F19)+F32*F20/(1-(1+F20)^-F21))</f>
        <v>85.8087385855663</v>
      </c>
      <c r="G44" s="34" t="n">
        <f aca="false">17_PROJECT_FINANCE!$C$7*(G8*G17/(1-(1+G17)^-G19)+G32*G20/(1-(1+G20)^-G21))</f>
        <v>75.6843271861948</v>
      </c>
      <c r="H44" s="34" t="n">
        <f aca="false">17_PROJECT_FINANCE!$C$7*(H8*H17/(1-(1+H17)^-H19)+H32*H20/(1-(1+H20)^-H21))</f>
        <v>54.1868771895667</v>
      </c>
      <c r="I44" s="34" t="n">
        <f aca="false">17_PROJECT_FINANCE!$C$7*(I8*I17/(1-(1+I17)^-I19)+I32*I20/(1-(1+I20)^-I21))</f>
        <v>68.140951668997</v>
      </c>
    </row>
    <row r="45" customFormat="false" ht="15" hidden="false" customHeight="false" outlineLevel="0" collapsed="false">
      <c r="A45" s="8" t="s">
        <v>686</v>
      </c>
      <c r="B45" s="8" t="s">
        <v>84</v>
      </c>
      <c r="E45" s="34" t="n">
        <f aca="false">E13*E43</f>
        <v>943.547369802439</v>
      </c>
      <c r="F45" s="34" t="n">
        <f aca="false">F13*F43</f>
        <v>0</v>
      </c>
      <c r="G45" s="34" t="n">
        <f aca="false">G13*G43</f>
        <v>0</v>
      </c>
      <c r="H45" s="34" t="n">
        <f aca="false">H13*H43</f>
        <v>0</v>
      </c>
      <c r="I45" s="34" t="n">
        <f aca="false">I13*I43</f>
        <v>0</v>
      </c>
    </row>
    <row r="46" customFormat="false" ht="15" hidden="false" customHeight="false" outlineLevel="0" collapsed="false">
      <c r="A46" s="8" t="s">
        <v>687</v>
      </c>
      <c r="B46" s="8" t="s">
        <v>84</v>
      </c>
      <c r="E46" s="34" t="n">
        <f aca="false">(1-E13)*E12*E43</f>
        <v>0</v>
      </c>
      <c r="F46" s="34" t="n">
        <f aca="false">(1-F13)*F12*F43</f>
        <v>0</v>
      </c>
      <c r="G46" s="34" t="n">
        <f aca="false">(1-G13)*G12*G43</f>
        <v>333.016718753802</v>
      </c>
      <c r="H46" s="34" t="n">
        <f aca="false">(1-H13)*H12*H43</f>
        <v>122.106130209727</v>
      </c>
      <c r="I46" s="34" t="n">
        <f aca="false">(1-I13)*I12*I43</f>
        <v>119.886018751369</v>
      </c>
    </row>
    <row r="47" customFormat="false" ht="15" hidden="false" customHeight="false" outlineLevel="0" collapsed="false">
      <c r="A47" s="8" t="s">
        <v>688</v>
      </c>
      <c r="B47" s="8" t="s">
        <v>84</v>
      </c>
      <c r="E47" s="34" t="n">
        <f aca="false">E14*E38*03_HYDROLOGY!$C$33/1000</f>
        <v>0</v>
      </c>
      <c r="F47" s="34" t="n">
        <f aca="false">F14*F38*03_HYDROLOGY!$C$33/1000</f>
        <v>197.139725604819</v>
      </c>
      <c r="G47" s="34" t="n">
        <f aca="false">G14*G38*03_HYDROLOGY!$C$33/1000</f>
        <v>135.973559551393</v>
      </c>
      <c r="H47" s="34" t="n">
        <f aca="false">H14*H38*03_HYDROLOGY!$C$33/1000</f>
        <v>101.360809736625</v>
      </c>
      <c r="I47" s="34" t="n">
        <f aca="false">I14*I38*03_HYDROLOGY!$C$33/1000</f>
        <v>131.490161908321</v>
      </c>
    </row>
    <row r="48" customFormat="false" ht="15" hidden="false" customHeight="false" outlineLevel="0" collapsed="false">
      <c r="A48" s="8" t="s">
        <v>689</v>
      </c>
      <c r="B48" s="8" t="s">
        <v>84</v>
      </c>
      <c r="E48" s="34" t="n">
        <f aca="false">E15*(E43+E42*(1+14_PPA!$C$14))</f>
        <v>0</v>
      </c>
      <c r="F48" s="34" t="n">
        <f aca="false">F15*(F43+F42*(1+14_PPA!$C$14))</f>
        <v>1160.00823699241</v>
      </c>
      <c r="G48" s="34" t="n">
        <f aca="false">G15*(G43+G42*(1+14_PPA!$C$14))</f>
        <v>960.198205740129</v>
      </c>
      <c r="H48" s="34" t="n">
        <f aca="false">H15*(H43+H42*(1+14_PPA!$C$14))</f>
        <v>738.187059904261</v>
      </c>
      <c r="I48" s="34" t="n">
        <f aca="false">I15*(I43+I42*(1+14_PPA!$C$14))</f>
        <v>990.724738292561</v>
      </c>
    </row>
    <row r="49" customFormat="false" ht="15" hidden="false" customHeight="false" outlineLevel="0" collapsed="false">
      <c r="A49" s="8" t="s">
        <v>690</v>
      </c>
      <c r="B49" s="8" t="s">
        <v>84</v>
      </c>
      <c r="E49" s="34" t="n">
        <f aca="false">E41+E45+MAX(E46+E47,E48)</f>
        <v>1110.05572917934</v>
      </c>
      <c r="F49" s="34" t="n">
        <f aca="false">F41+F45+MAX(F46+F47,F48)</f>
        <v>1160.00823699241</v>
      </c>
      <c r="G49" s="34" t="n">
        <f aca="false">G41+G45+MAX(G46+G47,G48)</f>
        <v>1126.70656511703</v>
      </c>
      <c r="H49" s="34" t="n">
        <f aca="false">H41+H45+MAX(H46+H47,H48)</f>
        <v>1126.70656511703</v>
      </c>
      <c r="I49" s="34" t="n">
        <f aca="false">I41+I45+MAX(I46+I47,I48)</f>
        <v>1135.03198308588</v>
      </c>
    </row>
    <row r="50" customFormat="false" ht="15" hidden="false" customHeight="false" outlineLevel="0" collapsed="false">
      <c r="A50" s="8" t="s">
        <v>691</v>
      </c>
      <c r="B50" s="8" t="s">
        <v>56</v>
      </c>
      <c r="E50" s="42" t="n">
        <f aca="false">E49/(26_DEBT_SUSTAINABILITY!$C$7*1000)</f>
        <v>0.0317158779765526</v>
      </c>
      <c r="F50" s="42" t="n">
        <f aca="false">F49/(26_DEBT_SUSTAINABILITY!$C$7*1000)</f>
        <v>0.0331430924854974</v>
      </c>
      <c r="G50" s="42" t="n">
        <f aca="false">G49/(26_DEBT_SUSTAINABILITY!$C$7*1000)</f>
        <v>0.0321916161462009</v>
      </c>
      <c r="H50" s="42" t="n">
        <f aca="false">H49/(26_DEBT_SUSTAINABILITY!$C$7*1000)</f>
        <v>0.0321916161462009</v>
      </c>
      <c r="I50" s="42" t="n">
        <f aca="false">I49/(26_DEBT_SUSTAINABILITY!$C$7*1000)</f>
        <v>0.032429485231025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692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693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694</v>
      </c>
      <c r="B6" s="8" t="s">
        <v>84</v>
      </c>
      <c r="C6" s="22" t="n">
        <v>400</v>
      </c>
      <c r="D6" s="10" t="s">
        <v>695</v>
      </c>
    </row>
    <row r="7" customFormat="false" ht="15" hidden="false" customHeight="false" outlineLevel="0" collapsed="false">
      <c r="A7" s="8" t="s">
        <v>696</v>
      </c>
      <c r="B7" s="8" t="s">
        <v>84</v>
      </c>
      <c r="C7" s="22" t="n">
        <v>330</v>
      </c>
      <c r="D7" s="10" t="s">
        <v>697</v>
      </c>
    </row>
    <row r="8" customFormat="false" ht="15" hidden="false" customHeight="false" outlineLevel="0" collapsed="false">
      <c r="A8" s="8" t="s">
        <v>698</v>
      </c>
      <c r="B8" s="8" t="s">
        <v>84</v>
      </c>
      <c r="C8" s="22" t="n">
        <v>55</v>
      </c>
      <c r="D8" s="10" t="s">
        <v>699</v>
      </c>
    </row>
    <row r="9" customFormat="false" ht="15" hidden="false" customHeight="false" outlineLevel="0" collapsed="false">
      <c r="A9" s="8" t="s">
        <v>700</v>
      </c>
      <c r="B9" s="8" t="s">
        <v>84</v>
      </c>
      <c r="C9" s="22" t="n">
        <v>110</v>
      </c>
      <c r="D9" s="10" t="s">
        <v>701</v>
      </c>
    </row>
    <row r="10" customFormat="false" ht="15" hidden="false" customHeight="false" outlineLevel="0" collapsed="false">
      <c r="A10" s="8" t="s">
        <v>702</v>
      </c>
      <c r="B10" s="8" t="s">
        <v>56</v>
      </c>
      <c r="C10" s="25" t="n">
        <v>0.75</v>
      </c>
      <c r="D10" s="10" t="s">
        <v>703</v>
      </c>
    </row>
    <row r="11" customFormat="false" ht="15" hidden="false" customHeight="false" outlineLevel="0" collapsed="false">
      <c r="A11" s="8" t="s">
        <v>704</v>
      </c>
      <c r="B11" s="8" t="s">
        <v>56</v>
      </c>
      <c r="C11" s="73" t="n">
        <f aca="false">17A_STRUCTURES!$C$20+27_SCENARIOS!$C$36*(1-18_DEBT!$C$10)</f>
        <v>0.08</v>
      </c>
    </row>
    <row r="12" customFormat="false" ht="15" hidden="false" customHeight="false" outlineLevel="0" collapsed="false">
      <c r="A12" s="8" t="s">
        <v>705</v>
      </c>
      <c r="E12" s="74" t="n">
        <v>0</v>
      </c>
      <c r="F12" s="74" t="n">
        <v>0</v>
      </c>
      <c r="G12" s="74" t="n">
        <v>0</v>
      </c>
      <c r="H12" s="74" t="n">
        <v>0</v>
      </c>
      <c r="I12" s="74" t="n">
        <v>0</v>
      </c>
      <c r="J12" s="74" t="n">
        <v>0</v>
      </c>
      <c r="K12" s="74" t="n">
        <v>0</v>
      </c>
      <c r="L12" s="74" t="n">
        <v>0</v>
      </c>
      <c r="M12" s="74" t="n">
        <v>0</v>
      </c>
      <c r="N12" s="74" t="n">
        <v>0</v>
      </c>
      <c r="O12" s="74" t="n">
        <v>0</v>
      </c>
      <c r="P12" s="74" t="n">
        <v>0</v>
      </c>
      <c r="Q12" s="74" t="n">
        <v>0</v>
      </c>
      <c r="R12" s="74" t="n">
        <v>0</v>
      </c>
      <c r="S12" s="74" t="n">
        <v>0</v>
      </c>
      <c r="T12" s="74" t="n">
        <v>0</v>
      </c>
      <c r="U12" s="74" t="n">
        <v>0</v>
      </c>
      <c r="V12" s="74" t="n">
        <v>0</v>
      </c>
      <c r="W12" s="74" t="n">
        <v>0</v>
      </c>
      <c r="X12" s="74" t="n">
        <v>0</v>
      </c>
      <c r="Y12" s="74" t="n">
        <v>0</v>
      </c>
      <c r="Z12" s="74" t="n">
        <v>0</v>
      </c>
      <c r="AA12" s="74" t="n">
        <v>0</v>
      </c>
      <c r="AB12" s="74" t="n">
        <v>0</v>
      </c>
      <c r="AC12" s="74" t="n">
        <v>0</v>
      </c>
      <c r="AD12" s="74" t="n">
        <v>0</v>
      </c>
      <c r="AE12" s="74" t="n">
        <v>0</v>
      </c>
      <c r="AF12" s="74" t="n">
        <v>0</v>
      </c>
      <c r="AG12" s="74" t="n">
        <v>0</v>
      </c>
      <c r="AH12" s="74" t="n">
        <v>0</v>
      </c>
      <c r="AI12" s="74" t="n">
        <v>0</v>
      </c>
      <c r="AJ12" s="74" t="n">
        <v>0</v>
      </c>
      <c r="AK12" s="74" t="n">
        <v>0</v>
      </c>
      <c r="AL12" s="74" t="n">
        <v>0</v>
      </c>
      <c r="AM12" s="74" t="n">
        <v>0</v>
      </c>
      <c r="AN12" s="74" t="n">
        <v>0</v>
      </c>
      <c r="AO12" s="74" t="n">
        <v>0</v>
      </c>
      <c r="AP12" s="74" t="n">
        <v>0</v>
      </c>
      <c r="AQ12" s="74" t="n">
        <v>0</v>
      </c>
      <c r="AR12" s="74" t="n">
        <v>0</v>
      </c>
    </row>
    <row r="13" customFormat="false" ht="15" hidden="false" customHeight="false" outlineLevel="0" collapsed="false">
      <c r="A13" s="8" t="s">
        <v>706</v>
      </c>
      <c r="B13" s="8" t="s">
        <v>56</v>
      </c>
      <c r="C13" s="75" t="n">
        <f aca="false">21_TAX!$C$6</f>
        <v>0.3</v>
      </c>
    </row>
    <row r="14" customFormat="false" ht="15" hidden="false" customHeight="false" outlineLevel="0" collapsed="false">
      <c r="A14" s="8" t="s">
        <v>707</v>
      </c>
      <c r="B14" s="8" t="s">
        <v>82</v>
      </c>
      <c r="C14" s="38" t="n">
        <f aca="false">17A_STRUCTURES!$C$17*SUMPRODUCT(06_CONSTRUCTION!$E$13:$AR$13,06_CONSTRUCTION!$E$24:$AR$24-0.5*06_CONSTRUCTION!$E$23:$AR$23)</f>
        <v>0.075</v>
      </c>
    </row>
    <row r="15" customFormat="false" ht="15" hidden="false" customHeight="false" outlineLevel="0" collapsed="false">
      <c r="A15" s="8" t="s">
        <v>708</v>
      </c>
      <c r="B15" s="8" t="s">
        <v>82</v>
      </c>
      <c r="C15" s="38" t="n">
        <f aca="false">18_DEBT!$C$11*SUMPRODUCT(06_CONSTRUCTION!$E$13:$AR$13,06_CONSTRUCTION!$E$24:$AR$24-0.5*06_CONSTRUCTION!$E$23:$AR$23)</f>
        <v>0.2</v>
      </c>
    </row>
    <row r="16" customFormat="false" ht="15" hidden="false" customHeight="false" outlineLevel="0" collapsed="false">
      <c r="A16" s="6" t="s">
        <v>709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</row>
    <row r="17" customFormat="false" ht="15" hidden="false" customHeight="false" outlineLevel="0" collapsed="false">
      <c r="A17" s="8" t="s">
        <v>710</v>
      </c>
      <c r="B17" s="8" t="s">
        <v>84</v>
      </c>
      <c r="C17" s="34" t="n">
        <f aca="false">SUM(18_DEBT!$E$17:$AR$17)</f>
        <v>3953.34603412353</v>
      </c>
      <c r="E17" s="34" t="n">
        <f aca="false">16_REVENUE!E27-07_OPEX!E20-07_OPEX!E22-IF(06_CONSTRUCTION!E5&gt;21_TAX!$C$7,21_TAX!$C$6*MAX(0,16_REVENUE!E27-07_OPEX!E20-07_OPEX!E22-21_TAX!E11),0)</f>
        <v>0</v>
      </c>
      <c r="F17" s="34" t="n">
        <f aca="false">16_REVENUE!F27-07_OPEX!F20-07_OPEX!F22-IF(06_CONSTRUCTION!F5&gt;21_TAX!$C$7,21_TAX!$C$6*MAX(0,16_REVENUE!F27-07_OPEX!F20-07_OPEX!F22-21_TAX!F11),0)</f>
        <v>0</v>
      </c>
      <c r="G17" s="34" t="n">
        <f aca="false">16_REVENUE!G27-07_OPEX!G20-07_OPEX!G22-IF(06_CONSTRUCTION!G5&gt;21_TAX!$C$7,21_TAX!$C$6*MAX(0,16_REVENUE!G27-07_OPEX!G20-07_OPEX!G22-21_TAX!G11),0)</f>
        <v>0</v>
      </c>
      <c r="H17" s="34" t="n">
        <f aca="false">16_REVENUE!H27-07_OPEX!H20-07_OPEX!H22-IF(06_CONSTRUCTION!H5&gt;21_TAX!$C$7,21_TAX!$C$6*MAX(0,16_REVENUE!H27-07_OPEX!H20-07_OPEX!H22-21_TAX!H11),0)</f>
        <v>0</v>
      </c>
      <c r="I17" s="34" t="n">
        <f aca="false">16_REVENUE!I27-07_OPEX!I20-07_OPEX!I22-IF(06_CONSTRUCTION!I5&gt;21_TAX!$C$7,21_TAX!$C$6*MAX(0,16_REVENUE!I27-07_OPEX!I20-07_OPEX!I22-21_TAX!I11),0)</f>
        <v>0</v>
      </c>
      <c r="J17" s="34" t="n">
        <f aca="false">16_REVENUE!J27-07_OPEX!J20-07_OPEX!J22-IF(06_CONSTRUCTION!J5&gt;21_TAX!$C$7,21_TAX!$C$6*MAX(0,16_REVENUE!J27-07_OPEX!J20-07_OPEX!J22-21_TAX!J11),0)</f>
        <v>115.431228541171</v>
      </c>
      <c r="K17" s="34" t="n">
        <f aca="false">16_REVENUE!K27-07_OPEX!K20-07_OPEX!K22-IF(06_CONSTRUCTION!K5&gt;21_TAX!$C$7,21_TAX!$C$6*MAX(0,16_REVENUE!K27-07_OPEX!K20-07_OPEX!K22-21_TAX!K11),0)</f>
        <v>141.968760829707</v>
      </c>
      <c r="L17" s="34" t="n">
        <f aca="false">16_REVENUE!L27-07_OPEX!L20-07_OPEX!L22-IF(06_CONSTRUCTION!L5&gt;21_TAX!$C$7,21_TAX!$C$6*MAX(0,16_REVENUE!L27-07_OPEX!L20-07_OPEX!L22-21_TAX!L11),0)</f>
        <v>143.560136046301</v>
      </c>
      <c r="M17" s="34" t="n">
        <f aca="false">16_REVENUE!M27-07_OPEX!M20-07_OPEX!M22-IF(06_CONSTRUCTION!M5&gt;21_TAX!$C$7,21_TAX!$C$6*MAX(0,16_REVENUE!M27-07_OPEX!M20-07_OPEX!M22-21_TAX!M11),0)</f>
        <v>145.183338767227</v>
      </c>
      <c r="N17" s="34" t="n">
        <f aca="false">16_REVENUE!N27-07_OPEX!N20-07_OPEX!N22-IF(06_CONSTRUCTION!N5&gt;21_TAX!$C$7,21_TAX!$C$6*MAX(0,16_REVENUE!N27-07_OPEX!N20-07_OPEX!N22-21_TAX!N11),0)</f>
        <v>146.839005542572</v>
      </c>
      <c r="O17" s="34" t="n">
        <f aca="false">16_REVENUE!O27-07_OPEX!O20-07_OPEX!O22-IF(06_CONSTRUCTION!O5&gt;21_TAX!$C$7,21_TAX!$C$6*MAX(0,16_REVENUE!O27-07_OPEX!O20-07_OPEX!O22-21_TAX!O11),0)</f>
        <v>119.787744098202</v>
      </c>
      <c r="P17" s="34" t="n">
        <f aca="false">16_REVENUE!P27-07_OPEX!P20-07_OPEX!P22-IF(06_CONSTRUCTION!P5&gt;21_TAX!$C$7,21_TAX!$C$6*MAX(0,16_REVENUE!P27-07_OPEX!P20-07_OPEX!P22-21_TAX!P11),0)</f>
        <v>120.99353309735</v>
      </c>
      <c r="Q17" s="34" t="n">
        <f aca="false">16_REVENUE!Q27-07_OPEX!Q20-07_OPEX!Q22-IF(06_CONSTRUCTION!Q5&gt;21_TAX!$C$7,21_TAX!$C$6*MAX(0,16_REVENUE!Q27-07_OPEX!Q20-07_OPEX!Q22-21_TAX!Q11),0)</f>
        <v>122.223437876481</v>
      </c>
      <c r="R17" s="34" t="n">
        <f aca="false">16_REVENUE!R27-07_OPEX!R20-07_OPEX!R22-IF(06_CONSTRUCTION!R5&gt;21_TAX!$C$7,21_TAX!$C$6*MAX(0,16_REVENUE!R27-07_OPEX!R20-07_OPEX!R22-21_TAX!R11),0)</f>
        <v>123.477940751194</v>
      </c>
      <c r="S17" s="34" t="n">
        <f aca="false">16_REVENUE!S27-07_OPEX!S20-07_OPEX!S22-IF(06_CONSTRUCTION!S5&gt;21_TAX!$C$7,21_TAX!$C$6*MAX(0,16_REVENUE!S27-07_OPEX!S20-07_OPEX!S22-21_TAX!S11),0)</f>
        <v>124.757533683402</v>
      </c>
      <c r="T17" s="34" t="n">
        <f aca="false">16_REVENUE!T27-07_OPEX!T20-07_OPEX!T22-IF(06_CONSTRUCTION!T5&gt;21_TAX!$C$7,21_TAX!$C$6*MAX(0,16_REVENUE!T27-07_OPEX!T20-07_OPEX!T22-21_TAX!T11),0)</f>
        <v>126.062718474254</v>
      </c>
      <c r="U17" s="34" t="n">
        <f aca="false">16_REVENUE!U27-07_OPEX!U20-07_OPEX!U22-IF(06_CONSTRUCTION!U5&gt;21_TAX!$C$7,21_TAX!$C$6*MAX(0,16_REVENUE!U27-07_OPEX!U20-07_OPEX!U22-21_TAX!U11),0)</f>
        <v>127.394006960923</v>
      </c>
      <c r="V17" s="34" t="n">
        <f aca="false">16_REVENUE!V27-07_OPEX!V20-07_OPEX!V22-IF(06_CONSTRUCTION!V5&gt;21_TAX!$C$7,21_TAX!$C$6*MAX(0,16_REVENUE!V27-07_OPEX!V20-07_OPEX!V22-21_TAX!V11),0)</f>
        <v>128.751921217325</v>
      </c>
      <c r="W17" s="34" t="n">
        <f aca="false">16_REVENUE!W27-07_OPEX!W20-07_OPEX!W22-IF(06_CONSTRUCTION!W5&gt;21_TAX!$C$7,21_TAX!$C$6*MAX(0,16_REVENUE!W27-07_OPEX!W20-07_OPEX!W22-21_TAX!W11),0)</f>
        <v>130.136993758855</v>
      </c>
      <c r="X17" s="34" t="n">
        <f aca="false">16_REVENUE!X27-07_OPEX!X20-07_OPEX!X22-IF(06_CONSTRUCTION!X5&gt;21_TAX!$C$7,21_TAX!$C$6*MAX(0,16_REVENUE!X27-07_OPEX!X20-07_OPEX!X22-21_TAX!X11),0)</f>
        <v>131.549767751217</v>
      </c>
      <c r="Y17" s="34" t="n">
        <f aca="false">16_REVENUE!Y27-07_OPEX!Y20-07_OPEX!Y22-IF(06_CONSTRUCTION!Y5&gt;21_TAX!$C$7,21_TAX!$C$6*MAX(0,16_REVENUE!Y27-07_OPEX!Y20-07_OPEX!Y22-21_TAX!Y11),0)</f>
        <v>132.990797223425</v>
      </c>
      <c r="Z17" s="34" t="n">
        <f aca="false">16_REVENUE!Z27-07_OPEX!Z20-07_OPEX!Z22-IF(06_CONSTRUCTION!Z5&gt;21_TAX!$C$7,21_TAX!$C$6*MAX(0,16_REVENUE!Z27-07_OPEX!Z20-07_OPEX!Z22-21_TAX!Z11),0)</f>
        <v>134.460647285077</v>
      </c>
      <c r="AA17" s="34" t="n">
        <f aca="false">16_REVENUE!AA27-07_OPEX!AA20-07_OPEX!AA22-IF(06_CONSTRUCTION!AA5&gt;21_TAX!$C$7,21_TAX!$C$6*MAX(0,16_REVENUE!AA27-07_OPEX!AA20-07_OPEX!AA22-21_TAX!AA11),0)</f>
        <v>135.959894347963</v>
      </c>
      <c r="AB17" s="34" t="n">
        <f aca="false">16_REVENUE!AB27-07_OPEX!AB20-07_OPEX!AB22-IF(06_CONSTRUCTION!AB5&gt;21_TAX!$C$7,21_TAX!$C$6*MAX(0,16_REVENUE!AB27-07_OPEX!AB20-07_OPEX!AB22-21_TAX!AB11),0)</f>
        <v>137.489126352106</v>
      </c>
      <c r="AC17" s="34" t="n">
        <f aca="false">16_REVENUE!AC27-07_OPEX!AC20-07_OPEX!AC22-IF(06_CONSTRUCTION!AC5&gt;21_TAX!$C$7,21_TAX!$C$6*MAX(0,16_REVENUE!AC27-07_OPEX!AC20-07_OPEX!AC22-21_TAX!AC11),0)</f>
        <v>139.048942996332</v>
      </c>
      <c r="AD17" s="34" t="n">
        <f aca="false">16_REVENUE!AD27-07_OPEX!AD20-07_OPEX!AD22-IF(06_CONSTRUCTION!AD5&gt;21_TAX!$C$7,21_TAX!$C$6*MAX(0,16_REVENUE!AD27-07_OPEX!AD20-07_OPEX!AD22-21_TAX!AD11),0)</f>
        <v>124.821661832637</v>
      </c>
      <c r="AE17" s="34" t="n">
        <f aca="false">16_REVENUE!AE27-07_OPEX!AE20-07_OPEX!AE22-IF(06_CONSTRUCTION!AE5&gt;21_TAX!$C$7,21_TAX!$C$6*MAX(0,16_REVENUE!AE27-07_OPEX!AE20-07_OPEX!AE22-21_TAX!AE11),0)</f>
        <v>126.444495069289</v>
      </c>
      <c r="AF17" s="34" t="n">
        <f aca="false">16_REVENUE!AF27-07_OPEX!AF20-07_OPEX!AF22-IF(06_CONSTRUCTION!AF5&gt;21_TAX!$C$7,21_TAX!$C$6*MAX(0,16_REVENUE!AF27-07_OPEX!AF20-07_OPEX!AF22-21_TAX!AF11),0)</f>
        <v>128.099784970675</v>
      </c>
      <c r="AG17" s="34" t="n">
        <f aca="false">16_REVENUE!AG27-07_OPEX!AG20-07_OPEX!AG22-IF(06_CONSTRUCTION!AG5&gt;21_TAX!$C$7,21_TAX!$C$6*MAX(0,16_REVENUE!AG27-07_OPEX!AG20-07_OPEX!AG22-21_TAX!AG11),0)</f>
        <v>129.788180670089</v>
      </c>
      <c r="AH17" s="34" t="n">
        <f aca="false">16_REVENUE!AH27-07_OPEX!AH20-07_OPEX!AH22-IF(06_CONSTRUCTION!AH5&gt;21_TAX!$C$7,21_TAX!$C$6*MAX(0,16_REVENUE!AH27-07_OPEX!AH20-07_OPEX!AH22-21_TAX!AH11),0)</f>
        <v>131.51034428349</v>
      </c>
      <c r="AI17" s="34" t="n">
        <f aca="false">16_REVENUE!AI27-07_OPEX!AI20-07_OPEX!AI22-IF(06_CONSTRUCTION!AI5&gt;21_TAX!$C$7,21_TAX!$C$6*MAX(0,16_REVENUE!AI27-07_OPEX!AI20-07_OPEX!AI22-21_TAX!AI11),0)</f>
        <v>133.26695116916</v>
      </c>
      <c r="AJ17" s="34" t="n">
        <f aca="false">16_REVENUE!AJ27-07_OPEX!AJ20-07_OPEX!AJ22-IF(06_CONSTRUCTION!AJ5&gt;21_TAX!$C$7,21_TAX!$C$6*MAX(0,16_REVENUE!AJ27-07_OPEX!AJ20-07_OPEX!AJ22-21_TAX!AJ11),0)</f>
        <v>135.058690192543</v>
      </c>
      <c r="AK17" s="34" t="n">
        <f aca="false">16_REVENUE!AK27-07_OPEX!AK20-07_OPEX!AK22-IF(06_CONSTRUCTION!AK5&gt;21_TAX!$C$7,21_TAX!$C$6*MAX(0,16_REVENUE!AK27-07_OPEX!AK20-07_OPEX!AK22-21_TAX!AK11),0)</f>
        <v>136.886263996394</v>
      </c>
      <c r="AL17" s="34" t="n">
        <f aca="false">16_REVENUE!AL27-07_OPEX!AL20-07_OPEX!AL22-IF(06_CONSTRUCTION!AL5&gt;21_TAX!$C$7,21_TAX!$C$6*MAX(0,16_REVENUE!AL27-07_OPEX!AL20-07_OPEX!AL22-21_TAX!AL11),0)</f>
        <v>138.750389276322</v>
      </c>
      <c r="AM17" s="34" t="n">
        <f aca="false">16_REVENUE!AM27-07_OPEX!AM20-07_OPEX!AM22-IF(06_CONSTRUCTION!AM5&gt;21_TAX!$C$7,21_TAX!$C$6*MAX(0,16_REVENUE!AM27-07_OPEX!AM20-07_OPEX!AM22-21_TAX!AM11),0)</f>
        <v>140.651797061849</v>
      </c>
      <c r="AN17" s="34" t="n">
        <f aca="false">16_REVENUE!AN27-07_OPEX!AN20-07_OPEX!AN22-IF(06_CONSTRUCTION!AN5&gt;21_TAX!$C$7,21_TAX!$C$6*MAX(0,16_REVENUE!AN27-07_OPEX!AN20-07_OPEX!AN22-21_TAX!AN11),0)</f>
        <v>0</v>
      </c>
      <c r="AO17" s="34" t="n">
        <f aca="false">16_REVENUE!AO27-07_OPEX!AO20-07_OPEX!AO22-IF(06_CONSTRUCTION!AO5&gt;21_TAX!$C$7,21_TAX!$C$6*MAX(0,16_REVENUE!AO27-07_OPEX!AO20-07_OPEX!AO22-21_TAX!AO11),0)</f>
        <v>0</v>
      </c>
      <c r="AP17" s="34" t="n">
        <f aca="false">16_REVENUE!AP27-07_OPEX!AP20-07_OPEX!AP22-IF(06_CONSTRUCTION!AP5&gt;21_TAX!$C$7,21_TAX!$C$6*MAX(0,16_REVENUE!AP27-07_OPEX!AP20-07_OPEX!AP22-21_TAX!AP11),0)</f>
        <v>0</v>
      </c>
      <c r="AQ17" s="34" t="n">
        <f aca="false">16_REVENUE!AQ27-07_OPEX!AQ20-07_OPEX!AQ22-IF(06_CONSTRUCTION!AQ5&gt;21_TAX!$C$7,21_TAX!$C$6*MAX(0,16_REVENUE!AQ27-07_OPEX!AQ20-07_OPEX!AQ22-21_TAX!AQ11),0)</f>
        <v>0</v>
      </c>
      <c r="AR17" s="34" t="n">
        <f aca="false">16_REVENUE!AR27-07_OPEX!AR20-07_OPEX!AR22-IF(06_CONSTRUCTION!AR5&gt;21_TAX!$C$7,21_TAX!$C$6*MAX(0,16_REVENUE!AR27-07_OPEX!AR20-07_OPEX!AR22-21_TAX!AR11),0)</f>
        <v>0</v>
      </c>
    </row>
    <row r="18" customFormat="false" ht="15" hidden="false" customHeight="false" outlineLevel="0" collapsed="false">
      <c r="A18" s="8" t="s">
        <v>711</v>
      </c>
      <c r="B18" s="8" t="s">
        <v>249</v>
      </c>
      <c r="E18" s="47" t="n">
        <f aca="false">IF(AND(06_CONSTRUCTION!E5&gt;=1,06_CONSTRUCTION!E5&lt;=17A_STRUCTURES!$C$21),1,0)</f>
        <v>0</v>
      </c>
      <c r="F18" s="47" t="n">
        <f aca="false">IF(AND(06_CONSTRUCTION!F5&gt;=1,06_CONSTRUCTION!F5&lt;=17A_STRUCTURES!$C$21),1,0)</f>
        <v>0</v>
      </c>
      <c r="G18" s="47" t="n">
        <f aca="false">IF(AND(06_CONSTRUCTION!G5&gt;=1,06_CONSTRUCTION!G5&lt;=17A_STRUCTURES!$C$21),1,0)</f>
        <v>0</v>
      </c>
      <c r="H18" s="47" t="n">
        <f aca="false">IF(AND(06_CONSTRUCTION!H5&gt;=1,06_CONSTRUCTION!H5&lt;=17A_STRUCTURES!$C$21),1,0)</f>
        <v>0</v>
      </c>
      <c r="I18" s="47" t="n">
        <f aca="false">IF(AND(06_CONSTRUCTION!I5&gt;=1,06_CONSTRUCTION!I5&lt;=17A_STRUCTURES!$C$21),1,0)</f>
        <v>0</v>
      </c>
      <c r="J18" s="47" t="n">
        <f aca="false">IF(AND(06_CONSTRUCTION!J5&gt;=1,06_CONSTRUCTION!J5&lt;=17A_STRUCTURES!$C$21),1,0)</f>
        <v>1</v>
      </c>
      <c r="K18" s="47" t="n">
        <f aca="false">IF(AND(06_CONSTRUCTION!K5&gt;=1,06_CONSTRUCTION!K5&lt;=17A_STRUCTURES!$C$21),1,0)</f>
        <v>1</v>
      </c>
      <c r="L18" s="47" t="n">
        <f aca="false">IF(AND(06_CONSTRUCTION!L5&gt;=1,06_CONSTRUCTION!L5&lt;=17A_STRUCTURES!$C$21),1,0)</f>
        <v>1</v>
      </c>
      <c r="M18" s="47" t="n">
        <f aca="false">IF(AND(06_CONSTRUCTION!M5&gt;=1,06_CONSTRUCTION!M5&lt;=17A_STRUCTURES!$C$21),1,0)</f>
        <v>1</v>
      </c>
      <c r="N18" s="47" t="n">
        <f aca="false">IF(AND(06_CONSTRUCTION!N5&gt;=1,06_CONSTRUCTION!N5&lt;=17A_STRUCTURES!$C$21),1,0)</f>
        <v>1</v>
      </c>
      <c r="O18" s="47" t="n">
        <f aca="false">IF(AND(06_CONSTRUCTION!O5&gt;=1,06_CONSTRUCTION!O5&lt;=17A_STRUCTURES!$C$21),1,0)</f>
        <v>1</v>
      </c>
      <c r="P18" s="47" t="n">
        <f aca="false">IF(AND(06_CONSTRUCTION!P5&gt;=1,06_CONSTRUCTION!P5&lt;=17A_STRUCTURES!$C$21),1,0)</f>
        <v>1</v>
      </c>
      <c r="Q18" s="47" t="n">
        <f aca="false">IF(AND(06_CONSTRUCTION!Q5&gt;=1,06_CONSTRUCTION!Q5&lt;=17A_STRUCTURES!$C$21),1,0)</f>
        <v>1</v>
      </c>
      <c r="R18" s="47" t="n">
        <f aca="false">IF(AND(06_CONSTRUCTION!R5&gt;=1,06_CONSTRUCTION!R5&lt;=17A_STRUCTURES!$C$21),1,0)</f>
        <v>1</v>
      </c>
      <c r="S18" s="47" t="n">
        <f aca="false">IF(AND(06_CONSTRUCTION!S5&gt;=1,06_CONSTRUCTION!S5&lt;=17A_STRUCTURES!$C$21),1,0)</f>
        <v>1</v>
      </c>
      <c r="T18" s="47" t="n">
        <f aca="false">IF(AND(06_CONSTRUCTION!T5&gt;=1,06_CONSTRUCTION!T5&lt;=17A_STRUCTURES!$C$21),1,0)</f>
        <v>1</v>
      </c>
      <c r="U18" s="47" t="n">
        <f aca="false">IF(AND(06_CONSTRUCTION!U5&gt;=1,06_CONSTRUCTION!U5&lt;=17A_STRUCTURES!$C$21),1,0)</f>
        <v>1</v>
      </c>
      <c r="V18" s="47" t="n">
        <f aca="false">IF(AND(06_CONSTRUCTION!V5&gt;=1,06_CONSTRUCTION!V5&lt;=17A_STRUCTURES!$C$21),1,0)</f>
        <v>1</v>
      </c>
      <c r="W18" s="47" t="n">
        <f aca="false">IF(AND(06_CONSTRUCTION!W5&gt;=1,06_CONSTRUCTION!W5&lt;=17A_STRUCTURES!$C$21),1,0)</f>
        <v>1</v>
      </c>
      <c r="X18" s="47" t="n">
        <f aca="false">IF(AND(06_CONSTRUCTION!X5&gt;=1,06_CONSTRUCTION!X5&lt;=17A_STRUCTURES!$C$21),1,0)</f>
        <v>1</v>
      </c>
      <c r="Y18" s="47" t="n">
        <f aca="false">IF(AND(06_CONSTRUCTION!Y5&gt;=1,06_CONSTRUCTION!Y5&lt;=17A_STRUCTURES!$C$21),1,0)</f>
        <v>1</v>
      </c>
      <c r="Z18" s="47" t="n">
        <f aca="false">IF(AND(06_CONSTRUCTION!Z5&gt;=1,06_CONSTRUCTION!Z5&lt;=17A_STRUCTURES!$C$21),1,0)</f>
        <v>1</v>
      </c>
      <c r="AA18" s="47" t="n">
        <f aca="false">IF(AND(06_CONSTRUCTION!AA5&gt;=1,06_CONSTRUCTION!AA5&lt;=17A_STRUCTURES!$C$21),1,0)</f>
        <v>1</v>
      </c>
      <c r="AB18" s="47" t="n">
        <f aca="false">IF(AND(06_CONSTRUCTION!AB5&gt;=1,06_CONSTRUCTION!AB5&lt;=17A_STRUCTURES!$C$21),1,0)</f>
        <v>0</v>
      </c>
      <c r="AC18" s="47" t="n">
        <f aca="false">IF(AND(06_CONSTRUCTION!AC5&gt;=1,06_CONSTRUCTION!AC5&lt;=17A_STRUCTURES!$C$21),1,0)</f>
        <v>0</v>
      </c>
      <c r="AD18" s="47" t="n">
        <f aca="false">IF(AND(06_CONSTRUCTION!AD5&gt;=1,06_CONSTRUCTION!AD5&lt;=17A_STRUCTURES!$C$21),1,0)</f>
        <v>0</v>
      </c>
      <c r="AE18" s="47" t="n">
        <f aca="false">IF(AND(06_CONSTRUCTION!AE5&gt;=1,06_CONSTRUCTION!AE5&lt;=17A_STRUCTURES!$C$21),1,0)</f>
        <v>0</v>
      </c>
      <c r="AF18" s="47" t="n">
        <f aca="false">IF(AND(06_CONSTRUCTION!AF5&gt;=1,06_CONSTRUCTION!AF5&lt;=17A_STRUCTURES!$C$21),1,0)</f>
        <v>0</v>
      </c>
      <c r="AG18" s="47" t="n">
        <f aca="false">IF(AND(06_CONSTRUCTION!AG5&gt;=1,06_CONSTRUCTION!AG5&lt;=17A_STRUCTURES!$C$21),1,0)</f>
        <v>0</v>
      </c>
      <c r="AH18" s="47" t="n">
        <f aca="false">IF(AND(06_CONSTRUCTION!AH5&gt;=1,06_CONSTRUCTION!AH5&lt;=17A_STRUCTURES!$C$21),1,0)</f>
        <v>0</v>
      </c>
      <c r="AI18" s="47" t="n">
        <f aca="false">IF(AND(06_CONSTRUCTION!AI5&gt;=1,06_CONSTRUCTION!AI5&lt;=17A_STRUCTURES!$C$21),1,0)</f>
        <v>0</v>
      </c>
      <c r="AJ18" s="47" t="n">
        <f aca="false">IF(AND(06_CONSTRUCTION!AJ5&gt;=1,06_CONSTRUCTION!AJ5&lt;=17A_STRUCTURES!$C$21),1,0)</f>
        <v>0</v>
      </c>
      <c r="AK18" s="47" t="n">
        <f aca="false">IF(AND(06_CONSTRUCTION!AK5&gt;=1,06_CONSTRUCTION!AK5&lt;=17A_STRUCTURES!$C$21),1,0)</f>
        <v>0</v>
      </c>
      <c r="AL18" s="47" t="n">
        <f aca="false">IF(AND(06_CONSTRUCTION!AL5&gt;=1,06_CONSTRUCTION!AL5&lt;=17A_STRUCTURES!$C$21),1,0)</f>
        <v>0</v>
      </c>
      <c r="AM18" s="47" t="n">
        <f aca="false">IF(AND(06_CONSTRUCTION!AM5&gt;=1,06_CONSTRUCTION!AM5&lt;=17A_STRUCTURES!$C$21),1,0)</f>
        <v>0</v>
      </c>
      <c r="AN18" s="47" t="n">
        <f aca="false">IF(AND(06_CONSTRUCTION!AN5&gt;=1,06_CONSTRUCTION!AN5&lt;=17A_STRUCTURES!$C$21),1,0)</f>
        <v>0</v>
      </c>
      <c r="AO18" s="47" t="n">
        <f aca="false">IF(AND(06_CONSTRUCTION!AO5&gt;=1,06_CONSTRUCTION!AO5&lt;=17A_STRUCTURES!$C$21),1,0)</f>
        <v>0</v>
      </c>
      <c r="AP18" s="47" t="n">
        <f aca="false">IF(AND(06_CONSTRUCTION!AP5&gt;=1,06_CONSTRUCTION!AP5&lt;=17A_STRUCTURES!$C$21),1,0)</f>
        <v>0</v>
      </c>
      <c r="AQ18" s="47" t="n">
        <f aca="false">IF(AND(06_CONSTRUCTION!AQ5&gt;=1,06_CONSTRUCTION!AQ5&lt;=17A_STRUCTURES!$C$21),1,0)</f>
        <v>0</v>
      </c>
      <c r="AR18" s="47" t="n">
        <f aca="false">IF(AND(06_CONSTRUCTION!AR5&gt;=1,06_CONSTRUCTION!AR5&lt;=17A_STRUCTURES!$C$21),1,0)</f>
        <v>0</v>
      </c>
    </row>
    <row r="19" customFormat="false" ht="15" hidden="false" customHeight="false" outlineLevel="0" collapsed="false">
      <c r="A19" s="8" t="s">
        <v>712</v>
      </c>
      <c r="B19" s="8" t="s">
        <v>82</v>
      </c>
      <c r="E19" s="40" t="n">
        <f aca="false">IF(06_CONSTRUCTION!E5&gt;=1,1/(1+18_DEBT!$C$11)^06_CONSTRUCTION!E5,0)</f>
        <v>0</v>
      </c>
      <c r="F19" s="40" t="n">
        <f aca="false">IF(06_CONSTRUCTION!F5&gt;=1,1/(1+18_DEBT!$C$11)^06_CONSTRUCTION!F5,0)</f>
        <v>0</v>
      </c>
      <c r="G19" s="40" t="n">
        <f aca="false">IF(06_CONSTRUCTION!G5&gt;=1,1/(1+18_DEBT!$C$11)^06_CONSTRUCTION!G5,0)</f>
        <v>0</v>
      </c>
      <c r="H19" s="40" t="n">
        <f aca="false">IF(06_CONSTRUCTION!H5&gt;=1,1/(1+18_DEBT!$C$11)^06_CONSTRUCTION!H5,0)</f>
        <v>0</v>
      </c>
      <c r="I19" s="40" t="n">
        <f aca="false">IF(06_CONSTRUCTION!I5&gt;=1,1/(1+18_DEBT!$C$11)^06_CONSTRUCTION!I5,0)</f>
        <v>0</v>
      </c>
      <c r="J19" s="40" t="n">
        <f aca="false">IF(06_CONSTRUCTION!J5&gt;=1,1/(1+18_DEBT!$C$11)^06_CONSTRUCTION!J5,0)</f>
        <v>0.925925925925926</v>
      </c>
      <c r="K19" s="40" t="n">
        <f aca="false">IF(06_CONSTRUCTION!K5&gt;=1,1/(1+18_DEBT!$C$11)^06_CONSTRUCTION!K5,0)</f>
        <v>0.857338820301783</v>
      </c>
      <c r="L19" s="40" t="n">
        <f aca="false">IF(06_CONSTRUCTION!L5&gt;=1,1/(1+18_DEBT!$C$11)^06_CONSTRUCTION!L5,0)</f>
        <v>0.79383224102017</v>
      </c>
      <c r="M19" s="40" t="n">
        <f aca="false">IF(06_CONSTRUCTION!M5&gt;=1,1/(1+18_DEBT!$C$11)^06_CONSTRUCTION!M5,0)</f>
        <v>0.735029852796453</v>
      </c>
      <c r="N19" s="40" t="n">
        <f aca="false">IF(06_CONSTRUCTION!N5&gt;=1,1/(1+18_DEBT!$C$11)^06_CONSTRUCTION!N5,0)</f>
        <v>0.680583197033753</v>
      </c>
      <c r="O19" s="40" t="n">
        <f aca="false">IF(06_CONSTRUCTION!O5&gt;=1,1/(1+18_DEBT!$C$11)^06_CONSTRUCTION!O5,0)</f>
        <v>0.630169626883105</v>
      </c>
      <c r="P19" s="40" t="n">
        <f aca="false">IF(06_CONSTRUCTION!P5&gt;=1,1/(1+18_DEBT!$C$11)^06_CONSTRUCTION!P5,0)</f>
        <v>0.583490395262134</v>
      </c>
      <c r="Q19" s="40" t="n">
        <f aca="false">IF(06_CONSTRUCTION!Q5&gt;=1,1/(1+18_DEBT!$C$11)^06_CONSTRUCTION!Q5,0)</f>
        <v>0.540268884501976</v>
      </c>
      <c r="R19" s="40" t="n">
        <f aca="false">IF(06_CONSTRUCTION!R5&gt;=1,1/(1+18_DEBT!$C$11)^06_CONSTRUCTION!R5,0)</f>
        <v>0.500248967131459</v>
      </c>
      <c r="S19" s="40" t="n">
        <f aca="false">IF(06_CONSTRUCTION!S5&gt;=1,1/(1+18_DEBT!$C$11)^06_CONSTRUCTION!S5,0)</f>
        <v>0.463193488084684</v>
      </c>
      <c r="T19" s="40" t="n">
        <f aca="false">IF(06_CONSTRUCTION!T5&gt;=1,1/(1+18_DEBT!$C$11)^06_CONSTRUCTION!T5,0)</f>
        <v>0.428882859337671</v>
      </c>
      <c r="U19" s="40" t="n">
        <f aca="false">IF(06_CONSTRUCTION!U5&gt;=1,1/(1+18_DEBT!$C$11)^06_CONSTRUCTION!U5,0)</f>
        <v>0.397113758645991</v>
      </c>
      <c r="V19" s="40" t="n">
        <f aca="false">IF(06_CONSTRUCTION!V5&gt;=1,1/(1+18_DEBT!$C$11)^06_CONSTRUCTION!V5,0)</f>
        <v>0.367697924672214</v>
      </c>
      <c r="W19" s="40" t="n">
        <f aca="false">IF(06_CONSTRUCTION!W5&gt;=1,1/(1+18_DEBT!$C$11)^06_CONSTRUCTION!W5,0)</f>
        <v>0.340461041363161</v>
      </c>
      <c r="X19" s="40" t="n">
        <f aca="false">IF(06_CONSTRUCTION!X5&gt;=1,1/(1+18_DEBT!$C$11)^06_CONSTRUCTION!X5,0)</f>
        <v>0.31524170496589</v>
      </c>
      <c r="Y19" s="40" t="n">
        <f aca="false">IF(06_CONSTRUCTION!Y5&gt;=1,1/(1+18_DEBT!$C$11)^06_CONSTRUCTION!Y5,0)</f>
        <v>0.291890467561009</v>
      </c>
      <c r="Z19" s="40" t="n">
        <f aca="false">IF(06_CONSTRUCTION!Z5&gt;=1,1/(1+18_DEBT!$C$11)^06_CONSTRUCTION!Z5,0)</f>
        <v>0.270268951445379</v>
      </c>
      <c r="AA19" s="40" t="n">
        <f aca="false">IF(06_CONSTRUCTION!AA5&gt;=1,1/(1+18_DEBT!$C$11)^06_CONSTRUCTION!AA5,0)</f>
        <v>0.250249029116092</v>
      </c>
      <c r="AB19" s="40" t="n">
        <f aca="false">IF(06_CONSTRUCTION!AB5&gt;=1,1/(1+18_DEBT!$C$11)^06_CONSTRUCTION!AB5,0)</f>
        <v>0.231712063996381</v>
      </c>
      <c r="AC19" s="40" t="n">
        <f aca="false">IF(06_CONSTRUCTION!AC5&gt;=1,1/(1+18_DEBT!$C$11)^06_CONSTRUCTION!AC5,0)</f>
        <v>0.214548207404056</v>
      </c>
      <c r="AD19" s="40" t="n">
        <f aca="false">IF(06_CONSTRUCTION!AD5&gt;=1,1/(1+18_DEBT!$C$11)^06_CONSTRUCTION!AD5,0)</f>
        <v>0.198655747596349</v>
      </c>
      <c r="AE19" s="40" t="n">
        <f aca="false">IF(06_CONSTRUCTION!AE5&gt;=1,1/(1+18_DEBT!$C$11)^06_CONSTRUCTION!AE5,0)</f>
        <v>0.183940507033656</v>
      </c>
      <c r="AF19" s="40" t="n">
        <f aca="false">IF(06_CONSTRUCTION!AF5&gt;=1,1/(1+18_DEBT!$C$11)^06_CONSTRUCTION!AF5,0)</f>
        <v>0.170315284290422</v>
      </c>
      <c r="AG19" s="40" t="n">
        <f aca="false">IF(06_CONSTRUCTION!AG5&gt;=1,1/(1+18_DEBT!$C$11)^06_CONSTRUCTION!AG5,0)</f>
        <v>0.157699337305947</v>
      </c>
      <c r="AH19" s="40" t="n">
        <f aca="false">IF(06_CONSTRUCTION!AH5&gt;=1,1/(1+18_DEBT!$C$11)^06_CONSTRUCTION!AH5,0)</f>
        <v>0.146017904912913</v>
      </c>
      <c r="AI19" s="40" t="n">
        <f aca="false">IF(06_CONSTRUCTION!AI5&gt;=1,1/(1+18_DEBT!$C$11)^06_CONSTRUCTION!AI5,0)</f>
        <v>0.135201763808253</v>
      </c>
      <c r="AJ19" s="40" t="n">
        <f aca="false">IF(06_CONSTRUCTION!AJ5&gt;=1,1/(1+18_DEBT!$C$11)^06_CONSTRUCTION!AJ5,0)</f>
        <v>0.125186818340975</v>
      </c>
      <c r="AK19" s="40" t="n">
        <f aca="false">IF(06_CONSTRUCTION!AK5&gt;=1,1/(1+18_DEBT!$C$11)^06_CONSTRUCTION!AK5,0)</f>
        <v>0.115913720686088</v>
      </c>
      <c r="AL19" s="40" t="n">
        <f aca="false">IF(06_CONSTRUCTION!AL5&gt;=1,1/(1+18_DEBT!$C$11)^06_CONSTRUCTION!AL5,0)</f>
        <v>0.107327519153785</v>
      </c>
      <c r="AM19" s="40" t="n">
        <f aca="false">IF(06_CONSTRUCTION!AM5&gt;=1,1/(1+18_DEBT!$C$11)^06_CONSTRUCTION!AM5,0)</f>
        <v>0.0993773325498012</v>
      </c>
      <c r="AN19" s="40" t="n">
        <f aca="false">IF(06_CONSTRUCTION!AN5&gt;=1,1/(1+18_DEBT!$C$11)^06_CONSTRUCTION!AN5,0)</f>
        <v>0</v>
      </c>
      <c r="AO19" s="40" t="n">
        <f aca="false">IF(06_CONSTRUCTION!AO5&gt;=1,1/(1+18_DEBT!$C$11)^06_CONSTRUCTION!AO5,0)</f>
        <v>0</v>
      </c>
      <c r="AP19" s="40" t="n">
        <f aca="false">IF(06_CONSTRUCTION!AP5&gt;=1,1/(1+18_DEBT!$C$11)^06_CONSTRUCTION!AP5,0)</f>
        <v>0</v>
      </c>
      <c r="AQ19" s="40" t="n">
        <f aca="false">IF(06_CONSTRUCTION!AQ5&gt;=1,1/(1+18_DEBT!$C$11)^06_CONSTRUCTION!AQ5,0)</f>
        <v>0</v>
      </c>
      <c r="AR19" s="40" t="n">
        <f aca="false">IF(06_CONSTRUCTION!AR5&gt;=1,1/(1+18_DEBT!$C$11)^06_CONSTRUCTION!AR5,0)</f>
        <v>0</v>
      </c>
    </row>
    <row r="20" customFormat="false" ht="15" hidden="false" customHeight="false" outlineLevel="0" collapsed="false">
      <c r="A20" s="8" t="s">
        <v>713</v>
      </c>
      <c r="B20" s="8" t="s">
        <v>56</v>
      </c>
      <c r="C20" s="73" t="n">
        <f aca="false">IFERROR((17_PROJECT_FINANCE!$C$15*17A_STRUCTURES!$C$17+17_PROJECT_FINANCE!$C$16*18_DEBT!$C$11)/(17_PROJECT_FINANCE!$C$15+17_PROJECT_FINANCE!$C$16),18_DEBT!$C$11)</f>
        <v>0.0626493506493507</v>
      </c>
    </row>
    <row r="21" customFormat="false" ht="15" hidden="false" customHeight="false" outlineLevel="0" collapsed="false">
      <c r="A21" s="8" t="s">
        <v>714</v>
      </c>
      <c r="B21" s="8" t="s">
        <v>249</v>
      </c>
      <c r="E21" s="47" t="n">
        <f aca="false">IF(AND(06_CONSTRUCTION!E5&gt;=1,06_CONSTRUCTION!E5&lt;=MAX(17A_STRUCTURES!$C$21,IF(17_PROJECT_FINANCE!$C$15&gt;0,17A_STRUCTURES!$C$18+17A_STRUCTURES!$C$19,0))),1,0)</f>
        <v>0</v>
      </c>
      <c r="F21" s="47" t="n">
        <f aca="false">IF(AND(06_CONSTRUCTION!F5&gt;=1,06_CONSTRUCTION!F5&lt;=MAX(17A_STRUCTURES!$C$21,IF(17_PROJECT_FINANCE!$C$15&gt;0,17A_STRUCTURES!$C$18+17A_STRUCTURES!$C$19,0))),1,0)</f>
        <v>0</v>
      </c>
      <c r="G21" s="47" t="n">
        <f aca="false">IF(AND(06_CONSTRUCTION!G5&gt;=1,06_CONSTRUCTION!G5&lt;=MAX(17A_STRUCTURES!$C$21,IF(17_PROJECT_FINANCE!$C$15&gt;0,17A_STRUCTURES!$C$18+17A_STRUCTURES!$C$19,0))),1,0)</f>
        <v>0</v>
      </c>
      <c r="H21" s="47" t="n">
        <f aca="false">IF(AND(06_CONSTRUCTION!H5&gt;=1,06_CONSTRUCTION!H5&lt;=MAX(17A_STRUCTURES!$C$21,IF(17_PROJECT_FINANCE!$C$15&gt;0,17A_STRUCTURES!$C$18+17A_STRUCTURES!$C$19,0))),1,0)</f>
        <v>0</v>
      </c>
      <c r="I21" s="47" t="n">
        <f aca="false">IF(AND(06_CONSTRUCTION!I5&gt;=1,06_CONSTRUCTION!I5&lt;=MAX(17A_STRUCTURES!$C$21,IF(17_PROJECT_FINANCE!$C$15&gt;0,17A_STRUCTURES!$C$18+17A_STRUCTURES!$C$19,0))),1,0)</f>
        <v>0</v>
      </c>
      <c r="J21" s="47" t="n">
        <f aca="false">IF(AND(06_CONSTRUCTION!J5&gt;=1,06_CONSTRUCTION!J5&lt;=MAX(17A_STRUCTURES!$C$21,IF(17_PROJECT_FINANCE!$C$15&gt;0,17A_STRUCTURES!$C$18+17A_STRUCTURES!$C$19,0))),1,0)</f>
        <v>1</v>
      </c>
      <c r="K21" s="47" t="n">
        <f aca="false">IF(AND(06_CONSTRUCTION!K5&gt;=1,06_CONSTRUCTION!K5&lt;=MAX(17A_STRUCTURES!$C$21,IF(17_PROJECT_FINANCE!$C$15&gt;0,17A_STRUCTURES!$C$18+17A_STRUCTURES!$C$19,0))),1,0)</f>
        <v>1</v>
      </c>
      <c r="L21" s="47" t="n">
        <f aca="false">IF(AND(06_CONSTRUCTION!L5&gt;=1,06_CONSTRUCTION!L5&lt;=MAX(17A_STRUCTURES!$C$21,IF(17_PROJECT_FINANCE!$C$15&gt;0,17A_STRUCTURES!$C$18+17A_STRUCTURES!$C$19,0))),1,0)</f>
        <v>1</v>
      </c>
      <c r="M21" s="47" t="n">
        <f aca="false">IF(AND(06_CONSTRUCTION!M5&gt;=1,06_CONSTRUCTION!M5&lt;=MAX(17A_STRUCTURES!$C$21,IF(17_PROJECT_FINANCE!$C$15&gt;0,17A_STRUCTURES!$C$18+17A_STRUCTURES!$C$19,0))),1,0)</f>
        <v>1</v>
      </c>
      <c r="N21" s="47" t="n">
        <f aca="false">IF(AND(06_CONSTRUCTION!N5&gt;=1,06_CONSTRUCTION!N5&lt;=MAX(17A_STRUCTURES!$C$21,IF(17_PROJECT_FINANCE!$C$15&gt;0,17A_STRUCTURES!$C$18+17A_STRUCTURES!$C$19,0))),1,0)</f>
        <v>1</v>
      </c>
      <c r="O21" s="47" t="n">
        <f aca="false">IF(AND(06_CONSTRUCTION!O5&gt;=1,06_CONSTRUCTION!O5&lt;=MAX(17A_STRUCTURES!$C$21,IF(17_PROJECT_FINANCE!$C$15&gt;0,17A_STRUCTURES!$C$18+17A_STRUCTURES!$C$19,0))),1,0)</f>
        <v>1</v>
      </c>
      <c r="P21" s="47" t="n">
        <f aca="false">IF(AND(06_CONSTRUCTION!P5&gt;=1,06_CONSTRUCTION!P5&lt;=MAX(17A_STRUCTURES!$C$21,IF(17_PROJECT_FINANCE!$C$15&gt;0,17A_STRUCTURES!$C$18+17A_STRUCTURES!$C$19,0))),1,0)</f>
        <v>1</v>
      </c>
      <c r="Q21" s="47" t="n">
        <f aca="false">IF(AND(06_CONSTRUCTION!Q5&gt;=1,06_CONSTRUCTION!Q5&lt;=MAX(17A_STRUCTURES!$C$21,IF(17_PROJECT_FINANCE!$C$15&gt;0,17A_STRUCTURES!$C$18+17A_STRUCTURES!$C$19,0))),1,0)</f>
        <v>1</v>
      </c>
      <c r="R21" s="47" t="n">
        <f aca="false">IF(AND(06_CONSTRUCTION!R5&gt;=1,06_CONSTRUCTION!R5&lt;=MAX(17A_STRUCTURES!$C$21,IF(17_PROJECT_FINANCE!$C$15&gt;0,17A_STRUCTURES!$C$18+17A_STRUCTURES!$C$19,0))),1,0)</f>
        <v>1</v>
      </c>
      <c r="S21" s="47" t="n">
        <f aca="false">IF(AND(06_CONSTRUCTION!S5&gt;=1,06_CONSTRUCTION!S5&lt;=MAX(17A_STRUCTURES!$C$21,IF(17_PROJECT_FINANCE!$C$15&gt;0,17A_STRUCTURES!$C$18+17A_STRUCTURES!$C$19,0))),1,0)</f>
        <v>1</v>
      </c>
      <c r="T21" s="47" t="n">
        <f aca="false">IF(AND(06_CONSTRUCTION!T5&gt;=1,06_CONSTRUCTION!T5&lt;=MAX(17A_STRUCTURES!$C$21,IF(17_PROJECT_FINANCE!$C$15&gt;0,17A_STRUCTURES!$C$18+17A_STRUCTURES!$C$19,0))),1,0)</f>
        <v>1</v>
      </c>
      <c r="U21" s="47" t="n">
        <f aca="false">IF(AND(06_CONSTRUCTION!U5&gt;=1,06_CONSTRUCTION!U5&lt;=MAX(17A_STRUCTURES!$C$21,IF(17_PROJECT_FINANCE!$C$15&gt;0,17A_STRUCTURES!$C$18+17A_STRUCTURES!$C$19,0))),1,0)</f>
        <v>1</v>
      </c>
      <c r="V21" s="47" t="n">
        <f aca="false">IF(AND(06_CONSTRUCTION!V5&gt;=1,06_CONSTRUCTION!V5&lt;=MAX(17A_STRUCTURES!$C$21,IF(17_PROJECT_FINANCE!$C$15&gt;0,17A_STRUCTURES!$C$18+17A_STRUCTURES!$C$19,0))),1,0)</f>
        <v>1</v>
      </c>
      <c r="W21" s="47" t="n">
        <f aca="false">IF(AND(06_CONSTRUCTION!W5&gt;=1,06_CONSTRUCTION!W5&lt;=MAX(17A_STRUCTURES!$C$21,IF(17_PROJECT_FINANCE!$C$15&gt;0,17A_STRUCTURES!$C$18+17A_STRUCTURES!$C$19,0))),1,0)</f>
        <v>1</v>
      </c>
      <c r="X21" s="47" t="n">
        <f aca="false">IF(AND(06_CONSTRUCTION!X5&gt;=1,06_CONSTRUCTION!X5&lt;=MAX(17A_STRUCTURES!$C$21,IF(17_PROJECT_FINANCE!$C$15&gt;0,17A_STRUCTURES!$C$18+17A_STRUCTURES!$C$19,0))),1,0)</f>
        <v>1</v>
      </c>
      <c r="Y21" s="47" t="n">
        <f aca="false">IF(AND(06_CONSTRUCTION!Y5&gt;=1,06_CONSTRUCTION!Y5&lt;=MAX(17A_STRUCTURES!$C$21,IF(17_PROJECT_FINANCE!$C$15&gt;0,17A_STRUCTURES!$C$18+17A_STRUCTURES!$C$19,0))),1,0)</f>
        <v>1</v>
      </c>
      <c r="Z21" s="47" t="n">
        <f aca="false">IF(AND(06_CONSTRUCTION!Z5&gt;=1,06_CONSTRUCTION!Z5&lt;=MAX(17A_STRUCTURES!$C$21,IF(17_PROJECT_FINANCE!$C$15&gt;0,17A_STRUCTURES!$C$18+17A_STRUCTURES!$C$19,0))),1,0)</f>
        <v>1</v>
      </c>
      <c r="AA21" s="47" t="n">
        <f aca="false">IF(AND(06_CONSTRUCTION!AA5&gt;=1,06_CONSTRUCTION!AA5&lt;=MAX(17A_STRUCTURES!$C$21,IF(17_PROJECT_FINANCE!$C$15&gt;0,17A_STRUCTURES!$C$18+17A_STRUCTURES!$C$19,0))),1,0)</f>
        <v>1</v>
      </c>
      <c r="AB21" s="47" t="n">
        <f aca="false">IF(AND(06_CONSTRUCTION!AB5&gt;=1,06_CONSTRUCTION!AB5&lt;=MAX(17A_STRUCTURES!$C$21,IF(17_PROJECT_FINANCE!$C$15&gt;0,17A_STRUCTURES!$C$18+17A_STRUCTURES!$C$19,0))),1,0)</f>
        <v>1</v>
      </c>
      <c r="AC21" s="47" t="n">
        <f aca="false">IF(AND(06_CONSTRUCTION!AC5&gt;=1,06_CONSTRUCTION!AC5&lt;=MAX(17A_STRUCTURES!$C$21,IF(17_PROJECT_FINANCE!$C$15&gt;0,17A_STRUCTURES!$C$18+17A_STRUCTURES!$C$19,0))),1,0)</f>
        <v>1</v>
      </c>
      <c r="AD21" s="47" t="n">
        <f aca="false">IF(AND(06_CONSTRUCTION!AD5&gt;=1,06_CONSTRUCTION!AD5&lt;=MAX(17A_STRUCTURES!$C$21,IF(17_PROJECT_FINANCE!$C$15&gt;0,17A_STRUCTURES!$C$18+17A_STRUCTURES!$C$19,0))),1,0)</f>
        <v>1</v>
      </c>
      <c r="AE21" s="47" t="n">
        <f aca="false">IF(AND(06_CONSTRUCTION!AE5&gt;=1,06_CONSTRUCTION!AE5&lt;=MAX(17A_STRUCTURES!$C$21,IF(17_PROJECT_FINANCE!$C$15&gt;0,17A_STRUCTURES!$C$18+17A_STRUCTURES!$C$19,0))),1,0)</f>
        <v>1</v>
      </c>
      <c r="AF21" s="47" t="n">
        <f aca="false">IF(AND(06_CONSTRUCTION!AF5&gt;=1,06_CONSTRUCTION!AF5&lt;=MAX(17A_STRUCTURES!$C$21,IF(17_PROJECT_FINANCE!$C$15&gt;0,17A_STRUCTURES!$C$18+17A_STRUCTURES!$C$19,0))),1,0)</f>
        <v>1</v>
      </c>
      <c r="AG21" s="47" t="n">
        <f aca="false">IF(AND(06_CONSTRUCTION!AG5&gt;=1,06_CONSTRUCTION!AG5&lt;=MAX(17A_STRUCTURES!$C$21,IF(17_PROJECT_FINANCE!$C$15&gt;0,17A_STRUCTURES!$C$18+17A_STRUCTURES!$C$19,0))),1,0)</f>
        <v>1</v>
      </c>
      <c r="AH21" s="47" t="n">
        <f aca="false">IF(AND(06_CONSTRUCTION!AH5&gt;=1,06_CONSTRUCTION!AH5&lt;=MAX(17A_STRUCTURES!$C$21,IF(17_PROJECT_FINANCE!$C$15&gt;0,17A_STRUCTURES!$C$18+17A_STRUCTURES!$C$19,0))),1,0)</f>
        <v>1</v>
      </c>
      <c r="AI21" s="47" t="n">
        <f aca="false">IF(AND(06_CONSTRUCTION!AI5&gt;=1,06_CONSTRUCTION!AI5&lt;=MAX(17A_STRUCTURES!$C$21,IF(17_PROJECT_FINANCE!$C$15&gt;0,17A_STRUCTURES!$C$18+17A_STRUCTURES!$C$19,0))),1,0)</f>
        <v>0</v>
      </c>
      <c r="AJ21" s="47" t="n">
        <f aca="false">IF(AND(06_CONSTRUCTION!AJ5&gt;=1,06_CONSTRUCTION!AJ5&lt;=MAX(17A_STRUCTURES!$C$21,IF(17_PROJECT_FINANCE!$C$15&gt;0,17A_STRUCTURES!$C$18+17A_STRUCTURES!$C$19,0))),1,0)</f>
        <v>0</v>
      </c>
      <c r="AK21" s="47" t="n">
        <f aca="false">IF(AND(06_CONSTRUCTION!AK5&gt;=1,06_CONSTRUCTION!AK5&lt;=MAX(17A_STRUCTURES!$C$21,IF(17_PROJECT_FINANCE!$C$15&gt;0,17A_STRUCTURES!$C$18+17A_STRUCTURES!$C$19,0))),1,0)</f>
        <v>0</v>
      </c>
      <c r="AL21" s="47" t="n">
        <f aca="false">IF(AND(06_CONSTRUCTION!AL5&gt;=1,06_CONSTRUCTION!AL5&lt;=MAX(17A_STRUCTURES!$C$21,IF(17_PROJECT_FINANCE!$C$15&gt;0,17A_STRUCTURES!$C$18+17A_STRUCTURES!$C$19,0))),1,0)</f>
        <v>0</v>
      </c>
      <c r="AM21" s="47" t="n">
        <f aca="false">IF(AND(06_CONSTRUCTION!AM5&gt;=1,06_CONSTRUCTION!AM5&lt;=MAX(17A_STRUCTURES!$C$21,IF(17_PROJECT_FINANCE!$C$15&gt;0,17A_STRUCTURES!$C$18+17A_STRUCTURES!$C$19,0))),1,0)</f>
        <v>0</v>
      </c>
      <c r="AN21" s="47" t="n">
        <f aca="false">IF(AND(06_CONSTRUCTION!AN5&gt;=1,06_CONSTRUCTION!AN5&lt;=MAX(17A_STRUCTURES!$C$21,IF(17_PROJECT_FINANCE!$C$15&gt;0,17A_STRUCTURES!$C$18+17A_STRUCTURES!$C$19,0))),1,0)</f>
        <v>0</v>
      </c>
      <c r="AO21" s="47" t="n">
        <f aca="false">IF(AND(06_CONSTRUCTION!AO5&gt;=1,06_CONSTRUCTION!AO5&lt;=MAX(17A_STRUCTURES!$C$21,IF(17_PROJECT_FINANCE!$C$15&gt;0,17A_STRUCTURES!$C$18+17A_STRUCTURES!$C$19,0))),1,0)</f>
        <v>0</v>
      </c>
      <c r="AP21" s="47" t="n">
        <f aca="false">IF(AND(06_CONSTRUCTION!AP5&gt;=1,06_CONSTRUCTION!AP5&lt;=MAX(17A_STRUCTURES!$C$21,IF(17_PROJECT_FINANCE!$C$15&gt;0,17A_STRUCTURES!$C$18+17A_STRUCTURES!$C$19,0))),1,0)</f>
        <v>0</v>
      </c>
      <c r="AQ21" s="47" t="n">
        <f aca="false">IF(AND(06_CONSTRUCTION!AQ5&gt;=1,06_CONSTRUCTION!AQ5&lt;=MAX(17A_STRUCTURES!$C$21,IF(17_PROJECT_FINANCE!$C$15&gt;0,17A_STRUCTURES!$C$18+17A_STRUCTURES!$C$19,0))),1,0)</f>
        <v>0</v>
      </c>
      <c r="AR21" s="47" t="n">
        <f aca="false">IF(AND(06_CONSTRUCTION!AR5&gt;=1,06_CONSTRUCTION!AR5&lt;=MAX(17A_STRUCTURES!$C$21,IF(17_PROJECT_FINANCE!$C$15&gt;0,17A_STRUCTURES!$C$18+17A_STRUCTURES!$C$19,0))),1,0)</f>
        <v>0</v>
      </c>
    </row>
    <row r="22" customFormat="false" ht="15" hidden="false" customHeight="false" outlineLevel="0" collapsed="false">
      <c r="A22" s="8" t="s">
        <v>715</v>
      </c>
      <c r="B22" s="8" t="s">
        <v>82</v>
      </c>
      <c r="E22" s="40" t="n">
        <f aca="false">IF(06_CONSTRUCTION!E5&gt;=1,1/(1+18_DEBT!$C$20)^06_CONSTRUCTION!E5,0)</f>
        <v>0</v>
      </c>
      <c r="F22" s="40" t="n">
        <f aca="false">IF(06_CONSTRUCTION!F5&gt;=1,1/(1+18_DEBT!$C$20)^06_CONSTRUCTION!F5,0)</f>
        <v>0</v>
      </c>
      <c r="G22" s="40" t="n">
        <f aca="false">IF(06_CONSTRUCTION!G5&gt;=1,1/(1+18_DEBT!$C$20)^06_CONSTRUCTION!G5,0)</f>
        <v>0</v>
      </c>
      <c r="H22" s="40" t="n">
        <f aca="false">IF(06_CONSTRUCTION!H5&gt;=1,1/(1+18_DEBT!$C$20)^06_CONSTRUCTION!H5,0)</f>
        <v>0</v>
      </c>
      <c r="I22" s="40" t="n">
        <f aca="false">IF(06_CONSTRUCTION!I5&gt;=1,1/(1+18_DEBT!$C$20)^06_CONSTRUCTION!I5,0)</f>
        <v>0</v>
      </c>
      <c r="J22" s="40" t="n">
        <f aca="false">IF(06_CONSTRUCTION!J5&gt;=1,1/(1+18_DEBT!$C$20)^06_CONSTRUCTION!J5,0)</f>
        <v>0.941044192412984</v>
      </c>
      <c r="K22" s="40" t="n">
        <f aca="false">IF(06_CONSTRUCTION!K5&gt;=1,1/(1+18_DEBT!$C$20)^06_CONSTRUCTION!K5,0)</f>
        <v>0.885564172074205</v>
      </c>
      <c r="L22" s="40" t="n">
        <f aca="false">IF(06_CONSTRUCTION!L5&gt;=1,1/(1+18_DEBT!$C$20)^06_CONSTRUCTION!L5,0)</f>
        <v>0.833355021139443</v>
      </c>
      <c r="M22" s="40" t="n">
        <f aca="false">IF(06_CONSTRUCTION!M5&gt;=1,1/(1+18_DEBT!$C$20)^06_CONSTRUCTION!M5,0)</f>
        <v>0.784223902861473</v>
      </c>
      <c r="N22" s="40" t="n">
        <f aca="false">IF(06_CONSTRUCTION!N5&gt;=1,1/(1+18_DEBT!$C$20)^06_CONSTRUCTION!N5,0)</f>
        <v>0.737989349339233</v>
      </c>
      <c r="O22" s="40" t="n">
        <f aca="false">IF(06_CONSTRUCTION!O5&gt;=1,1/(1+18_DEBT!$C$20)^06_CONSTRUCTION!O5,0)</f>
        <v>0.694480591258322</v>
      </c>
      <c r="P22" s="40" t="n">
        <f aca="false">IF(06_CONSTRUCTION!P5&gt;=1,1/(1+18_DEBT!$C$20)^06_CONSTRUCTION!P5,0)</f>
        <v>0.653536927147179</v>
      </c>
      <c r="Q22" s="40" t="n">
        <f aca="false">IF(06_CONSTRUCTION!Q5&gt;=1,1/(1+18_DEBT!$C$20)^06_CONSTRUCTION!Q5,0)</f>
        <v>0.61500712981928</v>
      </c>
      <c r="R22" s="40" t="n">
        <f aca="false">IF(06_CONSTRUCTION!R5&gt;=1,1/(1+18_DEBT!$C$20)^06_CONSTRUCTION!R5,0)</f>
        <v>0.578748887809012</v>
      </c>
      <c r="S22" s="40" t="n">
        <f aca="false">IF(06_CONSTRUCTION!S5&gt;=1,1/(1+18_DEBT!$C$20)^06_CONSTRUCTION!S5,0)</f>
        <v>0.544628279738144</v>
      </c>
      <c r="T22" s="40" t="n">
        <f aca="false">IF(06_CONSTRUCTION!T5&gt;=1,1/(1+18_DEBT!$C$20)^06_CONSTRUCTION!T5,0)</f>
        <v>0.512519279671455</v>
      </c>
      <c r="U22" s="40" t="n">
        <f aca="false">IF(06_CONSTRUCTION!U5&gt;=1,1/(1+18_DEBT!$C$20)^06_CONSTRUCTION!U5,0)</f>
        <v>0.482303291634508</v>
      </c>
      <c r="V22" s="40" t="n">
        <f aca="false">IF(06_CONSTRUCTION!V5&gt;=1,1/(1+18_DEBT!$C$20)^06_CONSTRUCTION!V5,0)</f>
        <v>0.45386871157432</v>
      </c>
      <c r="W22" s="40" t="n">
        <f aca="false">IF(06_CONSTRUCTION!W5&gt;=1,1/(1+18_DEBT!$C$20)^06_CONSTRUCTION!W5,0)</f>
        <v>0.427110515144977</v>
      </c>
      <c r="X22" s="40" t="n">
        <f aca="false">IF(06_CONSTRUCTION!X5&gt;=1,1/(1+18_DEBT!$C$20)^06_CONSTRUCTION!X5,0)</f>
        <v>0.401929869795699</v>
      </c>
      <c r="Y22" s="40" t="n">
        <f aca="false">IF(06_CONSTRUCTION!Y5&gt;=1,1/(1+18_DEBT!$C$20)^06_CONSTRUCTION!Y5,0)</f>
        <v>0.378233769728549</v>
      </c>
      <c r="Z22" s="40" t="n">
        <f aca="false">IF(06_CONSTRUCTION!Z5&gt;=1,1/(1+18_DEBT!$C$20)^06_CONSTRUCTION!Z5,0)</f>
        <v>0.355934692377521</v>
      </c>
      <c r="AA22" s="40" t="n">
        <f aca="false">IF(06_CONSTRUCTION!AA5&gt;=1,1/(1+18_DEBT!$C$20)^06_CONSTRUCTION!AA5,0)</f>
        <v>0.334950275140168</v>
      </c>
      <c r="AB22" s="40" t="n">
        <f aca="false">IF(06_CONSTRUCTION!AB5&gt;=1,1/(1+18_DEBT!$C$20)^06_CONSTRUCTION!AB5,0)</f>
        <v>0.315203011167786</v>
      </c>
      <c r="AC22" s="40" t="n">
        <f aca="false">IF(06_CONSTRUCTION!AC5&gt;=1,1/(1+18_DEBT!$C$20)^06_CONSTRUCTION!AC5,0)</f>
        <v>0.29661996309053</v>
      </c>
      <c r="AD22" s="40" t="n">
        <f aca="false">IF(06_CONSTRUCTION!AD5&gt;=1,1/(1+18_DEBT!$C$20)^06_CONSTRUCTION!AD5,0)</f>
        <v>0.279132493620097</v>
      </c>
      <c r="AE22" s="40" t="n">
        <f aca="false">IF(06_CONSTRUCTION!AE5&gt;=1,1/(1+18_DEBT!$C$20)^06_CONSTRUCTION!AE5,0)</f>
        <v>0.262676012034947</v>
      </c>
      <c r="AF22" s="40" t="n">
        <f aca="false">IF(06_CONSTRUCTION!AF5&gt;=1,1/(1+18_DEBT!$C$20)^06_CONSTRUCTION!AF5,0)</f>
        <v>0.24718973561169</v>
      </c>
      <c r="AG22" s="40" t="n">
        <f aca="false">IF(06_CONSTRUCTION!AG5&gt;=1,1/(1+18_DEBT!$C$20)^06_CONSTRUCTION!AG5,0)</f>
        <v>0.232616465121482</v>
      </c>
      <c r="AH22" s="40" t="n">
        <f aca="false">IF(06_CONSTRUCTION!AH5&gt;=1,1/(1+18_DEBT!$C$20)^06_CONSTRUCTION!AH5,0)</f>
        <v>0.218902373562208</v>
      </c>
      <c r="AI22" s="40" t="n">
        <f aca="false">IF(06_CONSTRUCTION!AI5&gt;=1,1/(1+18_DEBT!$C$20)^06_CONSTRUCTION!AI5,0)</f>
        <v>0.205996807346133</v>
      </c>
      <c r="AJ22" s="40" t="n">
        <f aca="false">IF(06_CONSTRUCTION!AJ5&gt;=1,1/(1+18_DEBT!$C$20)^06_CONSTRUCTION!AJ5,0)</f>
        <v>0.193852099208695</v>
      </c>
      <c r="AK22" s="40" t="n">
        <f aca="false">IF(06_CONSTRUCTION!AK5&gt;=1,1/(1+18_DEBT!$C$20)^06_CONSTRUCTION!AK5,0)</f>
        <v>0.182423392147408</v>
      </c>
      <c r="AL22" s="40" t="n">
        <f aca="false">IF(06_CONSTRUCTION!AL5&gt;=1,1/(1+18_DEBT!$C$20)^06_CONSTRUCTION!AL5,0)</f>
        <v>0.171668473740595</v>
      </c>
      <c r="AM22" s="40" t="n">
        <f aca="false">IF(06_CONSTRUCTION!AM5&gt;=1,1/(1+18_DEBT!$C$20)^06_CONSTRUCTION!AM5,0)</f>
        <v>0.161547620233987</v>
      </c>
      <c r="AN22" s="40" t="n">
        <f aca="false">IF(06_CONSTRUCTION!AN5&gt;=1,1/(1+18_DEBT!$C$20)^06_CONSTRUCTION!AN5,0)</f>
        <v>0</v>
      </c>
      <c r="AO22" s="40" t="n">
        <f aca="false">IF(06_CONSTRUCTION!AO5&gt;=1,1/(1+18_DEBT!$C$20)^06_CONSTRUCTION!AO5,0)</f>
        <v>0</v>
      </c>
      <c r="AP22" s="40" t="n">
        <f aca="false">IF(06_CONSTRUCTION!AP5&gt;=1,1/(1+18_DEBT!$C$20)^06_CONSTRUCTION!AP5,0)</f>
        <v>0</v>
      </c>
      <c r="AQ22" s="40" t="n">
        <f aca="false">IF(06_CONSTRUCTION!AQ5&gt;=1,1/(1+18_DEBT!$C$20)^06_CONSTRUCTION!AQ5,0)</f>
        <v>0</v>
      </c>
      <c r="AR22" s="40" t="n">
        <f aca="false">IF(06_CONSTRUCTION!AR5&gt;=1,1/(1+18_DEBT!$C$20)^06_CONSTRUCTION!AR5,0)</f>
        <v>0</v>
      </c>
    </row>
    <row r="23" customFormat="false" ht="15" hidden="false" customHeight="false" outlineLevel="0" collapsed="false">
      <c r="A23" s="8" t="s">
        <v>716</v>
      </c>
      <c r="B23" s="8" t="s">
        <v>84</v>
      </c>
      <c r="C23" s="34" t="n">
        <f aca="false">SUM(18_DEBT!$E$23:$AR$23)</f>
        <v>1451.54183481767</v>
      </c>
      <c r="E23" s="34" t="n">
        <f aca="false">18_DEBT!E18*MAX(0,18_DEBT!E17/17A_STRUCTURES!$C$22-18_DEBT!E30)</f>
        <v>0</v>
      </c>
      <c r="F23" s="34" t="n">
        <f aca="false">18_DEBT!F18*MAX(0,18_DEBT!F17/17A_STRUCTURES!$C$22-18_DEBT!F30)</f>
        <v>0</v>
      </c>
      <c r="G23" s="34" t="n">
        <f aca="false">18_DEBT!G18*MAX(0,18_DEBT!G17/17A_STRUCTURES!$C$22-18_DEBT!G30)</f>
        <v>0</v>
      </c>
      <c r="H23" s="34" t="n">
        <f aca="false">18_DEBT!H18*MAX(0,18_DEBT!H17/17A_STRUCTURES!$C$22-18_DEBT!H30)</f>
        <v>0</v>
      </c>
      <c r="I23" s="34" t="n">
        <f aca="false">18_DEBT!I18*MAX(0,18_DEBT!I17/17A_STRUCTURES!$C$22-18_DEBT!I30)</f>
        <v>0</v>
      </c>
      <c r="J23" s="34" t="n">
        <f aca="false">18_DEBT!J18*MAX(0,18_DEBT!J17/17A_STRUCTURES!$C$22-18_DEBT!J30)</f>
        <v>78.8027511613633</v>
      </c>
      <c r="K23" s="34" t="n">
        <f aca="false">18_DEBT!K18*MAX(0,18_DEBT!K17/17A_STRUCTURES!$C$22-18_DEBT!K30)</f>
        <v>99.2162375371605</v>
      </c>
      <c r="L23" s="34" t="n">
        <f aca="false">18_DEBT!L18*MAX(0,18_DEBT!L17/17A_STRUCTURES!$C$22-18_DEBT!L30)</f>
        <v>100.440372319156</v>
      </c>
      <c r="M23" s="34" t="n">
        <f aca="false">18_DEBT!M18*MAX(0,18_DEBT!M17/17A_STRUCTURES!$C$22-18_DEBT!M30)</f>
        <v>101.688989796791</v>
      </c>
      <c r="N23" s="34" t="n">
        <f aca="false">18_DEBT!N18*MAX(0,18_DEBT!N17/17A_STRUCTURES!$C$22-18_DEBT!N30)</f>
        <v>102.96257962398</v>
      </c>
      <c r="O23" s="34" t="n">
        <f aca="false">18_DEBT!O18*MAX(0,18_DEBT!O17/17A_STRUCTURES!$C$22-18_DEBT!O30)</f>
        <v>65.5030810367741</v>
      </c>
      <c r="P23" s="34" t="n">
        <f aca="false">18_DEBT!P18*MAX(0,18_DEBT!P17/17A_STRUCTURES!$C$22-18_DEBT!P30)</f>
        <v>66.9301361142494</v>
      </c>
      <c r="Q23" s="34" t="n">
        <f aca="false">18_DEBT!Q18*MAX(0,18_DEBT!Q17/17A_STRUCTURES!$C$22-18_DEBT!Q30)</f>
        <v>68.3757417917115</v>
      </c>
      <c r="R23" s="34" t="n">
        <f aca="false">18_DEBT!R18*MAX(0,18_DEBT!R17/17A_STRUCTURES!$C$22-18_DEBT!R30)</f>
        <v>69.8402690811603</v>
      </c>
      <c r="S23" s="34" t="n">
        <f aca="false">18_DEBT!S18*MAX(0,18_DEBT!S17/17A_STRUCTURES!$C$22-18_DEBT!S30)</f>
        <v>71.3240964148355</v>
      </c>
      <c r="T23" s="34" t="n">
        <f aca="false">18_DEBT!T18*MAX(0,18_DEBT!T17/17A_STRUCTURES!$C$22-18_DEBT!T30)</f>
        <v>72.8276097936215</v>
      </c>
      <c r="U23" s="34" t="n">
        <f aca="false">18_DEBT!U18*MAX(0,18_DEBT!U17/17A_STRUCTURES!$C$22-18_DEBT!U30)</f>
        <v>74.3512029384206</v>
      </c>
      <c r="V23" s="34" t="n">
        <f aca="false">18_DEBT!V18*MAX(0,18_DEBT!V17/17A_STRUCTURES!$C$22-18_DEBT!V30)</f>
        <v>75.8952774445531</v>
      </c>
      <c r="W23" s="34" t="n">
        <f aca="false">18_DEBT!W18*MAX(0,18_DEBT!W17/17A_STRUCTURES!$C$22-18_DEBT!W30)</f>
        <v>77.4602429392457</v>
      </c>
      <c r="X23" s="34" t="n">
        <f aca="false">18_DEBT!X18*MAX(0,18_DEBT!X17/17A_STRUCTURES!$C$22-18_DEBT!X30)</f>
        <v>79.0465172422695</v>
      </c>
      <c r="Y23" s="34" t="n">
        <f aca="false">18_DEBT!Y18*MAX(0,18_DEBT!Y17/17A_STRUCTURES!$C$22-18_DEBT!Y30)</f>
        <v>80.6545265297911</v>
      </c>
      <c r="Z23" s="34" t="n">
        <f aca="false">18_DEBT!Z18*MAX(0,18_DEBT!Z17/17A_STRUCTURES!$C$22-18_DEBT!Z30)</f>
        <v>82.2847055015005</v>
      </c>
      <c r="AA23" s="34" t="n">
        <f aca="false">18_DEBT!AA18*MAX(0,18_DEBT!AA17/17A_STRUCTURES!$C$22-18_DEBT!AA30)</f>
        <v>83.9374975510816</v>
      </c>
      <c r="AB23" s="34" t="n">
        <f aca="false">18_DEBT!AB18*MAX(0,18_DEBT!AB17/17A_STRUCTURES!$C$22-18_DEBT!AB30)</f>
        <v>0</v>
      </c>
      <c r="AC23" s="34" t="n">
        <f aca="false">18_DEBT!AC18*MAX(0,18_DEBT!AC17/17A_STRUCTURES!$C$22-18_DEBT!AC30)</f>
        <v>0</v>
      </c>
      <c r="AD23" s="34" t="n">
        <f aca="false">18_DEBT!AD18*MAX(0,18_DEBT!AD17/17A_STRUCTURES!$C$22-18_DEBT!AD30)</f>
        <v>0</v>
      </c>
      <c r="AE23" s="34" t="n">
        <f aca="false">18_DEBT!AE18*MAX(0,18_DEBT!AE17/17A_STRUCTURES!$C$22-18_DEBT!AE30)</f>
        <v>0</v>
      </c>
      <c r="AF23" s="34" t="n">
        <f aca="false">18_DEBT!AF18*MAX(0,18_DEBT!AF17/17A_STRUCTURES!$C$22-18_DEBT!AF30)</f>
        <v>0</v>
      </c>
      <c r="AG23" s="34" t="n">
        <f aca="false">18_DEBT!AG18*MAX(0,18_DEBT!AG17/17A_STRUCTURES!$C$22-18_DEBT!AG30)</f>
        <v>0</v>
      </c>
      <c r="AH23" s="34" t="n">
        <f aca="false">18_DEBT!AH18*MAX(0,18_DEBT!AH17/17A_STRUCTURES!$C$22-18_DEBT!AH30)</f>
        <v>0</v>
      </c>
      <c r="AI23" s="34" t="n">
        <f aca="false">18_DEBT!AI18*MAX(0,18_DEBT!AI17/17A_STRUCTURES!$C$22-18_DEBT!AI30)</f>
        <v>0</v>
      </c>
      <c r="AJ23" s="34" t="n">
        <f aca="false">18_DEBT!AJ18*MAX(0,18_DEBT!AJ17/17A_STRUCTURES!$C$22-18_DEBT!AJ30)</f>
        <v>0</v>
      </c>
      <c r="AK23" s="34" t="n">
        <f aca="false">18_DEBT!AK18*MAX(0,18_DEBT!AK17/17A_STRUCTURES!$C$22-18_DEBT!AK30)</f>
        <v>0</v>
      </c>
      <c r="AL23" s="34" t="n">
        <f aca="false">18_DEBT!AL18*MAX(0,18_DEBT!AL17/17A_STRUCTURES!$C$22-18_DEBT!AL30)</f>
        <v>0</v>
      </c>
      <c r="AM23" s="34" t="n">
        <f aca="false">18_DEBT!AM18*MAX(0,18_DEBT!AM17/17A_STRUCTURES!$C$22-18_DEBT!AM30)</f>
        <v>0</v>
      </c>
      <c r="AN23" s="34" t="n">
        <f aca="false">18_DEBT!AN18*MAX(0,18_DEBT!AN17/17A_STRUCTURES!$C$22-18_DEBT!AN30)</f>
        <v>0</v>
      </c>
      <c r="AO23" s="34" t="n">
        <f aca="false">18_DEBT!AO18*MAX(0,18_DEBT!AO17/17A_STRUCTURES!$C$22-18_DEBT!AO30)</f>
        <v>0</v>
      </c>
      <c r="AP23" s="34" t="n">
        <f aca="false">18_DEBT!AP18*MAX(0,18_DEBT!AP17/17A_STRUCTURES!$C$22-18_DEBT!AP30)</f>
        <v>0</v>
      </c>
      <c r="AQ23" s="34" t="n">
        <f aca="false">18_DEBT!AQ18*MAX(0,18_DEBT!AQ17/17A_STRUCTURES!$C$22-18_DEBT!AQ30)</f>
        <v>0</v>
      </c>
      <c r="AR23" s="34" t="n">
        <f aca="false">18_DEBT!AR18*MAX(0,18_DEBT!AR17/17A_STRUCTURES!$C$22-18_DEBT!AR30)</f>
        <v>0</v>
      </c>
    </row>
    <row r="24" customFormat="false" ht="15" hidden="false" customHeight="false" outlineLevel="0" collapsed="false">
      <c r="A24" s="6" t="s">
        <v>717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</row>
    <row r="25" customFormat="false" ht="15" hidden="false" customHeight="false" outlineLevel="0" collapsed="false">
      <c r="A25" s="8" t="s">
        <v>718</v>
      </c>
      <c r="B25" s="8" t="s">
        <v>84</v>
      </c>
      <c r="E25" s="34" t="n">
        <f aca="false">18_DEBT!D29</f>
        <v>0</v>
      </c>
      <c r="F25" s="34" t="n">
        <f aca="false">18_DEBT!E29</f>
        <v>31.8002669354969</v>
      </c>
      <c r="G25" s="34" t="n">
        <f aca="false">18_DEBT!F29</f>
        <v>115.054446623947</v>
      </c>
      <c r="H25" s="34" t="n">
        <f aca="false">18_DEBT!G29</f>
        <v>217.962272129854</v>
      </c>
      <c r="I25" s="34" t="n">
        <f aca="false">18_DEBT!H29</f>
        <v>301.216451818305</v>
      </c>
      <c r="J25" s="34" t="n">
        <f aca="false">18_DEBT!I29</f>
        <v>333.016718753802</v>
      </c>
      <c r="K25" s="34" t="n">
        <f aca="false">18_DEBT!J29</f>
        <v>333.016718753802</v>
      </c>
      <c r="L25" s="34" t="n">
        <f aca="false">18_DEBT!K29</f>
        <v>333.016718753802</v>
      </c>
      <c r="M25" s="34" t="n">
        <f aca="false">18_DEBT!L29</f>
        <v>333.016718753802</v>
      </c>
      <c r="N25" s="34" t="n">
        <f aca="false">18_DEBT!M29</f>
        <v>333.016718753802</v>
      </c>
      <c r="O25" s="34" t="n">
        <f aca="false">18_DEBT!N29</f>
        <v>333.016718753802</v>
      </c>
      <c r="P25" s="34" t="n">
        <f aca="false">18_DEBT!O29</f>
        <v>316.365882816112</v>
      </c>
      <c r="Q25" s="34" t="n">
        <f aca="false">18_DEBT!P29</f>
        <v>299.715046878422</v>
      </c>
      <c r="R25" s="34" t="n">
        <f aca="false">18_DEBT!Q29</f>
        <v>283.064210940732</v>
      </c>
      <c r="S25" s="34" t="n">
        <f aca="false">18_DEBT!R29</f>
        <v>266.413375003042</v>
      </c>
      <c r="T25" s="34" t="n">
        <f aca="false">18_DEBT!S29</f>
        <v>249.762539065351</v>
      </c>
      <c r="U25" s="34" t="n">
        <f aca="false">18_DEBT!T29</f>
        <v>233.111703127661</v>
      </c>
      <c r="V25" s="34" t="n">
        <f aca="false">18_DEBT!U29</f>
        <v>216.460867189971</v>
      </c>
      <c r="W25" s="34" t="n">
        <f aca="false">18_DEBT!V29</f>
        <v>199.810031252281</v>
      </c>
      <c r="X25" s="34" t="n">
        <f aca="false">18_DEBT!W29</f>
        <v>183.159195314591</v>
      </c>
      <c r="Y25" s="34" t="n">
        <f aca="false">18_DEBT!X29</f>
        <v>166.508359376901</v>
      </c>
      <c r="Z25" s="34" t="n">
        <f aca="false">18_DEBT!Y29</f>
        <v>149.857523439211</v>
      </c>
      <c r="AA25" s="34" t="n">
        <f aca="false">18_DEBT!Z29</f>
        <v>133.206687501521</v>
      </c>
      <c r="AB25" s="34" t="n">
        <f aca="false">18_DEBT!AA29</f>
        <v>116.555851563831</v>
      </c>
      <c r="AC25" s="34" t="n">
        <f aca="false">18_DEBT!AB29</f>
        <v>99.9050156261406</v>
      </c>
      <c r="AD25" s="34" t="n">
        <f aca="false">18_DEBT!AC29</f>
        <v>83.2541796884505</v>
      </c>
      <c r="AE25" s="34" t="n">
        <f aca="false">18_DEBT!AD29</f>
        <v>66.6033437507604</v>
      </c>
      <c r="AF25" s="34" t="n">
        <f aca="false">18_DEBT!AE29</f>
        <v>49.9525078130703</v>
      </c>
      <c r="AG25" s="34" t="n">
        <f aca="false">18_DEBT!AF29</f>
        <v>33.3016718753802</v>
      </c>
      <c r="AH25" s="34" t="n">
        <f aca="false">18_DEBT!AG29</f>
        <v>16.6508359376901</v>
      </c>
      <c r="AI25" s="34" t="n">
        <f aca="false">18_DEBT!AH29</f>
        <v>0</v>
      </c>
      <c r="AJ25" s="34" t="n">
        <f aca="false">18_DEBT!AI29</f>
        <v>0</v>
      </c>
      <c r="AK25" s="34" t="n">
        <f aca="false">18_DEBT!AJ29</f>
        <v>0</v>
      </c>
      <c r="AL25" s="34" t="n">
        <f aca="false">18_DEBT!AK29</f>
        <v>0</v>
      </c>
      <c r="AM25" s="34" t="n">
        <f aca="false">18_DEBT!AL29</f>
        <v>0</v>
      </c>
      <c r="AN25" s="34" t="n">
        <f aca="false">18_DEBT!AM29</f>
        <v>0</v>
      </c>
      <c r="AO25" s="34" t="n">
        <f aca="false">18_DEBT!AN29</f>
        <v>0</v>
      </c>
      <c r="AP25" s="34" t="n">
        <f aca="false">18_DEBT!AO29</f>
        <v>0</v>
      </c>
      <c r="AQ25" s="34" t="n">
        <f aca="false">18_DEBT!AP29</f>
        <v>0</v>
      </c>
      <c r="AR25" s="34" t="n">
        <f aca="false">18_DEBT!AQ29</f>
        <v>0</v>
      </c>
    </row>
    <row r="26" customFormat="false" ht="15" hidden="false" customHeight="false" outlineLevel="0" collapsed="false">
      <c r="A26" s="8" t="s">
        <v>719</v>
      </c>
      <c r="B26" s="8" t="s">
        <v>84</v>
      </c>
      <c r="C26" s="34" t="n">
        <f aca="false">SUM(18_DEBT!$E$26:$AR$26)</f>
        <v>333.016718753802</v>
      </c>
      <c r="E26" s="34" t="n">
        <f aca="false">17_PROJECT_FINANCE!$C$15*06_CONSTRUCTION!E23</f>
        <v>31.8002669354969</v>
      </c>
      <c r="F26" s="34" t="n">
        <f aca="false">17_PROJECT_FINANCE!$C$15*06_CONSTRUCTION!F23</f>
        <v>83.2541796884505</v>
      </c>
      <c r="G26" s="34" t="n">
        <f aca="false">17_PROJECT_FINANCE!$C$15*06_CONSTRUCTION!G23</f>
        <v>102.907825505907</v>
      </c>
      <c r="H26" s="34" t="n">
        <f aca="false">17_PROJECT_FINANCE!$C$15*06_CONSTRUCTION!H23</f>
        <v>83.2541796884505</v>
      </c>
      <c r="I26" s="34" t="n">
        <f aca="false">17_PROJECT_FINANCE!$C$15*06_CONSTRUCTION!I23</f>
        <v>31.800266935497</v>
      </c>
      <c r="J26" s="34" t="n">
        <f aca="false">17_PROJECT_FINANCE!$C$15*06_CONSTRUCTION!J23</f>
        <v>0</v>
      </c>
      <c r="K26" s="34" t="n">
        <f aca="false">17_PROJECT_FINANCE!$C$15*06_CONSTRUCTION!K23</f>
        <v>0</v>
      </c>
      <c r="L26" s="34" t="n">
        <f aca="false">17_PROJECT_FINANCE!$C$15*06_CONSTRUCTION!L23</f>
        <v>0</v>
      </c>
      <c r="M26" s="34" t="n">
        <f aca="false">17_PROJECT_FINANCE!$C$15*06_CONSTRUCTION!M23</f>
        <v>0</v>
      </c>
      <c r="N26" s="34" t="n">
        <f aca="false">17_PROJECT_FINANCE!$C$15*06_CONSTRUCTION!N23</f>
        <v>0</v>
      </c>
      <c r="O26" s="34" t="n">
        <f aca="false">17_PROJECT_FINANCE!$C$15*06_CONSTRUCTION!O23</f>
        <v>0</v>
      </c>
      <c r="P26" s="34" t="n">
        <f aca="false">17_PROJECT_FINANCE!$C$15*06_CONSTRUCTION!P23</f>
        <v>0</v>
      </c>
      <c r="Q26" s="34" t="n">
        <f aca="false">17_PROJECT_FINANCE!$C$15*06_CONSTRUCTION!Q23</f>
        <v>0</v>
      </c>
      <c r="R26" s="34" t="n">
        <f aca="false">17_PROJECT_FINANCE!$C$15*06_CONSTRUCTION!R23</f>
        <v>0</v>
      </c>
      <c r="S26" s="34" t="n">
        <f aca="false">17_PROJECT_FINANCE!$C$15*06_CONSTRUCTION!S23</f>
        <v>0</v>
      </c>
      <c r="T26" s="34" t="n">
        <f aca="false">17_PROJECT_FINANCE!$C$15*06_CONSTRUCTION!T23</f>
        <v>0</v>
      </c>
      <c r="U26" s="34" t="n">
        <f aca="false">17_PROJECT_FINANCE!$C$15*06_CONSTRUCTION!U23</f>
        <v>0</v>
      </c>
      <c r="V26" s="34" t="n">
        <f aca="false">17_PROJECT_FINANCE!$C$15*06_CONSTRUCTION!V23</f>
        <v>0</v>
      </c>
      <c r="W26" s="34" t="n">
        <f aca="false">17_PROJECT_FINANCE!$C$15*06_CONSTRUCTION!W23</f>
        <v>0</v>
      </c>
      <c r="X26" s="34" t="n">
        <f aca="false">17_PROJECT_FINANCE!$C$15*06_CONSTRUCTION!X23</f>
        <v>0</v>
      </c>
      <c r="Y26" s="34" t="n">
        <f aca="false">17_PROJECT_FINANCE!$C$15*06_CONSTRUCTION!Y23</f>
        <v>0</v>
      </c>
      <c r="Z26" s="34" t="n">
        <f aca="false">17_PROJECT_FINANCE!$C$15*06_CONSTRUCTION!Z23</f>
        <v>0</v>
      </c>
      <c r="AA26" s="34" t="n">
        <f aca="false">17_PROJECT_FINANCE!$C$15*06_CONSTRUCTION!AA23</f>
        <v>0</v>
      </c>
      <c r="AB26" s="34" t="n">
        <f aca="false">17_PROJECT_FINANCE!$C$15*06_CONSTRUCTION!AB23</f>
        <v>0</v>
      </c>
      <c r="AC26" s="34" t="n">
        <f aca="false">17_PROJECT_FINANCE!$C$15*06_CONSTRUCTION!AC23</f>
        <v>0</v>
      </c>
      <c r="AD26" s="34" t="n">
        <f aca="false">17_PROJECT_FINANCE!$C$15*06_CONSTRUCTION!AD23</f>
        <v>0</v>
      </c>
      <c r="AE26" s="34" t="n">
        <f aca="false">17_PROJECT_FINANCE!$C$15*06_CONSTRUCTION!AE23</f>
        <v>0</v>
      </c>
      <c r="AF26" s="34" t="n">
        <f aca="false">17_PROJECT_FINANCE!$C$15*06_CONSTRUCTION!AF23</f>
        <v>0</v>
      </c>
      <c r="AG26" s="34" t="n">
        <f aca="false">17_PROJECT_FINANCE!$C$15*06_CONSTRUCTION!AG23</f>
        <v>0</v>
      </c>
      <c r="AH26" s="34" t="n">
        <f aca="false">17_PROJECT_FINANCE!$C$15*06_CONSTRUCTION!AH23</f>
        <v>0</v>
      </c>
      <c r="AI26" s="34" t="n">
        <f aca="false">17_PROJECT_FINANCE!$C$15*06_CONSTRUCTION!AI23</f>
        <v>0</v>
      </c>
      <c r="AJ26" s="34" t="n">
        <f aca="false">17_PROJECT_FINANCE!$C$15*06_CONSTRUCTION!AJ23</f>
        <v>0</v>
      </c>
      <c r="AK26" s="34" t="n">
        <f aca="false">17_PROJECT_FINANCE!$C$15*06_CONSTRUCTION!AK23</f>
        <v>0</v>
      </c>
      <c r="AL26" s="34" t="n">
        <f aca="false">17_PROJECT_FINANCE!$C$15*06_CONSTRUCTION!AL23</f>
        <v>0</v>
      </c>
      <c r="AM26" s="34" t="n">
        <f aca="false">17_PROJECT_FINANCE!$C$15*06_CONSTRUCTION!AM23</f>
        <v>0</v>
      </c>
      <c r="AN26" s="34" t="n">
        <f aca="false">17_PROJECT_FINANCE!$C$15*06_CONSTRUCTION!AN23</f>
        <v>0</v>
      </c>
      <c r="AO26" s="34" t="n">
        <f aca="false">17_PROJECT_FINANCE!$C$15*06_CONSTRUCTION!AO23</f>
        <v>0</v>
      </c>
      <c r="AP26" s="34" t="n">
        <f aca="false">17_PROJECT_FINANCE!$C$15*06_CONSTRUCTION!AP23</f>
        <v>0</v>
      </c>
      <c r="AQ26" s="34" t="n">
        <f aca="false">17_PROJECT_FINANCE!$C$15*06_CONSTRUCTION!AQ23</f>
        <v>0</v>
      </c>
      <c r="AR26" s="34" t="n">
        <f aca="false">17_PROJECT_FINANCE!$C$15*06_CONSTRUCTION!AR23</f>
        <v>0</v>
      </c>
    </row>
    <row r="27" customFormat="false" ht="15" hidden="false" customHeight="false" outlineLevel="0" collapsed="false">
      <c r="A27" s="8" t="s">
        <v>720</v>
      </c>
      <c r="B27" s="8" t="s">
        <v>84</v>
      </c>
      <c r="C27" s="34" t="n">
        <f aca="false">SUM(18_DEBT!$E$27:$AR$27)</f>
        <v>179.829028127053</v>
      </c>
      <c r="E27" s="34" t="n">
        <f aca="false">17A_STRUCTURES!$C$17*(18_DEBT!E25+0.5*18_DEBT!E26*06_CONSTRUCTION!E13)</f>
        <v>0.477004004032454</v>
      </c>
      <c r="F27" s="34" t="n">
        <f aca="false">17A_STRUCTURES!$C$17*(18_DEBT!F25+0.5*18_DEBT!F26*06_CONSTRUCTION!F13)</f>
        <v>2.20282070339167</v>
      </c>
      <c r="G27" s="34" t="n">
        <f aca="false">17A_STRUCTURES!$C$17*(18_DEBT!G25+0.5*18_DEBT!G26*06_CONSTRUCTION!G13)</f>
        <v>4.99525078130703</v>
      </c>
      <c r="H27" s="34" t="n">
        <f aca="false">17A_STRUCTURES!$C$17*(18_DEBT!H25+0.5*18_DEBT!H26*06_CONSTRUCTION!H13)</f>
        <v>7.78768085922239</v>
      </c>
      <c r="I27" s="34" t="n">
        <f aca="false">17A_STRUCTURES!$C$17*(18_DEBT!I25+0.5*18_DEBT!I26*06_CONSTRUCTION!I13)</f>
        <v>9.5134975585816</v>
      </c>
      <c r="J27" s="34" t="n">
        <f aca="false">17A_STRUCTURES!$C$17*(18_DEBT!J25+0.5*18_DEBT!J26*06_CONSTRUCTION!J13)</f>
        <v>9.99050156261406</v>
      </c>
      <c r="K27" s="34" t="n">
        <f aca="false">17A_STRUCTURES!$C$17*(18_DEBT!K25+0.5*18_DEBT!K26*06_CONSTRUCTION!K13)</f>
        <v>9.99050156261406</v>
      </c>
      <c r="L27" s="34" t="n">
        <f aca="false">17A_STRUCTURES!$C$17*(18_DEBT!L25+0.5*18_DEBT!L26*06_CONSTRUCTION!L13)</f>
        <v>9.99050156261406</v>
      </c>
      <c r="M27" s="34" t="n">
        <f aca="false">17A_STRUCTURES!$C$17*(18_DEBT!M25+0.5*18_DEBT!M26*06_CONSTRUCTION!M13)</f>
        <v>9.99050156261406</v>
      </c>
      <c r="N27" s="34" t="n">
        <f aca="false">17A_STRUCTURES!$C$17*(18_DEBT!N25+0.5*18_DEBT!N26*06_CONSTRUCTION!N13)</f>
        <v>9.99050156261406</v>
      </c>
      <c r="O27" s="34" t="n">
        <f aca="false">17A_STRUCTURES!$C$17*(18_DEBT!O25+0.5*18_DEBT!O26*06_CONSTRUCTION!O13)</f>
        <v>9.99050156261406</v>
      </c>
      <c r="P27" s="34" t="n">
        <f aca="false">17A_STRUCTURES!$C$17*(18_DEBT!P25+0.5*18_DEBT!P26*06_CONSTRUCTION!P13)</f>
        <v>9.49097648448335</v>
      </c>
      <c r="Q27" s="34" t="n">
        <f aca="false">17A_STRUCTURES!$C$17*(18_DEBT!Q25+0.5*18_DEBT!Q26*06_CONSTRUCTION!Q13)</f>
        <v>8.99145140635265</v>
      </c>
      <c r="R27" s="34" t="n">
        <f aca="false">17A_STRUCTURES!$C$17*(18_DEBT!R25+0.5*18_DEBT!R26*06_CONSTRUCTION!R13)</f>
        <v>8.49192632822195</v>
      </c>
      <c r="S27" s="34" t="n">
        <f aca="false">17A_STRUCTURES!$C$17*(18_DEBT!S25+0.5*18_DEBT!S26*06_CONSTRUCTION!S13)</f>
        <v>7.99240125009125</v>
      </c>
      <c r="T27" s="34" t="n">
        <f aca="false">17A_STRUCTURES!$C$17*(18_DEBT!T25+0.5*18_DEBT!T26*06_CONSTRUCTION!T13)</f>
        <v>7.49287617196054</v>
      </c>
      <c r="U27" s="34" t="n">
        <f aca="false">17A_STRUCTURES!$C$17*(18_DEBT!U25+0.5*18_DEBT!U26*06_CONSTRUCTION!U13)</f>
        <v>6.99335109382984</v>
      </c>
      <c r="V27" s="34" t="n">
        <f aca="false">17A_STRUCTURES!$C$17*(18_DEBT!V25+0.5*18_DEBT!V26*06_CONSTRUCTION!V13)</f>
        <v>6.49382601569914</v>
      </c>
      <c r="W27" s="34" t="n">
        <f aca="false">17A_STRUCTURES!$C$17*(18_DEBT!W25+0.5*18_DEBT!W26*06_CONSTRUCTION!W13)</f>
        <v>5.99430093756843</v>
      </c>
      <c r="X27" s="34" t="n">
        <f aca="false">17A_STRUCTURES!$C$17*(18_DEBT!X25+0.5*18_DEBT!X26*06_CONSTRUCTION!X13)</f>
        <v>5.49477585943773</v>
      </c>
      <c r="Y27" s="34" t="n">
        <f aca="false">17A_STRUCTURES!$C$17*(18_DEBT!Y25+0.5*18_DEBT!Y26*06_CONSTRUCTION!Y13)</f>
        <v>4.99525078130703</v>
      </c>
      <c r="Z27" s="34" t="n">
        <f aca="false">17A_STRUCTURES!$C$17*(18_DEBT!Z25+0.5*18_DEBT!Z26*06_CONSTRUCTION!Z13)</f>
        <v>4.49572570317633</v>
      </c>
      <c r="AA27" s="34" t="n">
        <f aca="false">17A_STRUCTURES!$C$17*(18_DEBT!AA25+0.5*18_DEBT!AA26*06_CONSTRUCTION!AA13)</f>
        <v>3.99620062504562</v>
      </c>
      <c r="AB27" s="34" t="n">
        <f aca="false">17A_STRUCTURES!$C$17*(18_DEBT!AB25+0.5*18_DEBT!AB26*06_CONSTRUCTION!AB13)</f>
        <v>3.49667554691492</v>
      </c>
      <c r="AC27" s="34" t="n">
        <f aca="false">17A_STRUCTURES!$C$17*(18_DEBT!AC25+0.5*18_DEBT!AC26*06_CONSTRUCTION!AC13)</f>
        <v>2.99715046878422</v>
      </c>
      <c r="AD27" s="34" t="n">
        <f aca="false">17A_STRUCTURES!$C$17*(18_DEBT!AD25+0.5*18_DEBT!AD26*06_CONSTRUCTION!AD13)</f>
        <v>2.49762539065352</v>
      </c>
      <c r="AE27" s="34" t="n">
        <f aca="false">17A_STRUCTURES!$C$17*(18_DEBT!AE25+0.5*18_DEBT!AE26*06_CONSTRUCTION!AE13)</f>
        <v>1.99810031252281</v>
      </c>
      <c r="AF27" s="34" t="n">
        <f aca="false">17A_STRUCTURES!$C$17*(18_DEBT!AF25+0.5*18_DEBT!AF26*06_CONSTRUCTION!AF13)</f>
        <v>1.49857523439211</v>
      </c>
      <c r="AG27" s="34" t="n">
        <f aca="false">17A_STRUCTURES!$C$17*(18_DEBT!AG25+0.5*18_DEBT!AG26*06_CONSTRUCTION!AG13)</f>
        <v>0.999050156261407</v>
      </c>
      <c r="AH27" s="34" t="n">
        <f aca="false">17A_STRUCTURES!$C$17*(18_DEBT!AH25+0.5*18_DEBT!AH26*06_CONSTRUCTION!AH13)</f>
        <v>0.499525078130704</v>
      </c>
      <c r="AI27" s="34" t="n">
        <f aca="false">17A_STRUCTURES!$C$17*(18_DEBT!AI25+0.5*18_DEBT!AI26*06_CONSTRUCTION!AI13)</f>
        <v>0</v>
      </c>
      <c r="AJ27" s="34" t="n">
        <f aca="false">17A_STRUCTURES!$C$17*(18_DEBT!AJ25+0.5*18_DEBT!AJ26*06_CONSTRUCTION!AJ13)</f>
        <v>0</v>
      </c>
      <c r="AK27" s="34" t="n">
        <f aca="false">17A_STRUCTURES!$C$17*(18_DEBT!AK25+0.5*18_DEBT!AK26*06_CONSTRUCTION!AK13)</f>
        <v>0</v>
      </c>
      <c r="AL27" s="34" t="n">
        <f aca="false">17A_STRUCTURES!$C$17*(18_DEBT!AL25+0.5*18_DEBT!AL26*06_CONSTRUCTION!AL13)</f>
        <v>0</v>
      </c>
      <c r="AM27" s="34" t="n">
        <f aca="false">17A_STRUCTURES!$C$17*(18_DEBT!AM25+0.5*18_DEBT!AM26*06_CONSTRUCTION!AM13)</f>
        <v>0</v>
      </c>
      <c r="AN27" s="34" t="n">
        <f aca="false">17A_STRUCTURES!$C$17*(18_DEBT!AN25+0.5*18_DEBT!AN26*06_CONSTRUCTION!AN13)</f>
        <v>0</v>
      </c>
      <c r="AO27" s="34" t="n">
        <f aca="false">17A_STRUCTURES!$C$17*(18_DEBT!AO25+0.5*18_DEBT!AO26*06_CONSTRUCTION!AO13)</f>
        <v>0</v>
      </c>
      <c r="AP27" s="34" t="n">
        <f aca="false">17A_STRUCTURES!$C$17*(18_DEBT!AP25+0.5*18_DEBT!AP26*06_CONSTRUCTION!AP13)</f>
        <v>0</v>
      </c>
      <c r="AQ27" s="34" t="n">
        <f aca="false">17A_STRUCTURES!$C$17*(18_DEBT!AQ25+0.5*18_DEBT!AQ26*06_CONSTRUCTION!AQ13)</f>
        <v>0</v>
      </c>
      <c r="AR27" s="34" t="n">
        <f aca="false">17A_STRUCTURES!$C$17*(18_DEBT!AR25+0.5*18_DEBT!AR26*06_CONSTRUCTION!AR13)</f>
        <v>0</v>
      </c>
    </row>
    <row r="28" customFormat="false" ht="15" hidden="false" customHeight="false" outlineLevel="0" collapsed="false">
      <c r="A28" s="8" t="s">
        <v>721</v>
      </c>
      <c r="B28" s="8" t="s">
        <v>84</v>
      </c>
      <c r="C28" s="34" t="n">
        <f aca="false">SUM(18_DEBT!$E$28:$AR$28)</f>
        <v>333.016718753802</v>
      </c>
      <c r="E28" s="34" t="n">
        <f aca="false">IF(AND(06_CONSTRUCTION!E5&gt;17A_STRUCTURES!$C$18,06_CONSTRUCTION!E5&lt;=17A_STRUCTURES!$C$18+17A_STRUCTURES!$C$19),MIN(18_DEBT!E25,17_PROJECT_FINANCE!$C$15/17A_STRUCTURES!$C$19),0)</f>
        <v>0</v>
      </c>
      <c r="F28" s="34" t="n">
        <f aca="false">IF(AND(06_CONSTRUCTION!F5&gt;17A_STRUCTURES!$C$18,06_CONSTRUCTION!F5&lt;=17A_STRUCTURES!$C$18+17A_STRUCTURES!$C$19),MIN(18_DEBT!F25,17_PROJECT_FINANCE!$C$15/17A_STRUCTURES!$C$19),0)</f>
        <v>0</v>
      </c>
      <c r="G28" s="34" t="n">
        <f aca="false">IF(AND(06_CONSTRUCTION!G5&gt;17A_STRUCTURES!$C$18,06_CONSTRUCTION!G5&lt;=17A_STRUCTURES!$C$18+17A_STRUCTURES!$C$19),MIN(18_DEBT!G25,17_PROJECT_FINANCE!$C$15/17A_STRUCTURES!$C$19),0)</f>
        <v>0</v>
      </c>
      <c r="H28" s="34" t="n">
        <f aca="false">IF(AND(06_CONSTRUCTION!H5&gt;17A_STRUCTURES!$C$18,06_CONSTRUCTION!H5&lt;=17A_STRUCTURES!$C$18+17A_STRUCTURES!$C$19),MIN(18_DEBT!H25,17_PROJECT_FINANCE!$C$15/17A_STRUCTURES!$C$19),0)</f>
        <v>0</v>
      </c>
      <c r="I28" s="34" t="n">
        <f aca="false">IF(AND(06_CONSTRUCTION!I5&gt;17A_STRUCTURES!$C$18,06_CONSTRUCTION!I5&lt;=17A_STRUCTURES!$C$18+17A_STRUCTURES!$C$19),MIN(18_DEBT!I25,17_PROJECT_FINANCE!$C$15/17A_STRUCTURES!$C$19),0)</f>
        <v>0</v>
      </c>
      <c r="J28" s="34" t="n">
        <f aca="false">IF(AND(06_CONSTRUCTION!J5&gt;17A_STRUCTURES!$C$18,06_CONSTRUCTION!J5&lt;=17A_STRUCTURES!$C$18+17A_STRUCTURES!$C$19),MIN(18_DEBT!J25,17_PROJECT_FINANCE!$C$15/17A_STRUCTURES!$C$19),0)</f>
        <v>0</v>
      </c>
      <c r="K28" s="34" t="n">
        <f aca="false">IF(AND(06_CONSTRUCTION!K5&gt;17A_STRUCTURES!$C$18,06_CONSTRUCTION!K5&lt;=17A_STRUCTURES!$C$18+17A_STRUCTURES!$C$19),MIN(18_DEBT!K25,17_PROJECT_FINANCE!$C$15/17A_STRUCTURES!$C$19),0)</f>
        <v>0</v>
      </c>
      <c r="L28" s="34" t="n">
        <f aca="false">IF(AND(06_CONSTRUCTION!L5&gt;17A_STRUCTURES!$C$18,06_CONSTRUCTION!L5&lt;=17A_STRUCTURES!$C$18+17A_STRUCTURES!$C$19),MIN(18_DEBT!L25,17_PROJECT_FINANCE!$C$15/17A_STRUCTURES!$C$19),0)</f>
        <v>0</v>
      </c>
      <c r="M28" s="34" t="n">
        <f aca="false">IF(AND(06_CONSTRUCTION!M5&gt;17A_STRUCTURES!$C$18,06_CONSTRUCTION!M5&lt;=17A_STRUCTURES!$C$18+17A_STRUCTURES!$C$19),MIN(18_DEBT!M25,17_PROJECT_FINANCE!$C$15/17A_STRUCTURES!$C$19),0)</f>
        <v>0</v>
      </c>
      <c r="N28" s="34" t="n">
        <f aca="false">IF(AND(06_CONSTRUCTION!N5&gt;17A_STRUCTURES!$C$18,06_CONSTRUCTION!N5&lt;=17A_STRUCTURES!$C$18+17A_STRUCTURES!$C$19),MIN(18_DEBT!N25,17_PROJECT_FINANCE!$C$15/17A_STRUCTURES!$C$19),0)</f>
        <v>0</v>
      </c>
      <c r="O28" s="34" t="n">
        <f aca="false">IF(AND(06_CONSTRUCTION!O5&gt;17A_STRUCTURES!$C$18,06_CONSTRUCTION!O5&lt;=17A_STRUCTURES!$C$18+17A_STRUCTURES!$C$19),MIN(18_DEBT!O25,17_PROJECT_FINANCE!$C$15/17A_STRUCTURES!$C$19),0)</f>
        <v>16.6508359376901</v>
      </c>
      <c r="P28" s="34" t="n">
        <f aca="false">IF(AND(06_CONSTRUCTION!P5&gt;17A_STRUCTURES!$C$18,06_CONSTRUCTION!P5&lt;=17A_STRUCTURES!$C$18+17A_STRUCTURES!$C$19),MIN(18_DEBT!P25,17_PROJECT_FINANCE!$C$15/17A_STRUCTURES!$C$19),0)</f>
        <v>16.6508359376901</v>
      </c>
      <c r="Q28" s="34" t="n">
        <f aca="false">IF(AND(06_CONSTRUCTION!Q5&gt;17A_STRUCTURES!$C$18,06_CONSTRUCTION!Q5&lt;=17A_STRUCTURES!$C$18+17A_STRUCTURES!$C$19),MIN(18_DEBT!Q25,17_PROJECT_FINANCE!$C$15/17A_STRUCTURES!$C$19),0)</f>
        <v>16.6508359376901</v>
      </c>
      <c r="R28" s="34" t="n">
        <f aca="false">IF(AND(06_CONSTRUCTION!R5&gt;17A_STRUCTURES!$C$18,06_CONSTRUCTION!R5&lt;=17A_STRUCTURES!$C$18+17A_STRUCTURES!$C$19),MIN(18_DEBT!R25,17_PROJECT_FINANCE!$C$15/17A_STRUCTURES!$C$19),0)</f>
        <v>16.6508359376901</v>
      </c>
      <c r="S28" s="34" t="n">
        <f aca="false">IF(AND(06_CONSTRUCTION!S5&gt;17A_STRUCTURES!$C$18,06_CONSTRUCTION!S5&lt;=17A_STRUCTURES!$C$18+17A_STRUCTURES!$C$19),MIN(18_DEBT!S25,17_PROJECT_FINANCE!$C$15/17A_STRUCTURES!$C$19),0)</f>
        <v>16.6508359376901</v>
      </c>
      <c r="T28" s="34" t="n">
        <f aca="false">IF(AND(06_CONSTRUCTION!T5&gt;17A_STRUCTURES!$C$18,06_CONSTRUCTION!T5&lt;=17A_STRUCTURES!$C$18+17A_STRUCTURES!$C$19),MIN(18_DEBT!T25,17_PROJECT_FINANCE!$C$15/17A_STRUCTURES!$C$19),0)</f>
        <v>16.6508359376901</v>
      </c>
      <c r="U28" s="34" t="n">
        <f aca="false">IF(AND(06_CONSTRUCTION!U5&gt;17A_STRUCTURES!$C$18,06_CONSTRUCTION!U5&lt;=17A_STRUCTURES!$C$18+17A_STRUCTURES!$C$19),MIN(18_DEBT!U25,17_PROJECT_FINANCE!$C$15/17A_STRUCTURES!$C$19),0)</f>
        <v>16.6508359376901</v>
      </c>
      <c r="V28" s="34" t="n">
        <f aca="false">IF(AND(06_CONSTRUCTION!V5&gt;17A_STRUCTURES!$C$18,06_CONSTRUCTION!V5&lt;=17A_STRUCTURES!$C$18+17A_STRUCTURES!$C$19),MIN(18_DEBT!V25,17_PROJECT_FINANCE!$C$15/17A_STRUCTURES!$C$19),0)</f>
        <v>16.6508359376901</v>
      </c>
      <c r="W28" s="34" t="n">
        <f aca="false">IF(AND(06_CONSTRUCTION!W5&gt;17A_STRUCTURES!$C$18,06_CONSTRUCTION!W5&lt;=17A_STRUCTURES!$C$18+17A_STRUCTURES!$C$19),MIN(18_DEBT!W25,17_PROJECT_FINANCE!$C$15/17A_STRUCTURES!$C$19),0)</f>
        <v>16.6508359376901</v>
      </c>
      <c r="X28" s="34" t="n">
        <f aca="false">IF(AND(06_CONSTRUCTION!X5&gt;17A_STRUCTURES!$C$18,06_CONSTRUCTION!X5&lt;=17A_STRUCTURES!$C$18+17A_STRUCTURES!$C$19),MIN(18_DEBT!X25,17_PROJECT_FINANCE!$C$15/17A_STRUCTURES!$C$19),0)</f>
        <v>16.6508359376901</v>
      </c>
      <c r="Y28" s="34" t="n">
        <f aca="false">IF(AND(06_CONSTRUCTION!Y5&gt;17A_STRUCTURES!$C$18,06_CONSTRUCTION!Y5&lt;=17A_STRUCTURES!$C$18+17A_STRUCTURES!$C$19),MIN(18_DEBT!Y25,17_PROJECT_FINANCE!$C$15/17A_STRUCTURES!$C$19),0)</f>
        <v>16.6508359376901</v>
      </c>
      <c r="Z28" s="34" t="n">
        <f aca="false">IF(AND(06_CONSTRUCTION!Z5&gt;17A_STRUCTURES!$C$18,06_CONSTRUCTION!Z5&lt;=17A_STRUCTURES!$C$18+17A_STRUCTURES!$C$19),MIN(18_DEBT!Z25,17_PROJECT_FINANCE!$C$15/17A_STRUCTURES!$C$19),0)</f>
        <v>16.6508359376901</v>
      </c>
      <c r="AA28" s="34" t="n">
        <f aca="false">IF(AND(06_CONSTRUCTION!AA5&gt;17A_STRUCTURES!$C$18,06_CONSTRUCTION!AA5&lt;=17A_STRUCTURES!$C$18+17A_STRUCTURES!$C$19),MIN(18_DEBT!AA25,17_PROJECT_FINANCE!$C$15/17A_STRUCTURES!$C$19),0)</f>
        <v>16.6508359376901</v>
      </c>
      <c r="AB28" s="34" t="n">
        <f aca="false">IF(AND(06_CONSTRUCTION!AB5&gt;17A_STRUCTURES!$C$18,06_CONSTRUCTION!AB5&lt;=17A_STRUCTURES!$C$18+17A_STRUCTURES!$C$19),MIN(18_DEBT!AB25,17_PROJECT_FINANCE!$C$15/17A_STRUCTURES!$C$19),0)</f>
        <v>16.6508359376901</v>
      </c>
      <c r="AC28" s="34" t="n">
        <f aca="false">IF(AND(06_CONSTRUCTION!AC5&gt;17A_STRUCTURES!$C$18,06_CONSTRUCTION!AC5&lt;=17A_STRUCTURES!$C$18+17A_STRUCTURES!$C$19),MIN(18_DEBT!AC25,17_PROJECT_FINANCE!$C$15/17A_STRUCTURES!$C$19),0)</f>
        <v>16.6508359376901</v>
      </c>
      <c r="AD28" s="34" t="n">
        <f aca="false">IF(AND(06_CONSTRUCTION!AD5&gt;17A_STRUCTURES!$C$18,06_CONSTRUCTION!AD5&lt;=17A_STRUCTURES!$C$18+17A_STRUCTURES!$C$19),MIN(18_DEBT!AD25,17_PROJECT_FINANCE!$C$15/17A_STRUCTURES!$C$19),0)</f>
        <v>16.6508359376901</v>
      </c>
      <c r="AE28" s="34" t="n">
        <f aca="false">IF(AND(06_CONSTRUCTION!AE5&gt;17A_STRUCTURES!$C$18,06_CONSTRUCTION!AE5&lt;=17A_STRUCTURES!$C$18+17A_STRUCTURES!$C$19),MIN(18_DEBT!AE25,17_PROJECT_FINANCE!$C$15/17A_STRUCTURES!$C$19),0)</f>
        <v>16.6508359376901</v>
      </c>
      <c r="AF28" s="34" t="n">
        <f aca="false">IF(AND(06_CONSTRUCTION!AF5&gt;17A_STRUCTURES!$C$18,06_CONSTRUCTION!AF5&lt;=17A_STRUCTURES!$C$18+17A_STRUCTURES!$C$19),MIN(18_DEBT!AF25,17_PROJECT_FINANCE!$C$15/17A_STRUCTURES!$C$19),0)</f>
        <v>16.6508359376901</v>
      </c>
      <c r="AG28" s="34" t="n">
        <f aca="false">IF(AND(06_CONSTRUCTION!AG5&gt;17A_STRUCTURES!$C$18,06_CONSTRUCTION!AG5&lt;=17A_STRUCTURES!$C$18+17A_STRUCTURES!$C$19),MIN(18_DEBT!AG25,17_PROJECT_FINANCE!$C$15/17A_STRUCTURES!$C$19),0)</f>
        <v>16.6508359376901</v>
      </c>
      <c r="AH28" s="34" t="n">
        <f aca="false">IF(AND(06_CONSTRUCTION!AH5&gt;17A_STRUCTURES!$C$18,06_CONSTRUCTION!AH5&lt;=17A_STRUCTURES!$C$18+17A_STRUCTURES!$C$19),MIN(18_DEBT!AH25,17_PROJECT_FINANCE!$C$15/17A_STRUCTURES!$C$19),0)</f>
        <v>16.6508359376901</v>
      </c>
      <c r="AI28" s="34" t="n">
        <f aca="false">IF(AND(06_CONSTRUCTION!AI5&gt;17A_STRUCTURES!$C$18,06_CONSTRUCTION!AI5&lt;=17A_STRUCTURES!$C$18+17A_STRUCTURES!$C$19),MIN(18_DEBT!AI25,17_PROJECT_FINANCE!$C$15/17A_STRUCTURES!$C$19),0)</f>
        <v>0</v>
      </c>
      <c r="AJ28" s="34" t="n">
        <f aca="false">IF(AND(06_CONSTRUCTION!AJ5&gt;17A_STRUCTURES!$C$18,06_CONSTRUCTION!AJ5&lt;=17A_STRUCTURES!$C$18+17A_STRUCTURES!$C$19),MIN(18_DEBT!AJ25,17_PROJECT_FINANCE!$C$15/17A_STRUCTURES!$C$19),0)</f>
        <v>0</v>
      </c>
      <c r="AK28" s="34" t="n">
        <f aca="false">IF(AND(06_CONSTRUCTION!AK5&gt;17A_STRUCTURES!$C$18,06_CONSTRUCTION!AK5&lt;=17A_STRUCTURES!$C$18+17A_STRUCTURES!$C$19),MIN(18_DEBT!AK25,17_PROJECT_FINANCE!$C$15/17A_STRUCTURES!$C$19),0)</f>
        <v>0</v>
      </c>
      <c r="AL28" s="34" t="n">
        <f aca="false">IF(AND(06_CONSTRUCTION!AL5&gt;17A_STRUCTURES!$C$18,06_CONSTRUCTION!AL5&lt;=17A_STRUCTURES!$C$18+17A_STRUCTURES!$C$19),MIN(18_DEBT!AL25,17_PROJECT_FINANCE!$C$15/17A_STRUCTURES!$C$19),0)</f>
        <v>0</v>
      </c>
      <c r="AM28" s="34" t="n">
        <f aca="false">IF(AND(06_CONSTRUCTION!AM5&gt;17A_STRUCTURES!$C$18,06_CONSTRUCTION!AM5&lt;=17A_STRUCTURES!$C$18+17A_STRUCTURES!$C$19),MIN(18_DEBT!AM25,17_PROJECT_FINANCE!$C$15/17A_STRUCTURES!$C$19),0)</f>
        <v>0</v>
      </c>
      <c r="AN28" s="34" t="n">
        <f aca="false">IF(AND(06_CONSTRUCTION!AN5&gt;17A_STRUCTURES!$C$18,06_CONSTRUCTION!AN5&lt;=17A_STRUCTURES!$C$18+17A_STRUCTURES!$C$19),MIN(18_DEBT!AN25,17_PROJECT_FINANCE!$C$15/17A_STRUCTURES!$C$19),0)</f>
        <v>0</v>
      </c>
      <c r="AO28" s="34" t="n">
        <f aca="false">IF(AND(06_CONSTRUCTION!AO5&gt;17A_STRUCTURES!$C$18,06_CONSTRUCTION!AO5&lt;=17A_STRUCTURES!$C$18+17A_STRUCTURES!$C$19),MIN(18_DEBT!AO25,17_PROJECT_FINANCE!$C$15/17A_STRUCTURES!$C$19),0)</f>
        <v>0</v>
      </c>
      <c r="AP28" s="34" t="n">
        <f aca="false">IF(AND(06_CONSTRUCTION!AP5&gt;17A_STRUCTURES!$C$18,06_CONSTRUCTION!AP5&lt;=17A_STRUCTURES!$C$18+17A_STRUCTURES!$C$19),MIN(18_DEBT!AP25,17_PROJECT_FINANCE!$C$15/17A_STRUCTURES!$C$19),0)</f>
        <v>0</v>
      </c>
      <c r="AQ28" s="34" t="n">
        <f aca="false">IF(AND(06_CONSTRUCTION!AQ5&gt;17A_STRUCTURES!$C$18,06_CONSTRUCTION!AQ5&lt;=17A_STRUCTURES!$C$18+17A_STRUCTURES!$C$19),MIN(18_DEBT!AQ25,17_PROJECT_FINANCE!$C$15/17A_STRUCTURES!$C$19),0)</f>
        <v>0</v>
      </c>
      <c r="AR28" s="34" t="n">
        <f aca="false">IF(AND(06_CONSTRUCTION!AR5&gt;17A_STRUCTURES!$C$18,06_CONSTRUCTION!AR5&lt;=17A_STRUCTURES!$C$18+17A_STRUCTURES!$C$19),MIN(18_DEBT!AR25,17_PROJECT_FINANCE!$C$15/17A_STRUCTURES!$C$19),0)</f>
        <v>0</v>
      </c>
    </row>
    <row r="29" customFormat="false" ht="15" hidden="false" customHeight="false" outlineLevel="0" collapsed="false">
      <c r="A29" s="8" t="s">
        <v>722</v>
      </c>
      <c r="B29" s="8" t="s">
        <v>84</v>
      </c>
      <c r="E29" s="34" t="n">
        <f aca="false">18_DEBT!E25+18_DEBT!E26-18_DEBT!E28</f>
        <v>31.8002669354969</v>
      </c>
      <c r="F29" s="34" t="n">
        <f aca="false">18_DEBT!F25+18_DEBT!F26-18_DEBT!F28</f>
        <v>115.054446623947</v>
      </c>
      <c r="G29" s="34" t="n">
        <f aca="false">18_DEBT!G25+18_DEBT!G26-18_DEBT!G28</f>
        <v>217.962272129854</v>
      </c>
      <c r="H29" s="34" t="n">
        <f aca="false">18_DEBT!H25+18_DEBT!H26-18_DEBT!H28</f>
        <v>301.216451818305</v>
      </c>
      <c r="I29" s="34" t="n">
        <f aca="false">18_DEBT!I25+18_DEBT!I26-18_DEBT!I28</f>
        <v>333.016718753802</v>
      </c>
      <c r="J29" s="34" t="n">
        <f aca="false">18_DEBT!J25+18_DEBT!J26-18_DEBT!J28</f>
        <v>333.016718753802</v>
      </c>
      <c r="K29" s="34" t="n">
        <f aca="false">18_DEBT!K25+18_DEBT!K26-18_DEBT!K28</f>
        <v>333.016718753802</v>
      </c>
      <c r="L29" s="34" t="n">
        <f aca="false">18_DEBT!L25+18_DEBT!L26-18_DEBT!L28</f>
        <v>333.016718753802</v>
      </c>
      <c r="M29" s="34" t="n">
        <f aca="false">18_DEBT!M25+18_DEBT!M26-18_DEBT!M28</f>
        <v>333.016718753802</v>
      </c>
      <c r="N29" s="34" t="n">
        <f aca="false">18_DEBT!N25+18_DEBT!N26-18_DEBT!N28</f>
        <v>333.016718753802</v>
      </c>
      <c r="O29" s="34" t="n">
        <f aca="false">18_DEBT!O25+18_DEBT!O26-18_DEBT!O28</f>
        <v>316.365882816112</v>
      </c>
      <c r="P29" s="34" t="n">
        <f aca="false">18_DEBT!P25+18_DEBT!P26-18_DEBT!P28</f>
        <v>299.715046878422</v>
      </c>
      <c r="Q29" s="34" t="n">
        <f aca="false">18_DEBT!Q25+18_DEBT!Q26-18_DEBT!Q28</f>
        <v>283.064210940732</v>
      </c>
      <c r="R29" s="34" t="n">
        <f aca="false">18_DEBT!R25+18_DEBT!R26-18_DEBT!R28</f>
        <v>266.413375003042</v>
      </c>
      <c r="S29" s="34" t="n">
        <f aca="false">18_DEBT!S25+18_DEBT!S26-18_DEBT!S28</f>
        <v>249.762539065351</v>
      </c>
      <c r="T29" s="34" t="n">
        <f aca="false">18_DEBT!T25+18_DEBT!T26-18_DEBT!T28</f>
        <v>233.111703127661</v>
      </c>
      <c r="U29" s="34" t="n">
        <f aca="false">18_DEBT!U25+18_DEBT!U26-18_DEBT!U28</f>
        <v>216.460867189971</v>
      </c>
      <c r="V29" s="34" t="n">
        <f aca="false">18_DEBT!V25+18_DEBT!V26-18_DEBT!V28</f>
        <v>199.810031252281</v>
      </c>
      <c r="W29" s="34" t="n">
        <f aca="false">18_DEBT!W25+18_DEBT!W26-18_DEBT!W28</f>
        <v>183.159195314591</v>
      </c>
      <c r="X29" s="34" t="n">
        <f aca="false">18_DEBT!X25+18_DEBT!X26-18_DEBT!X28</f>
        <v>166.508359376901</v>
      </c>
      <c r="Y29" s="34" t="n">
        <f aca="false">18_DEBT!Y25+18_DEBT!Y26-18_DEBT!Y28</f>
        <v>149.857523439211</v>
      </c>
      <c r="Z29" s="34" t="n">
        <f aca="false">18_DEBT!Z25+18_DEBT!Z26-18_DEBT!Z28</f>
        <v>133.206687501521</v>
      </c>
      <c r="AA29" s="34" t="n">
        <f aca="false">18_DEBT!AA25+18_DEBT!AA26-18_DEBT!AA28</f>
        <v>116.555851563831</v>
      </c>
      <c r="AB29" s="34" t="n">
        <f aca="false">18_DEBT!AB25+18_DEBT!AB26-18_DEBT!AB28</f>
        <v>99.9050156261406</v>
      </c>
      <c r="AC29" s="34" t="n">
        <f aca="false">18_DEBT!AC25+18_DEBT!AC26-18_DEBT!AC28</f>
        <v>83.2541796884505</v>
      </c>
      <c r="AD29" s="34" t="n">
        <f aca="false">18_DEBT!AD25+18_DEBT!AD26-18_DEBT!AD28</f>
        <v>66.6033437507604</v>
      </c>
      <c r="AE29" s="34" t="n">
        <f aca="false">18_DEBT!AE25+18_DEBT!AE26-18_DEBT!AE28</f>
        <v>49.9525078130703</v>
      </c>
      <c r="AF29" s="34" t="n">
        <f aca="false">18_DEBT!AF25+18_DEBT!AF26-18_DEBT!AF28</f>
        <v>33.3016718753802</v>
      </c>
      <c r="AG29" s="34" t="n">
        <f aca="false">18_DEBT!AG25+18_DEBT!AG26-18_DEBT!AG28</f>
        <v>16.6508359376901</v>
      </c>
      <c r="AH29" s="34" t="n">
        <f aca="false">18_DEBT!AH25+18_DEBT!AH26-18_DEBT!AH28</f>
        <v>0</v>
      </c>
      <c r="AI29" s="34" t="n">
        <f aca="false">18_DEBT!AI25+18_DEBT!AI26-18_DEBT!AI28</f>
        <v>0</v>
      </c>
      <c r="AJ29" s="34" t="n">
        <f aca="false">18_DEBT!AJ25+18_DEBT!AJ26-18_DEBT!AJ28</f>
        <v>0</v>
      </c>
      <c r="AK29" s="34" t="n">
        <f aca="false">18_DEBT!AK25+18_DEBT!AK26-18_DEBT!AK28</f>
        <v>0</v>
      </c>
      <c r="AL29" s="34" t="n">
        <f aca="false">18_DEBT!AL25+18_DEBT!AL26-18_DEBT!AL28</f>
        <v>0</v>
      </c>
      <c r="AM29" s="34" t="n">
        <f aca="false">18_DEBT!AM25+18_DEBT!AM26-18_DEBT!AM28</f>
        <v>0</v>
      </c>
      <c r="AN29" s="34" t="n">
        <f aca="false">18_DEBT!AN25+18_DEBT!AN26-18_DEBT!AN28</f>
        <v>0</v>
      </c>
      <c r="AO29" s="34" t="n">
        <f aca="false">18_DEBT!AO25+18_DEBT!AO26-18_DEBT!AO28</f>
        <v>0</v>
      </c>
      <c r="AP29" s="34" t="n">
        <f aca="false">18_DEBT!AP25+18_DEBT!AP26-18_DEBT!AP28</f>
        <v>0</v>
      </c>
      <c r="AQ29" s="34" t="n">
        <f aca="false">18_DEBT!AQ25+18_DEBT!AQ26-18_DEBT!AQ28</f>
        <v>0</v>
      </c>
      <c r="AR29" s="34" t="n">
        <f aca="false">18_DEBT!AR25+18_DEBT!AR26-18_DEBT!AR28</f>
        <v>0</v>
      </c>
    </row>
    <row r="30" customFormat="false" ht="15" hidden="false" customHeight="false" outlineLevel="0" collapsed="false">
      <c r="A30" s="8" t="s">
        <v>723</v>
      </c>
      <c r="B30" s="8" t="s">
        <v>84</v>
      </c>
      <c r="C30" s="34" t="n">
        <f aca="false">SUM(18_DEBT!$E$30:$AR$30)</f>
        <v>487.86949297432</v>
      </c>
      <c r="E30" s="34" t="n">
        <f aca="false">06_CONSTRUCTION!E14*(18_DEBT!E27+18_DEBT!E28)</f>
        <v>0</v>
      </c>
      <c r="F30" s="34" t="n">
        <f aca="false">06_CONSTRUCTION!F14*(18_DEBT!F27+18_DEBT!F28)</f>
        <v>0</v>
      </c>
      <c r="G30" s="34" t="n">
        <f aca="false">06_CONSTRUCTION!G14*(18_DEBT!G27+18_DEBT!G28)</f>
        <v>0</v>
      </c>
      <c r="H30" s="34" t="n">
        <f aca="false">06_CONSTRUCTION!H14*(18_DEBT!H27+18_DEBT!H28)</f>
        <v>0</v>
      </c>
      <c r="I30" s="34" t="n">
        <f aca="false">06_CONSTRUCTION!I14*(18_DEBT!I27+18_DEBT!I28)</f>
        <v>0</v>
      </c>
      <c r="J30" s="34" t="n">
        <f aca="false">06_CONSTRUCTION!J14*(18_DEBT!J27+18_DEBT!J28)</f>
        <v>9.99050156261406</v>
      </c>
      <c r="K30" s="34" t="n">
        <f aca="false">06_CONSTRUCTION!K14*(18_DEBT!K27+18_DEBT!K28)</f>
        <v>9.99050156261406</v>
      </c>
      <c r="L30" s="34" t="n">
        <f aca="false">06_CONSTRUCTION!L14*(18_DEBT!L27+18_DEBT!L28)</f>
        <v>9.99050156261406</v>
      </c>
      <c r="M30" s="34" t="n">
        <f aca="false">06_CONSTRUCTION!M14*(18_DEBT!M27+18_DEBT!M28)</f>
        <v>9.99050156261406</v>
      </c>
      <c r="N30" s="34" t="n">
        <f aca="false">06_CONSTRUCTION!N14*(18_DEBT!N27+18_DEBT!N28)</f>
        <v>9.99050156261406</v>
      </c>
      <c r="O30" s="34" t="n">
        <f aca="false">06_CONSTRUCTION!O14*(18_DEBT!O27+18_DEBT!O28)</f>
        <v>26.6413375003042</v>
      </c>
      <c r="P30" s="34" t="n">
        <f aca="false">06_CONSTRUCTION!P14*(18_DEBT!P27+18_DEBT!P28)</f>
        <v>26.1418124221735</v>
      </c>
      <c r="Q30" s="34" t="n">
        <f aca="false">06_CONSTRUCTION!Q14*(18_DEBT!Q27+18_DEBT!Q28)</f>
        <v>25.6422873440428</v>
      </c>
      <c r="R30" s="34" t="n">
        <f aca="false">06_CONSTRUCTION!R14*(18_DEBT!R27+18_DEBT!R28)</f>
        <v>25.142762265912</v>
      </c>
      <c r="S30" s="34" t="n">
        <f aca="false">06_CONSTRUCTION!S14*(18_DEBT!S27+18_DEBT!S28)</f>
        <v>24.6432371877813</v>
      </c>
      <c r="T30" s="34" t="n">
        <f aca="false">06_CONSTRUCTION!T14*(18_DEBT!T27+18_DEBT!T28)</f>
        <v>24.1437121096506</v>
      </c>
      <c r="U30" s="34" t="n">
        <f aca="false">06_CONSTRUCTION!U14*(18_DEBT!U27+18_DEBT!U28)</f>
        <v>23.6441870315199</v>
      </c>
      <c r="V30" s="34" t="n">
        <f aca="false">06_CONSTRUCTION!V14*(18_DEBT!V27+18_DEBT!V28)</f>
        <v>23.1446619533892</v>
      </c>
      <c r="W30" s="34" t="n">
        <f aca="false">06_CONSTRUCTION!W14*(18_DEBT!W27+18_DEBT!W28)</f>
        <v>22.6451368752585</v>
      </c>
      <c r="X30" s="34" t="n">
        <f aca="false">06_CONSTRUCTION!X14*(18_DEBT!X27+18_DEBT!X28)</f>
        <v>22.1456117971278</v>
      </c>
      <c r="Y30" s="34" t="n">
        <f aca="false">06_CONSTRUCTION!Y14*(18_DEBT!Y27+18_DEBT!Y28)</f>
        <v>21.6460867189971</v>
      </c>
      <c r="Z30" s="34" t="n">
        <f aca="false">06_CONSTRUCTION!Z14*(18_DEBT!Z27+18_DEBT!Z28)</f>
        <v>21.1465616408664</v>
      </c>
      <c r="AA30" s="34" t="n">
        <f aca="false">06_CONSTRUCTION!AA14*(18_DEBT!AA27+18_DEBT!AA28)</f>
        <v>20.6470365627357</v>
      </c>
      <c r="AB30" s="34" t="n">
        <f aca="false">06_CONSTRUCTION!AB14*(18_DEBT!AB27+18_DEBT!AB28)</f>
        <v>20.147511484605</v>
      </c>
      <c r="AC30" s="34" t="n">
        <f aca="false">06_CONSTRUCTION!AC14*(18_DEBT!AC27+18_DEBT!AC28)</f>
        <v>19.6479864064743</v>
      </c>
      <c r="AD30" s="34" t="n">
        <f aca="false">06_CONSTRUCTION!AD14*(18_DEBT!AD27+18_DEBT!AD28)</f>
        <v>19.1484613283436</v>
      </c>
      <c r="AE30" s="34" t="n">
        <f aca="false">06_CONSTRUCTION!AE14*(18_DEBT!AE27+18_DEBT!AE28)</f>
        <v>18.6489362502129</v>
      </c>
      <c r="AF30" s="34" t="n">
        <f aca="false">06_CONSTRUCTION!AF14*(18_DEBT!AF27+18_DEBT!AF28)</f>
        <v>18.1494111720822</v>
      </c>
      <c r="AG30" s="34" t="n">
        <f aca="false">06_CONSTRUCTION!AG14*(18_DEBT!AG27+18_DEBT!AG28)</f>
        <v>17.6498860939515</v>
      </c>
      <c r="AH30" s="34" t="n">
        <f aca="false">06_CONSTRUCTION!AH14*(18_DEBT!AH27+18_DEBT!AH28)</f>
        <v>17.1503610158208</v>
      </c>
      <c r="AI30" s="34" t="n">
        <f aca="false">06_CONSTRUCTION!AI14*(18_DEBT!AI27+18_DEBT!AI28)</f>
        <v>0</v>
      </c>
      <c r="AJ30" s="34" t="n">
        <f aca="false">06_CONSTRUCTION!AJ14*(18_DEBT!AJ27+18_DEBT!AJ28)</f>
        <v>0</v>
      </c>
      <c r="AK30" s="34" t="n">
        <f aca="false">06_CONSTRUCTION!AK14*(18_DEBT!AK27+18_DEBT!AK28)</f>
        <v>0</v>
      </c>
      <c r="AL30" s="34" t="n">
        <f aca="false">06_CONSTRUCTION!AL14*(18_DEBT!AL27+18_DEBT!AL28)</f>
        <v>0</v>
      </c>
      <c r="AM30" s="34" t="n">
        <f aca="false">06_CONSTRUCTION!AM14*(18_DEBT!AM27+18_DEBT!AM28)</f>
        <v>0</v>
      </c>
      <c r="AN30" s="34" t="n">
        <f aca="false">06_CONSTRUCTION!AN14*(18_DEBT!AN27+18_DEBT!AN28)</f>
        <v>0</v>
      </c>
      <c r="AO30" s="34" t="n">
        <f aca="false">06_CONSTRUCTION!AO14*(18_DEBT!AO27+18_DEBT!AO28)</f>
        <v>0</v>
      </c>
      <c r="AP30" s="34" t="n">
        <f aca="false">06_CONSTRUCTION!AP14*(18_DEBT!AP27+18_DEBT!AP28)</f>
        <v>0</v>
      </c>
      <c r="AQ30" s="34" t="n">
        <f aca="false">06_CONSTRUCTION!AQ14*(18_DEBT!AQ27+18_DEBT!AQ28)</f>
        <v>0</v>
      </c>
      <c r="AR30" s="34" t="n">
        <f aca="false">06_CONSTRUCTION!AR14*(18_DEBT!AR27+18_DEBT!AR28)</f>
        <v>0</v>
      </c>
    </row>
    <row r="31" customFormat="false" ht="15" hidden="false" customHeight="false" outlineLevel="0" collapsed="false">
      <c r="A31" s="6" t="s">
        <v>724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</row>
    <row r="32" customFormat="false" ht="15" hidden="false" customHeight="false" outlineLevel="0" collapsed="false">
      <c r="A32" s="8" t="s">
        <v>718</v>
      </c>
      <c r="B32" s="8" t="s">
        <v>84</v>
      </c>
      <c r="E32" s="34" t="n">
        <f aca="false">18_DEBT!D37</f>
        <v>0</v>
      </c>
      <c r="F32" s="34" t="n">
        <f aca="false">18_DEBT!E37</f>
        <v>59.8397238591612</v>
      </c>
      <c r="G32" s="34" t="n">
        <f aca="false">18_DEBT!F37</f>
        <v>216.502154799853</v>
      </c>
      <c r="H32" s="34" t="n">
        <f aca="false">18_DEBT!G37</f>
        <v>410.147568962915</v>
      </c>
      <c r="I32" s="34" t="n">
        <f aca="false">18_DEBT!H37</f>
        <v>566.809999903607</v>
      </c>
      <c r="J32" s="34" t="n">
        <f aca="false">18_DEBT!I37</f>
        <v>626.649723762768</v>
      </c>
      <c r="K32" s="34" t="n">
        <f aca="false">18_DEBT!J37</f>
        <v>613.028023173931</v>
      </c>
      <c r="L32" s="34" t="n">
        <f aca="false">18_DEBT!K37</f>
        <v>581.801492482519</v>
      </c>
      <c r="M32" s="34" t="n">
        <f aca="false">18_DEBT!L37</f>
        <v>547.086479301791</v>
      </c>
      <c r="N32" s="34" t="n">
        <f aca="false">18_DEBT!M37</f>
        <v>508.584097831923</v>
      </c>
      <c r="O32" s="34" t="n">
        <f aca="false">18_DEBT!N37</f>
        <v>465.971155265091</v>
      </c>
      <c r="P32" s="34" t="n">
        <f aca="false">18_DEBT!O37</f>
        <v>450.254982536053</v>
      </c>
      <c r="Q32" s="34" t="n">
        <f aca="false">18_DEBT!P37</f>
        <v>432.126987634595</v>
      </c>
      <c r="R32" s="34" t="n">
        <f aca="false">18_DEBT!Q37</f>
        <v>411.379216821212</v>
      </c>
      <c r="S32" s="34" t="n">
        <f aca="false">18_DEBT!R37</f>
        <v>387.786779897924</v>
      </c>
      <c r="T32" s="34" t="n">
        <f aca="false">18_DEBT!S37</f>
        <v>361.106489288414</v>
      </c>
      <c r="U32" s="34" t="n">
        <f aca="false">18_DEBT!T37</f>
        <v>331.075390124508</v>
      </c>
      <c r="V32" s="34" t="n">
        <f aca="false">18_DEBT!U37</f>
        <v>297.409172617113</v>
      </c>
      <c r="W32" s="34" t="n">
        <f aca="false">18_DEBT!V37</f>
        <v>259.800457291912</v>
      </c>
      <c r="X32" s="34" t="n">
        <f aca="false">18_DEBT!W37</f>
        <v>217.916942916508</v>
      </c>
      <c r="Y32" s="34" t="n">
        <f aca="false">18_DEBT!X37</f>
        <v>171.399406131772</v>
      </c>
      <c r="Z32" s="34" t="n">
        <f aca="false">18_DEBT!Y37</f>
        <v>119.859540921143</v>
      </c>
      <c r="AA32" s="34" t="n">
        <f aca="false">18_DEBT!Z37</f>
        <v>62.8776251022578</v>
      </c>
      <c r="AB32" s="34" t="n">
        <f aca="false">18_DEBT!AA37</f>
        <v>0</v>
      </c>
      <c r="AC32" s="34" t="n">
        <f aca="false">18_DEBT!AB37</f>
        <v>0</v>
      </c>
      <c r="AD32" s="34" t="n">
        <f aca="false">18_DEBT!AC37</f>
        <v>0</v>
      </c>
      <c r="AE32" s="34" t="n">
        <f aca="false">18_DEBT!AD37</f>
        <v>0</v>
      </c>
      <c r="AF32" s="34" t="n">
        <f aca="false">18_DEBT!AE37</f>
        <v>0</v>
      </c>
      <c r="AG32" s="34" t="n">
        <f aca="false">18_DEBT!AF37</f>
        <v>0</v>
      </c>
      <c r="AH32" s="34" t="n">
        <f aca="false">18_DEBT!AG37</f>
        <v>0</v>
      </c>
      <c r="AI32" s="34" t="n">
        <f aca="false">18_DEBT!AH37</f>
        <v>0</v>
      </c>
      <c r="AJ32" s="34" t="n">
        <f aca="false">18_DEBT!AI37</f>
        <v>0</v>
      </c>
      <c r="AK32" s="34" t="n">
        <f aca="false">18_DEBT!AJ37</f>
        <v>0</v>
      </c>
      <c r="AL32" s="34" t="n">
        <f aca="false">18_DEBT!AK37</f>
        <v>0</v>
      </c>
      <c r="AM32" s="34" t="n">
        <f aca="false">18_DEBT!AL37</f>
        <v>0</v>
      </c>
      <c r="AN32" s="34" t="n">
        <f aca="false">18_DEBT!AM37</f>
        <v>0</v>
      </c>
      <c r="AO32" s="34" t="n">
        <f aca="false">18_DEBT!AN37</f>
        <v>0</v>
      </c>
      <c r="AP32" s="34" t="n">
        <f aca="false">18_DEBT!AO37</f>
        <v>0</v>
      </c>
      <c r="AQ32" s="34" t="n">
        <f aca="false">18_DEBT!AP37</f>
        <v>0</v>
      </c>
      <c r="AR32" s="34" t="n">
        <f aca="false">18_DEBT!AQ37</f>
        <v>0</v>
      </c>
    </row>
    <row r="33" customFormat="false" ht="15" hidden="false" customHeight="false" outlineLevel="0" collapsed="false">
      <c r="A33" s="8" t="s">
        <v>719</v>
      </c>
      <c r="B33" s="8" t="s">
        <v>84</v>
      </c>
      <c r="C33" s="34" t="n">
        <f aca="false">SUM(18_DEBT!$E$33:$AR$33)</f>
        <v>626.649723762768</v>
      </c>
      <c r="E33" s="34" t="n">
        <f aca="false">17_PROJECT_FINANCE!$C$16*06_CONSTRUCTION!E23</f>
        <v>59.8397238591612</v>
      </c>
      <c r="F33" s="34" t="n">
        <f aca="false">17_PROJECT_FINANCE!$C$16*06_CONSTRUCTION!F23</f>
        <v>156.662430940692</v>
      </c>
      <c r="G33" s="34" t="n">
        <f aca="false">17_PROJECT_FINANCE!$C$16*06_CONSTRUCTION!G23</f>
        <v>193.645414163062</v>
      </c>
      <c r="H33" s="34" t="n">
        <f aca="false">17_PROJECT_FINANCE!$C$16*06_CONSTRUCTION!H23</f>
        <v>156.662430940692</v>
      </c>
      <c r="I33" s="34" t="n">
        <f aca="false">17_PROJECT_FINANCE!$C$16*06_CONSTRUCTION!I23</f>
        <v>59.8397238591612</v>
      </c>
      <c r="J33" s="34" t="n">
        <f aca="false">17_PROJECT_FINANCE!$C$16*06_CONSTRUCTION!J23</f>
        <v>0</v>
      </c>
      <c r="K33" s="34" t="n">
        <f aca="false">17_PROJECT_FINANCE!$C$16*06_CONSTRUCTION!K23</f>
        <v>0</v>
      </c>
      <c r="L33" s="34" t="n">
        <f aca="false">17_PROJECT_FINANCE!$C$16*06_CONSTRUCTION!L23</f>
        <v>0</v>
      </c>
      <c r="M33" s="34" t="n">
        <f aca="false">17_PROJECT_FINANCE!$C$16*06_CONSTRUCTION!M23</f>
        <v>0</v>
      </c>
      <c r="N33" s="34" t="n">
        <f aca="false">17_PROJECT_FINANCE!$C$16*06_CONSTRUCTION!N23</f>
        <v>0</v>
      </c>
      <c r="O33" s="34" t="n">
        <f aca="false">17_PROJECT_FINANCE!$C$16*06_CONSTRUCTION!O23</f>
        <v>0</v>
      </c>
      <c r="P33" s="34" t="n">
        <f aca="false">17_PROJECT_FINANCE!$C$16*06_CONSTRUCTION!P23</f>
        <v>0</v>
      </c>
      <c r="Q33" s="34" t="n">
        <f aca="false">17_PROJECT_FINANCE!$C$16*06_CONSTRUCTION!Q23</f>
        <v>0</v>
      </c>
      <c r="R33" s="34" t="n">
        <f aca="false">17_PROJECT_FINANCE!$C$16*06_CONSTRUCTION!R23</f>
        <v>0</v>
      </c>
      <c r="S33" s="34" t="n">
        <f aca="false">17_PROJECT_FINANCE!$C$16*06_CONSTRUCTION!S23</f>
        <v>0</v>
      </c>
      <c r="T33" s="34" t="n">
        <f aca="false">17_PROJECT_FINANCE!$C$16*06_CONSTRUCTION!T23</f>
        <v>0</v>
      </c>
      <c r="U33" s="34" t="n">
        <f aca="false">17_PROJECT_FINANCE!$C$16*06_CONSTRUCTION!U23</f>
        <v>0</v>
      </c>
      <c r="V33" s="34" t="n">
        <f aca="false">17_PROJECT_FINANCE!$C$16*06_CONSTRUCTION!V23</f>
        <v>0</v>
      </c>
      <c r="W33" s="34" t="n">
        <f aca="false">17_PROJECT_FINANCE!$C$16*06_CONSTRUCTION!W23</f>
        <v>0</v>
      </c>
      <c r="X33" s="34" t="n">
        <f aca="false">17_PROJECT_FINANCE!$C$16*06_CONSTRUCTION!X23</f>
        <v>0</v>
      </c>
      <c r="Y33" s="34" t="n">
        <f aca="false">17_PROJECT_FINANCE!$C$16*06_CONSTRUCTION!Y23</f>
        <v>0</v>
      </c>
      <c r="Z33" s="34" t="n">
        <f aca="false">17_PROJECT_FINANCE!$C$16*06_CONSTRUCTION!Z23</f>
        <v>0</v>
      </c>
      <c r="AA33" s="34" t="n">
        <f aca="false">17_PROJECT_FINANCE!$C$16*06_CONSTRUCTION!AA23</f>
        <v>0</v>
      </c>
      <c r="AB33" s="34" t="n">
        <f aca="false">17_PROJECT_FINANCE!$C$16*06_CONSTRUCTION!AB23</f>
        <v>0</v>
      </c>
      <c r="AC33" s="34" t="n">
        <f aca="false">17_PROJECT_FINANCE!$C$16*06_CONSTRUCTION!AC23</f>
        <v>0</v>
      </c>
      <c r="AD33" s="34" t="n">
        <f aca="false">17_PROJECT_FINANCE!$C$16*06_CONSTRUCTION!AD23</f>
        <v>0</v>
      </c>
      <c r="AE33" s="34" t="n">
        <f aca="false">17_PROJECT_FINANCE!$C$16*06_CONSTRUCTION!AE23</f>
        <v>0</v>
      </c>
      <c r="AF33" s="34" t="n">
        <f aca="false">17_PROJECT_FINANCE!$C$16*06_CONSTRUCTION!AF23</f>
        <v>0</v>
      </c>
      <c r="AG33" s="34" t="n">
        <f aca="false">17_PROJECT_FINANCE!$C$16*06_CONSTRUCTION!AG23</f>
        <v>0</v>
      </c>
      <c r="AH33" s="34" t="n">
        <f aca="false">17_PROJECT_FINANCE!$C$16*06_CONSTRUCTION!AH23</f>
        <v>0</v>
      </c>
      <c r="AI33" s="34" t="n">
        <f aca="false">17_PROJECT_FINANCE!$C$16*06_CONSTRUCTION!AI23</f>
        <v>0</v>
      </c>
      <c r="AJ33" s="34" t="n">
        <f aca="false">17_PROJECT_FINANCE!$C$16*06_CONSTRUCTION!AJ23</f>
        <v>0</v>
      </c>
      <c r="AK33" s="34" t="n">
        <f aca="false">17_PROJECT_FINANCE!$C$16*06_CONSTRUCTION!AK23</f>
        <v>0</v>
      </c>
      <c r="AL33" s="34" t="n">
        <f aca="false">17_PROJECT_FINANCE!$C$16*06_CONSTRUCTION!AL23</f>
        <v>0</v>
      </c>
      <c r="AM33" s="34" t="n">
        <f aca="false">17_PROJECT_FINANCE!$C$16*06_CONSTRUCTION!AM23</f>
        <v>0</v>
      </c>
      <c r="AN33" s="34" t="n">
        <f aca="false">17_PROJECT_FINANCE!$C$16*06_CONSTRUCTION!AN23</f>
        <v>0</v>
      </c>
      <c r="AO33" s="34" t="n">
        <f aca="false">17_PROJECT_FINANCE!$C$16*06_CONSTRUCTION!AO23</f>
        <v>0</v>
      </c>
      <c r="AP33" s="34" t="n">
        <f aca="false">17_PROJECT_FINANCE!$C$16*06_CONSTRUCTION!AP23</f>
        <v>0</v>
      </c>
      <c r="AQ33" s="34" t="n">
        <f aca="false">17_PROJECT_FINANCE!$C$16*06_CONSTRUCTION!AQ23</f>
        <v>0</v>
      </c>
      <c r="AR33" s="34" t="n">
        <f aca="false">17_PROJECT_FINANCE!$C$16*06_CONSTRUCTION!AR23</f>
        <v>0</v>
      </c>
    </row>
    <row r="34" customFormat="false" ht="15" hidden="false" customHeight="false" outlineLevel="0" collapsed="false">
      <c r="A34" s="8" t="s">
        <v>720</v>
      </c>
      <c r="B34" s="8" t="s">
        <v>84</v>
      </c>
      <c r="C34" s="34" t="n">
        <f aca="false">SUM(18_DEBT!$E$34:$AR$34)</f>
        <v>673.019061800668</v>
      </c>
      <c r="E34" s="34" t="n">
        <f aca="false">18_DEBT!$C$11*(18_DEBT!E32+0.5*18_DEBT!E33*06_CONSTRUCTION!E13)</f>
        <v>2.39358895436645</v>
      </c>
      <c r="F34" s="34" t="n">
        <f aca="false">18_DEBT!$C$11*(18_DEBT!F32+0.5*18_DEBT!F33*06_CONSTRUCTION!F13)</f>
        <v>11.0536751463606</v>
      </c>
      <c r="G34" s="34" t="n">
        <f aca="false">18_DEBT!$C$11*(18_DEBT!G32+0.5*18_DEBT!G33*06_CONSTRUCTION!G13)</f>
        <v>25.0659889505107</v>
      </c>
      <c r="H34" s="34" t="n">
        <f aca="false">18_DEBT!$C$11*(18_DEBT!H32+0.5*18_DEBT!H33*06_CONSTRUCTION!H13)</f>
        <v>39.0783027546609</v>
      </c>
      <c r="I34" s="34" t="n">
        <f aca="false">18_DEBT!$C$11*(18_DEBT!I32+0.5*18_DEBT!I33*06_CONSTRUCTION!I13)</f>
        <v>47.738388946655</v>
      </c>
      <c r="J34" s="34" t="n">
        <f aca="false">18_DEBT!$C$11*(18_DEBT!J32+0.5*18_DEBT!J33*06_CONSTRUCTION!J13)</f>
        <v>50.1319779010214</v>
      </c>
      <c r="K34" s="34" t="n">
        <f aca="false">18_DEBT!$C$11*(18_DEBT!K32+0.5*18_DEBT!K33*06_CONSTRUCTION!K13)</f>
        <v>49.0422418539145</v>
      </c>
      <c r="L34" s="34" t="n">
        <f aca="false">18_DEBT!$C$11*(18_DEBT!L32+0.5*18_DEBT!L33*06_CONSTRUCTION!L13)</f>
        <v>46.5441193986015</v>
      </c>
      <c r="M34" s="34" t="n">
        <f aca="false">18_DEBT!$C$11*(18_DEBT!M32+0.5*18_DEBT!M33*06_CONSTRUCTION!M13)</f>
        <v>43.7669183441433</v>
      </c>
      <c r="N34" s="34" t="n">
        <f aca="false">18_DEBT!$C$11*(18_DEBT!N32+0.5*18_DEBT!N33*06_CONSTRUCTION!N13)</f>
        <v>40.6867278265539</v>
      </c>
      <c r="O34" s="34" t="n">
        <f aca="false">18_DEBT!$C$11*(18_DEBT!O32+0.5*18_DEBT!O33*06_CONSTRUCTION!O13)</f>
        <v>37.2776924212073</v>
      </c>
      <c r="P34" s="34" t="n">
        <f aca="false">18_DEBT!$C$11*(18_DEBT!P32+0.5*18_DEBT!P33*06_CONSTRUCTION!P13)</f>
        <v>36.0203986028843</v>
      </c>
      <c r="Q34" s="34" t="n">
        <f aca="false">18_DEBT!$C$11*(18_DEBT!Q32+0.5*18_DEBT!Q33*06_CONSTRUCTION!Q13)</f>
        <v>34.5701590107676</v>
      </c>
      <c r="R34" s="34" t="n">
        <f aca="false">18_DEBT!$C$11*(18_DEBT!R32+0.5*18_DEBT!R33*06_CONSTRUCTION!R13)</f>
        <v>32.9103373456969</v>
      </c>
      <c r="S34" s="34" t="n">
        <f aca="false">18_DEBT!$C$11*(18_DEBT!S32+0.5*18_DEBT!S33*06_CONSTRUCTION!S13)</f>
        <v>31.0229423918339</v>
      </c>
      <c r="T34" s="34" t="n">
        <f aca="false">18_DEBT!$C$11*(18_DEBT!T32+0.5*18_DEBT!T33*06_CONSTRUCTION!T13)</f>
        <v>28.8885191430731</v>
      </c>
      <c r="U34" s="34" t="n">
        <f aca="false">18_DEBT!$C$11*(18_DEBT!U32+0.5*18_DEBT!U33*06_CONSTRUCTION!U13)</f>
        <v>26.4860312099607</v>
      </c>
      <c r="V34" s="34" t="n">
        <f aca="false">18_DEBT!$C$11*(18_DEBT!V32+0.5*18_DEBT!V33*06_CONSTRUCTION!V13)</f>
        <v>23.792733809369</v>
      </c>
      <c r="W34" s="34" t="n">
        <f aca="false">18_DEBT!$C$11*(18_DEBT!W32+0.5*18_DEBT!W33*06_CONSTRUCTION!W13)</f>
        <v>20.784036583353</v>
      </c>
      <c r="X34" s="34" t="n">
        <f aca="false">18_DEBT!$C$11*(18_DEBT!X32+0.5*18_DEBT!X33*06_CONSTRUCTION!X13)</f>
        <v>17.4333554333207</v>
      </c>
      <c r="Y34" s="34" t="n">
        <f aca="false">18_DEBT!$C$11*(18_DEBT!Y32+0.5*18_DEBT!Y33*06_CONSTRUCTION!Y13)</f>
        <v>13.7119524905418</v>
      </c>
      <c r="Z34" s="34" t="n">
        <f aca="false">18_DEBT!$C$11*(18_DEBT!Z32+0.5*18_DEBT!Z33*06_CONSTRUCTION!Z13)</f>
        <v>9.58876327369146</v>
      </c>
      <c r="AA34" s="34" t="n">
        <f aca="false">18_DEBT!$C$11*(18_DEBT!AA32+0.5*18_DEBT!AA33*06_CONSTRUCTION!AA13)</f>
        <v>5.03021000818062</v>
      </c>
      <c r="AB34" s="34" t="n">
        <f aca="false">18_DEBT!$C$11*(18_DEBT!AB32+0.5*18_DEBT!AB33*06_CONSTRUCTION!AB13)</f>
        <v>0</v>
      </c>
      <c r="AC34" s="34" t="n">
        <f aca="false">18_DEBT!$C$11*(18_DEBT!AC32+0.5*18_DEBT!AC33*06_CONSTRUCTION!AC13)</f>
        <v>0</v>
      </c>
      <c r="AD34" s="34" t="n">
        <f aca="false">18_DEBT!$C$11*(18_DEBT!AD32+0.5*18_DEBT!AD33*06_CONSTRUCTION!AD13)</f>
        <v>0</v>
      </c>
      <c r="AE34" s="34" t="n">
        <f aca="false">18_DEBT!$C$11*(18_DEBT!AE32+0.5*18_DEBT!AE33*06_CONSTRUCTION!AE13)</f>
        <v>0</v>
      </c>
      <c r="AF34" s="34" t="n">
        <f aca="false">18_DEBT!$C$11*(18_DEBT!AF32+0.5*18_DEBT!AF33*06_CONSTRUCTION!AF13)</f>
        <v>0</v>
      </c>
      <c r="AG34" s="34" t="n">
        <f aca="false">18_DEBT!$C$11*(18_DEBT!AG32+0.5*18_DEBT!AG33*06_CONSTRUCTION!AG13)</f>
        <v>0</v>
      </c>
      <c r="AH34" s="34" t="n">
        <f aca="false">18_DEBT!$C$11*(18_DEBT!AH32+0.5*18_DEBT!AH33*06_CONSTRUCTION!AH13)</f>
        <v>0</v>
      </c>
      <c r="AI34" s="34" t="n">
        <f aca="false">18_DEBT!$C$11*(18_DEBT!AI32+0.5*18_DEBT!AI33*06_CONSTRUCTION!AI13)</f>
        <v>0</v>
      </c>
      <c r="AJ34" s="34" t="n">
        <f aca="false">18_DEBT!$C$11*(18_DEBT!AJ32+0.5*18_DEBT!AJ33*06_CONSTRUCTION!AJ13)</f>
        <v>0</v>
      </c>
      <c r="AK34" s="34" t="n">
        <f aca="false">18_DEBT!$C$11*(18_DEBT!AK32+0.5*18_DEBT!AK33*06_CONSTRUCTION!AK13)</f>
        <v>0</v>
      </c>
      <c r="AL34" s="34" t="n">
        <f aca="false">18_DEBT!$C$11*(18_DEBT!AL32+0.5*18_DEBT!AL33*06_CONSTRUCTION!AL13)</f>
        <v>0</v>
      </c>
      <c r="AM34" s="34" t="n">
        <f aca="false">18_DEBT!$C$11*(18_DEBT!AM32+0.5*18_DEBT!AM33*06_CONSTRUCTION!AM13)</f>
        <v>0</v>
      </c>
      <c r="AN34" s="34" t="n">
        <f aca="false">18_DEBT!$C$11*(18_DEBT!AN32+0.5*18_DEBT!AN33*06_CONSTRUCTION!AN13)</f>
        <v>0</v>
      </c>
      <c r="AO34" s="34" t="n">
        <f aca="false">18_DEBT!$C$11*(18_DEBT!AO32+0.5*18_DEBT!AO33*06_CONSTRUCTION!AO13)</f>
        <v>0</v>
      </c>
      <c r="AP34" s="34" t="n">
        <f aca="false">18_DEBT!$C$11*(18_DEBT!AP32+0.5*18_DEBT!AP33*06_CONSTRUCTION!AP13)</f>
        <v>0</v>
      </c>
      <c r="AQ34" s="34" t="n">
        <f aca="false">18_DEBT!$C$11*(18_DEBT!AQ32+0.5*18_DEBT!AQ33*06_CONSTRUCTION!AQ13)</f>
        <v>0</v>
      </c>
      <c r="AR34" s="34" t="n">
        <f aca="false">18_DEBT!$C$11*(18_DEBT!AR32+0.5*18_DEBT!AR33*06_CONSTRUCTION!AR13)</f>
        <v>0</v>
      </c>
    </row>
    <row r="35" customFormat="false" ht="15" hidden="false" customHeight="false" outlineLevel="0" collapsed="false">
      <c r="A35" s="8" t="s">
        <v>725</v>
      </c>
      <c r="B35" s="8" t="s">
        <v>84</v>
      </c>
      <c r="E35" s="34" t="n">
        <f aca="false">IF(18_DEBT!E18=1,IF(01_CONTROL_PANEL!$C$11=1,IF(17_PROJECT_FINANCE!$C$22&gt;0,18_DEBT!E23*17_PROJECT_FINANCE!$C$16/17_PROJECT_FINANCE!$C$22,0),IF(18_DEBT!$C$6&gt;0,INDEX(18_DEBT!$E$12:$AR$12,1,06_CONSTRUCTION!E5)*17_PROJECT_FINANCE!$C$16/18_DEBT!$C$6,0)+18_DEBT!E34),0)</f>
        <v>0</v>
      </c>
      <c r="F35" s="34" t="n">
        <f aca="false">IF(18_DEBT!F18=1,IF(01_CONTROL_PANEL!$C$11=1,IF(17_PROJECT_FINANCE!$C$22&gt;0,18_DEBT!F23*17_PROJECT_FINANCE!$C$16/17_PROJECT_FINANCE!$C$22,0),IF(18_DEBT!$C$6&gt;0,INDEX(18_DEBT!$E$12:$AR$12,1,06_CONSTRUCTION!F5)*17_PROJECT_FINANCE!$C$16/18_DEBT!$C$6,0)+18_DEBT!F34),0)</f>
        <v>0</v>
      </c>
      <c r="G35" s="34" t="n">
        <f aca="false">IF(18_DEBT!G18=1,IF(01_CONTROL_PANEL!$C$11=1,IF(17_PROJECT_FINANCE!$C$22&gt;0,18_DEBT!G23*17_PROJECT_FINANCE!$C$16/17_PROJECT_FINANCE!$C$22,0),IF(18_DEBT!$C$6&gt;0,INDEX(18_DEBT!$E$12:$AR$12,1,06_CONSTRUCTION!G5)*17_PROJECT_FINANCE!$C$16/18_DEBT!$C$6,0)+18_DEBT!G34),0)</f>
        <v>0</v>
      </c>
      <c r="H35" s="34" t="n">
        <f aca="false">IF(18_DEBT!H18=1,IF(01_CONTROL_PANEL!$C$11=1,IF(17_PROJECT_FINANCE!$C$22&gt;0,18_DEBT!H23*17_PROJECT_FINANCE!$C$16/17_PROJECT_FINANCE!$C$22,0),IF(18_DEBT!$C$6&gt;0,INDEX(18_DEBT!$E$12:$AR$12,1,06_CONSTRUCTION!H5)*17_PROJECT_FINANCE!$C$16/18_DEBT!$C$6,0)+18_DEBT!H34),0)</f>
        <v>0</v>
      </c>
      <c r="I35" s="34" t="n">
        <f aca="false">IF(18_DEBT!I18=1,IF(01_CONTROL_PANEL!$C$11=1,IF(17_PROJECT_FINANCE!$C$22&gt;0,18_DEBT!I23*17_PROJECT_FINANCE!$C$16/17_PROJECT_FINANCE!$C$22,0),IF(18_DEBT!$C$6&gt;0,INDEX(18_DEBT!$E$12:$AR$12,1,06_CONSTRUCTION!I5)*17_PROJECT_FINANCE!$C$16/18_DEBT!$C$6,0)+18_DEBT!I34),0)</f>
        <v>0</v>
      </c>
      <c r="J35" s="34" t="n">
        <f aca="false">IF(18_DEBT!J18=1,IF(01_CONTROL_PANEL!$C$11=1,IF(17_PROJECT_FINANCE!$C$22&gt;0,18_DEBT!J23*17_PROJECT_FINANCE!$C$16/17_PROJECT_FINANCE!$C$22,0),IF(18_DEBT!$C$6&gt;0,INDEX(18_DEBT!$E$12:$AR$12,1,06_CONSTRUCTION!J5)*17_PROJECT_FINANCE!$C$16/18_DEBT!$C$6,0)+18_DEBT!J34),0)</f>
        <v>63.753678489858</v>
      </c>
      <c r="K35" s="34" t="n">
        <f aca="false">IF(18_DEBT!K18=1,IF(01_CONTROL_PANEL!$C$11=1,IF(17_PROJECT_FINANCE!$C$22&gt;0,18_DEBT!K23*17_PROJECT_FINANCE!$C$16/17_PROJECT_FINANCE!$C$22,0),IF(18_DEBT!$C$6&gt;0,INDEX(18_DEBT!$E$12:$AR$12,1,06_CONSTRUCTION!K5)*17_PROJECT_FINANCE!$C$16/18_DEBT!$C$6,0)+18_DEBT!K34),0)</f>
        <v>80.2687725453275</v>
      </c>
      <c r="L35" s="34" t="n">
        <f aca="false">IF(18_DEBT!L18=1,IF(01_CONTROL_PANEL!$C$11=1,IF(17_PROJECT_FINANCE!$C$22&gt;0,18_DEBT!L23*17_PROJECT_FINANCE!$C$16/17_PROJECT_FINANCE!$C$22,0),IF(18_DEBT!$C$6&gt;0,INDEX(18_DEBT!$E$12:$AR$12,1,06_CONSTRUCTION!L5)*17_PROJECT_FINANCE!$C$16/18_DEBT!$C$6,0)+18_DEBT!L34),0)</f>
        <v>81.2591325793291</v>
      </c>
      <c r="M35" s="34" t="n">
        <f aca="false">IF(18_DEBT!M18=1,IF(01_CONTROL_PANEL!$C$11=1,IF(17_PROJECT_FINANCE!$C$22&gt;0,18_DEBT!M23*17_PROJECT_FINANCE!$C$16/17_PROJECT_FINANCE!$C$22,0),IF(18_DEBT!$C$6&gt;0,INDEX(18_DEBT!$E$12:$AR$12,1,06_CONSTRUCTION!M5)*17_PROJECT_FINANCE!$C$16/18_DEBT!$C$6,0)+18_DEBT!M34),0)</f>
        <v>82.2692998140108</v>
      </c>
      <c r="N35" s="34" t="n">
        <f aca="false">IF(18_DEBT!N18=1,IF(01_CONTROL_PANEL!$C$11=1,IF(17_PROJECT_FINANCE!$C$22&gt;0,18_DEBT!N23*17_PROJECT_FINANCE!$C$16/17_PROJECT_FINANCE!$C$22,0),IF(18_DEBT!$C$6&gt;0,INDEX(18_DEBT!$E$12:$AR$12,1,06_CONSTRUCTION!N5)*17_PROJECT_FINANCE!$C$16/18_DEBT!$C$6,0)+18_DEBT!N34),0)</f>
        <v>83.2996703933862</v>
      </c>
      <c r="O35" s="34" t="n">
        <f aca="false">IF(18_DEBT!O18=1,IF(01_CONTROL_PANEL!$C$11=1,IF(17_PROJECT_FINANCE!$C$22&gt;0,18_DEBT!O23*17_PROJECT_FINANCE!$C$16/17_PROJECT_FINANCE!$C$22,0),IF(18_DEBT!$C$6&gt;0,INDEX(18_DEBT!$E$12:$AR$12,1,06_CONSTRUCTION!O5)*17_PROJECT_FINANCE!$C$16/18_DEBT!$C$6,0)+18_DEBT!O34),0)</f>
        <v>52.9938651502451</v>
      </c>
      <c r="P35" s="34" t="n">
        <f aca="false">IF(18_DEBT!P18=1,IF(01_CONTROL_PANEL!$C$11=1,IF(17_PROJECT_FINANCE!$C$22&gt;0,18_DEBT!P23*17_PROJECT_FINANCE!$C$16/17_PROJECT_FINANCE!$C$22,0),IF(18_DEBT!$C$6&gt;0,INDEX(18_DEBT!$E$12:$AR$12,1,06_CONSTRUCTION!P5)*17_PROJECT_FINANCE!$C$16/18_DEBT!$C$6,0)+18_DEBT!P34),0)</f>
        <v>54.1483935043426</v>
      </c>
      <c r="Q35" s="34" t="n">
        <f aca="false">IF(18_DEBT!Q18=1,IF(01_CONTROL_PANEL!$C$11=1,IF(17_PROJECT_FINANCE!$C$22&gt;0,18_DEBT!Q23*17_PROJECT_FINANCE!$C$16/17_PROJECT_FINANCE!$C$22,0),IF(18_DEBT!$C$6&gt;0,INDEX(18_DEBT!$E$12:$AR$12,1,06_CONSTRUCTION!Q5)*17_PROJECT_FINANCE!$C$16/18_DEBT!$C$6,0)+18_DEBT!Q34),0)</f>
        <v>55.3179298241509</v>
      </c>
      <c r="R35" s="34" t="n">
        <f aca="false">IF(18_DEBT!R18=1,IF(01_CONTROL_PANEL!$C$11=1,IF(17_PROJECT_FINANCE!$C$22&gt;0,18_DEBT!R23*17_PROJECT_FINANCE!$C$16/17_PROJECT_FINANCE!$C$22,0),IF(18_DEBT!$C$6&gt;0,INDEX(18_DEBT!$E$12:$AR$12,1,06_CONSTRUCTION!R5)*17_PROJECT_FINANCE!$C$16/18_DEBT!$C$6,0)+18_DEBT!R34),0)</f>
        <v>56.5027742689845</v>
      </c>
      <c r="S35" s="34" t="n">
        <f aca="false">IF(18_DEBT!S18=1,IF(01_CONTROL_PANEL!$C$11=1,IF(17_PROJECT_FINANCE!$C$22&gt;0,18_DEBT!S23*17_PROJECT_FINANCE!$C$16/17_PROJECT_FINANCE!$C$22,0),IF(18_DEBT!$C$6&gt;0,INDEX(18_DEBT!$E$12:$AR$12,1,06_CONSTRUCTION!S5)*17_PROJECT_FINANCE!$C$16/18_DEBT!$C$6,0)+18_DEBT!S34),0)</f>
        <v>57.7032330013437</v>
      </c>
      <c r="T35" s="34" t="n">
        <f aca="false">IF(18_DEBT!T18=1,IF(01_CONTROL_PANEL!$C$11=1,IF(17_PROJECT_FINANCE!$C$22&gt;0,18_DEBT!T23*17_PROJECT_FINANCE!$C$16/17_PROJECT_FINANCE!$C$22,0),IF(18_DEBT!$C$6&gt;0,INDEX(18_DEBT!$E$12:$AR$12,1,06_CONSTRUCTION!T5)*17_PROJECT_FINANCE!$C$16/18_DEBT!$C$6,0)+18_DEBT!T34),0)</f>
        <v>58.9196183069791</v>
      </c>
      <c r="U35" s="34" t="n">
        <f aca="false">IF(18_DEBT!U18=1,IF(01_CONTROL_PANEL!$C$11=1,IF(17_PROJECT_FINANCE!$C$22&gt;0,18_DEBT!U23*17_PROJECT_FINANCE!$C$16/17_PROJECT_FINANCE!$C$22,0),IF(18_DEBT!$C$6&gt;0,INDEX(18_DEBT!$E$12:$AR$12,1,06_CONSTRUCTION!U5)*17_PROJECT_FINANCE!$C$16/18_DEBT!$C$6,0)+18_DEBT!U34),0)</f>
        <v>60.1522487173562</v>
      </c>
      <c r="V35" s="34" t="n">
        <f aca="false">IF(18_DEBT!V18=1,IF(01_CONTROL_PANEL!$C$11=1,IF(17_PROJECT_FINANCE!$C$22&gt;0,18_DEBT!V23*17_PROJECT_FINANCE!$C$16/17_PROJECT_FINANCE!$C$22,0),IF(18_DEBT!$C$6&gt;0,INDEX(18_DEBT!$E$12:$AR$12,1,06_CONSTRUCTION!V5)*17_PROJECT_FINANCE!$C$16/18_DEBT!$C$6,0)+18_DEBT!V34),0)</f>
        <v>61.4014491345698</v>
      </c>
      <c r="W35" s="34" t="n">
        <f aca="false">IF(18_DEBT!W18=1,IF(01_CONTROL_PANEL!$C$11=1,IF(17_PROJECT_FINANCE!$C$22&gt;0,18_DEBT!W23*17_PROJECT_FINANCE!$C$16/17_PROJECT_FINANCE!$C$22,0),IF(18_DEBT!$C$6&gt;0,INDEX(18_DEBT!$E$12:$AR$12,1,06_CONSTRUCTION!W5)*17_PROJECT_FINANCE!$C$16/18_DEBT!$C$6,0)+18_DEBT!W34),0)</f>
        <v>62.6675509587567</v>
      </c>
      <c r="X35" s="34" t="n">
        <f aca="false">IF(18_DEBT!X18=1,IF(01_CONTROL_PANEL!$C$11=1,IF(17_PROJECT_FINANCE!$C$22&gt;0,18_DEBT!X23*17_PROJECT_FINANCE!$C$16/17_PROJECT_FINANCE!$C$22,0),IF(18_DEBT!$C$6&gt;0,INDEX(18_DEBT!$E$12:$AR$12,1,06_CONSTRUCTION!X5)*17_PROJECT_FINANCE!$C$16/18_DEBT!$C$6,0)+18_DEBT!X34),0)</f>
        <v>63.9508922180564</v>
      </c>
      <c r="Y35" s="34" t="n">
        <f aca="false">IF(18_DEBT!Y18=1,IF(01_CONTROL_PANEL!$C$11=1,IF(17_PROJECT_FINANCE!$C$22&gt;0,18_DEBT!Y23*17_PROJECT_FINANCE!$C$16/17_PROJECT_FINANCE!$C$22,0),IF(18_DEBT!$C$6&gt;0,INDEX(18_DEBT!$E$12:$AR$12,1,06_CONSTRUCTION!Y5)*17_PROJECT_FINANCE!$C$16/18_DEBT!$C$6,0)+18_DEBT!Y34),0)</f>
        <v>65.251817701171</v>
      </c>
      <c r="Z35" s="34" t="n">
        <f aca="false">IF(18_DEBT!Z18=1,IF(01_CONTROL_PANEL!$C$11=1,IF(17_PROJECT_FINANCE!$C$22&gt;0,18_DEBT!Z23*17_PROJECT_FINANCE!$C$16/17_PROJECT_FINANCE!$C$22,0),IF(18_DEBT!$C$6&gt;0,INDEX(18_DEBT!$E$12:$AR$12,1,06_CONSTRUCTION!Z5)*17_PROJECT_FINANCE!$C$16/18_DEBT!$C$6,0)+18_DEBT!Z34),0)</f>
        <v>66.570679092577</v>
      </c>
      <c r="AA35" s="34" t="n">
        <f aca="false">IF(18_DEBT!AA18=1,IF(01_CONTROL_PANEL!$C$11=1,IF(17_PROJECT_FINANCE!$C$22&gt;0,18_DEBT!AA23*17_PROJECT_FINANCE!$C$16/17_PROJECT_FINANCE!$C$22,0),IF(18_DEBT!$C$6&gt;0,INDEX(18_DEBT!$E$12:$AR$12,1,06_CONSTRUCTION!AA5)*17_PROJECT_FINANCE!$C$16/18_DEBT!$C$6,0)+18_DEBT!AA34),0)</f>
        <v>67.90783511044</v>
      </c>
      <c r="AB35" s="34" t="n">
        <f aca="false">IF(18_DEBT!AB18=1,IF(01_CONTROL_PANEL!$C$11=1,IF(17_PROJECT_FINANCE!$C$22&gt;0,18_DEBT!AB23*17_PROJECT_FINANCE!$C$16/17_PROJECT_FINANCE!$C$22,0),IF(18_DEBT!$C$6&gt;0,INDEX(18_DEBT!$E$12:$AR$12,1,06_CONSTRUCTION!AB5)*17_PROJECT_FINANCE!$C$16/18_DEBT!$C$6,0)+18_DEBT!AB34),0)</f>
        <v>0</v>
      </c>
      <c r="AC35" s="34" t="n">
        <f aca="false">IF(18_DEBT!AC18=1,IF(01_CONTROL_PANEL!$C$11=1,IF(17_PROJECT_FINANCE!$C$22&gt;0,18_DEBT!AC23*17_PROJECT_FINANCE!$C$16/17_PROJECT_FINANCE!$C$22,0),IF(18_DEBT!$C$6&gt;0,INDEX(18_DEBT!$E$12:$AR$12,1,06_CONSTRUCTION!AC5)*17_PROJECT_FINANCE!$C$16/18_DEBT!$C$6,0)+18_DEBT!AC34),0)</f>
        <v>0</v>
      </c>
      <c r="AD35" s="34" t="n">
        <f aca="false">IF(18_DEBT!AD18=1,IF(01_CONTROL_PANEL!$C$11=1,IF(17_PROJECT_FINANCE!$C$22&gt;0,18_DEBT!AD23*17_PROJECT_FINANCE!$C$16/17_PROJECT_FINANCE!$C$22,0),IF(18_DEBT!$C$6&gt;0,INDEX(18_DEBT!$E$12:$AR$12,1,06_CONSTRUCTION!AD5)*17_PROJECT_FINANCE!$C$16/18_DEBT!$C$6,0)+18_DEBT!AD34),0)</f>
        <v>0</v>
      </c>
      <c r="AE35" s="34" t="n">
        <f aca="false">IF(18_DEBT!AE18=1,IF(01_CONTROL_PANEL!$C$11=1,IF(17_PROJECT_FINANCE!$C$22&gt;0,18_DEBT!AE23*17_PROJECT_FINANCE!$C$16/17_PROJECT_FINANCE!$C$22,0),IF(18_DEBT!$C$6&gt;0,INDEX(18_DEBT!$E$12:$AR$12,1,06_CONSTRUCTION!AE5)*17_PROJECT_FINANCE!$C$16/18_DEBT!$C$6,0)+18_DEBT!AE34),0)</f>
        <v>0</v>
      </c>
      <c r="AF35" s="34" t="n">
        <f aca="false">IF(18_DEBT!AF18=1,IF(01_CONTROL_PANEL!$C$11=1,IF(17_PROJECT_FINANCE!$C$22&gt;0,18_DEBT!AF23*17_PROJECT_FINANCE!$C$16/17_PROJECT_FINANCE!$C$22,0),IF(18_DEBT!$C$6&gt;0,INDEX(18_DEBT!$E$12:$AR$12,1,06_CONSTRUCTION!AF5)*17_PROJECT_FINANCE!$C$16/18_DEBT!$C$6,0)+18_DEBT!AF34),0)</f>
        <v>0</v>
      </c>
      <c r="AG35" s="34" t="n">
        <f aca="false">IF(18_DEBT!AG18=1,IF(01_CONTROL_PANEL!$C$11=1,IF(17_PROJECT_FINANCE!$C$22&gt;0,18_DEBT!AG23*17_PROJECT_FINANCE!$C$16/17_PROJECT_FINANCE!$C$22,0),IF(18_DEBT!$C$6&gt;0,INDEX(18_DEBT!$E$12:$AR$12,1,06_CONSTRUCTION!AG5)*17_PROJECT_FINANCE!$C$16/18_DEBT!$C$6,0)+18_DEBT!AG34),0)</f>
        <v>0</v>
      </c>
      <c r="AH35" s="34" t="n">
        <f aca="false">IF(18_DEBT!AH18=1,IF(01_CONTROL_PANEL!$C$11=1,IF(17_PROJECT_FINANCE!$C$22&gt;0,18_DEBT!AH23*17_PROJECT_FINANCE!$C$16/17_PROJECT_FINANCE!$C$22,0),IF(18_DEBT!$C$6&gt;0,INDEX(18_DEBT!$E$12:$AR$12,1,06_CONSTRUCTION!AH5)*17_PROJECT_FINANCE!$C$16/18_DEBT!$C$6,0)+18_DEBT!AH34),0)</f>
        <v>0</v>
      </c>
      <c r="AI35" s="34" t="n">
        <f aca="false">IF(18_DEBT!AI18=1,IF(01_CONTROL_PANEL!$C$11=1,IF(17_PROJECT_FINANCE!$C$22&gt;0,18_DEBT!AI23*17_PROJECT_FINANCE!$C$16/17_PROJECT_FINANCE!$C$22,0),IF(18_DEBT!$C$6&gt;0,INDEX(18_DEBT!$E$12:$AR$12,1,06_CONSTRUCTION!AI5)*17_PROJECT_FINANCE!$C$16/18_DEBT!$C$6,0)+18_DEBT!AI34),0)</f>
        <v>0</v>
      </c>
      <c r="AJ35" s="34" t="n">
        <f aca="false">IF(18_DEBT!AJ18=1,IF(01_CONTROL_PANEL!$C$11=1,IF(17_PROJECT_FINANCE!$C$22&gt;0,18_DEBT!AJ23*17_PROJECT_FINANCE!$C$16/17_PROJECT_FINANCE!$C$22,0),IF(18_DEBT!$C$6&gt;0,INDEX(18_DEBT!$E$12:$AR$12,1,06_CONSTRUCTION!AJ5)*17_PROJECT_FINANCE!$C$16/18_DEBT!$C$6,0)+18_DEBT!AJ34),0)</f>
        <v>0</v>
      </c>
      <c r="AK35" s="34" t="n">
        <f aca="false">IF(18_DEBT!AK18=1,IF(01_CONTROL_PANEL!$C$11=1,IF(17_PROJECT_FINANCE!$C$22&gt;0,18_DEBT!AK23*17_PROJECT_FINANCE!$C$16/17_PROJECT_FINANCE!$C$22,0),IF(18_DEBT!$C$6&gt;0,INDEX(18_DEBT!$E$12:$AR$12,1,06_CONSTRUCTION!AK5)*17_PROJECT_FINANCE!$C$16/18_DEBT!$C$6,0)+18_DEBT!AK34),0)</f>
        <v>0</v>
      </c>
      <c r="AL35" s="34" t="n">
        <f aca="false">IF(18_DEBT!AL18=1,IF(01_CONTROL_PANEL!$C$11=1,IF(17_PROJECT_FINANCE!$C$22&gt;0,18_DEBT!AL23*17_PROJECT_FINANCE!$C$16/17_PROJECT_FINANCE!$C$22,0),IF(18_DEBT!$C$6&gt;0,INDEX(18_DEBT!$E$12:$AR$12,1,06_CONSTRUCTION!AL5)*17_PROJECT_FINANCE!$C$16/18_DEBT!$C$6,0)+18_DEBT!AL34),0)</f>
        <v>0</v>
      </c>
      <c r="AM35" s="34" t="n">
        <f aca="false">IF(18_DEBT!AM18=1,IF(01_CONTROL_PANEL!$C$11=1,IF(17_PROJECT_FINANCE!$C$22&gt;0,18_DEBT!AM23*17_PROJECT_FINANCE!$C$16/17_PROJECT_FINANCE!$C$22,0),IF(18_DEBT!$C$6&gt;0,INDEX(18_DEBT!$E$12:$AR$12,1,06_CONSTRUCTION!AM5)*17_PROJECT_FINANCE!$C$16/18_DEBT!$C$6,0)+18_DEBT!AM34),0)</f>
        <v>0</v>
      </c>
      <c r="AN35" s="34" t="n">
        <f aca="false">IF(18_DEBT!AN18=1,IF(01_CONTROL_PANEL!$C$11=1,IF(17_PROJECT_FINANCE!$C$22&gt;0,18_DEBT!AN23*17_PROJECT_FINANCE!$C$16/17_PROJECT_FINANCE!$C$22,0),IF(18_DEBT!$C$6&gt;0,INDEX(18_DEBT!$E$12:$AR$12,1,06_CONSTRUCTION!AN5)*17_PROJECT_FINANCE!$C$16/18_DEBT!$C$6,0)+18_DEBT!AN34),0)</f>
        <v>0</v>
      </c>
      <c r="AO35" s="34" t="n">
        <f aca="false">IF(18_DEBT!AO18=1,IF(01_CONTROL_PANEL!$C$11=1,IF(17_PROJECT_FINANCE!$C$22&gt;0,18_DEBT!AO23*17_PROJECT_FINANCE!$C$16/17_PROJECT_FINANCE!$C$22,0),IF(18_DEBT!$C$6&gt;0,INDEX(18_DEBT!$E$12:$AR$12,1,06_CONSTRUCTION!AO5)*17_PROJECT_FINANCE!$C$16/18_DEBT!$C$6,0)+18_DEBT!AO34),0)</f>
        <v>0</v>
      </c>
      <c r="AP35" s="34" t="n">
        <f aca="false">IF(18_DEBT!AP18=1,IF(01_CONTROL_PANEL!$C$11=1,IF(17_PROJECT_FINANCE!$C$22&gt;0,18_DEBT!AP23*17_PROJECT_FINANCE!$C$16/17_PROJECT_FINANCE!$C$22,0),IF(18_DEBT!$C$6&gt;0,INDEX(18_DEBT!$E$12:$AR$12,1,06_CONSTRUCTION!AP5)*17_PROJECT_FINANCE!$C$16/18_DEBT!$C$6,0)+18_DEBT!AP34),0)</f>
        <v>0</v>
      </c>
      <c r="AQ35" s="34" t="n">
        <f aca="false">IF(18_DEBT!AQ18=1,IF(01_CONTROL_PANEL!$C$11=1,IF(17_PROJECT_FINANCE!$C$22&gt;0,18_DEBT!AQ23*17_PROJECT_FINANCE!$C$16/17_PROJECT_FINANCE!$C$22,0),IF(18_DEBT!$C$6&gt;0,INDEX(18_DEBT!$E$12:$AR$12,1,06_CONSTRUCTION!AQ5)*17_PROJECT_FINANCE!$C$16/18_DEBT!$C$6,0)+18_DEBT!AQ34),0)</f>
        <v>0</v>
      </c>
      <c r="AR35" s="34" t="n">
        <f aca="false">IF(18_DEBT!AR18=1,IF(01_CONTROL_PANEL!$C$11=1,IF(17_PROJECT_FINANCE!$C$22&gt;0,18_DEBT!AR23*17_PROJECT_FINANCE!$C$16/17_PROJECT_FINANCE!$C$22,0),IF(18_DEBT!$C$6&gt;0,INDEX(18_DEBT!$E$12:$AR$12,1,06_CONSTRUCTION!AR5)*17_PROJECT_FINANCE!$C$16/18_DEBT!$C$6,0)+18_DEBT!AR34),0)</f>
        <v>0</v>
      </c>
    </row>
    <row r="36" customFormat="false" ht="15" hidden="false" customHeight="false" outlineLevel="0" collapsed="false">
      <c r="A36" s="8" t="s">
        <v>721</v>
      </c>
      <c r="B36" s="8" t="s">
        <v>84</v>
      </c>
      <c r="C36" s="34" t="n">
        <f aca="false">SUM(18_DEBT!$E$36:$AR$36)</f>
        <v>626.649723762768</v>
      </c>
      <c r="E36" s="34" t="n">
        <f aca="false">IF(18_DEBT!E18=1,MAX(0,MIN(18_DEBT!E32,IF(06_CONSTRUCTION!E5=17A_STRUCTURES!$C$21,18_DEBT!E32,18_DEBT!E35-18_DEBT!E34))),0)</f>
        <v>0</v>
      </c>
      <c r="F36" s="34" t="n">
        <f aca="false">IF(18_DEBT!F18=1,MAX(0,MIN(18_DEBT!F32,IF(06_CONSTRUCTION!F5=17A_STRUCTURES!$C$21,18_DEBT!F32,18_DEBT!F35-18_DEBT!F34))),0)</f>
        <v>0</v>
      </c>
      <c r="G36" s="34" t="n">
        <f aca="false">IF(18_DEBT!G18=1,MAX(0,MIN(18_DEBT!G32,IF(06_CONSTRUCTION!G5=17A_STRUCTURES!$C$21,18_DEBT!G32,18_DEBT!G35-18_DEBT!G34))),0)</f>
        <v>0</v>
      </c>
      <c r="H36" s="34" t="n">
        <f aca="false">IF(18_DEBT!H18=1,MAX(0,MIN(18_DEBT!H32,IF(06_CONSTRUCTION!H5=17A_STRUCTURES!$C$21,18_DEBT!H32,18_DEBT!H35-18_DEBT!H34))),0)</f>
        <v>0</v>
      </c>
      <c r="I36" s="34" t="n">
        <f aca="false">IF(18_DEBT!I18=1,MAX(0,MIN(18_DEBT!I32,IF(06_CONSTRUCTION!I5=17A_STRUCTURES!$C$21,18_DEBT!I32,18_DEBT!I35-18_DEBT!I34))),0)</f>
        <v>0</v>
      </c>
      <c r="J36" s="34" t="n">
        <f aca="false">IF(18_DEBT!J18=1,MAX(0,MIN(18_DEBT!J32,IF(06_CONSTRUCTION!J5=17A_STRUCTURES!$C$21,18_DEBT!J32,18_DEBT!J35-18_DEBT!J34))),0)</f>
        <v>13.6217005888366</v>
      </c>
      <c r="K36" s="34" t="n">
        <f aca="false">IF(18_DEBT!K18=1,MAX(0,MIN(18_DEBT!K32,IF(06_CONSTRUCTION!K5=17A_STRUCTURES!$C$21,18_DEBT!K32,18_DEBT!K35-18_DEBT!K34))),0)</f>
        <v>31.226530691413</v>
      </c>
      <c r="L36" s="34" t="n">
        <f aca="false">IF(18_DEBT!L18=1,MAX(0,MIN(18_DEBT!L32,IF(06_CONSTRUCTION!L5=17A_STRUCTURES!$C$21,18_DEBT!L32,18_DEBT!L35-18_DEBT!L34))),0)</f>
        <v>34.7150131807276</v>
      </c>
      <c r="M36" s="34" t="n">
        <f aca="false">IF(18_DEBT!M18=1,MAX(0,MIN(18_DEBT!M32,IF(06_CONSTRUCTION!M5=17A_STRUCTURES!$C$21,18_DEBT!M32,18_DEBT!M35-18_DEBT!M34))),0)</f>
        <v>38.5023814698676</v>
      </c>
      <c r="N36" s="34" t="n">
        <f aca="false">IF(18_DEBT!N18=1,MAX(0,MIN(18_DEBT!N32,IF(06_CONSTRUCTION!N5=17A_STRUCTURES!$C$21,18_DEBT!N32,18_DEBT!N35-18_DEBT!N34))),0)</f>
        <v>42.6129425668323</v>
      </c>
      <c r="O36" s="34" t="n">
        <f aca="false">IF(18_DEBT!O18=1,MAX(0,MIN(18_DEBT!O32,IF(06_CONSTRUCTION!O5=17A_STRUCTURES!$C$21,18_DEBT!O32,18_DEBT!O35-18_DEBT!O34))),0)</f>
        <v>15.7161727290379</v>
      </c>
      <c r="P36" s="34" t="n">
        <f aca="false">IF(18_DEBT!P18=1,MAX(0,MIN(18_DEBT!P32,IF(06_CONSTRUCTION!P5=17A_STRUCTURES!$C$21,18_DEBT!P32,18_DEBT!P35-18_DEBT!P34))),0)</f>
        <v>18.1279949014583</v>
      </c>
      <c r="Q36" s="34" t="n">
        <f aca="false">IF(18_DEBT!Q18=1,MAX(0,MIN(18_DEBT!Q32,IF(06_CONSTRUCTION!Q5=17A_STRUCTURES!$C$21,18_DEBT!Q32,18_DEBT!Q35-18_DEBT!Q34))),0)</f>
        <v>20.7477708133833</v>
      </c>
      <c r="R36" s="34" t="n">
        <f aca="false">IF(18_DEBT!R18=1,MAX(0,MIN(18_DEBT!R32,IF(06_CONSTRUCTION!R5=17A_STRUCTURES!$C$21,18_DEBT!R32,18_DEBT!R35-18_DEBT!R34))),0)</f>
        <v>23.5924369232876</v>
      </c>
      <c r="S36" s="34" t="n">
        <f aca="false">IF(18_DEBT!S18=1,MAX(0,MIN(18_DEBT!S32,IF(06_CONSTRUCTION!S5=17A_STRUCTURES!$C$21,18_DEBT!S32,18_DEBT!S35-18_DEBT!S34))),0)</f>
        <v>26.6802906095098</v>
      </c>
      <c r="T36" s="34" t="n">
        <f aca="false">IF(18_DEBT!T18=1,MAX(0,MIN(18_DEBT!T32,IF(06_CONSTRUCTION!T5=17A_STRUCTURES!$C$21,18_DEBT!T32,18_DEBT!T35-18_DEBT!T34))),0)</f>
        <v>30.0310991639059</v>
      </c>
      <c r="U36" s="34" t="n">
        <f aca="false">IF(18_DEBT!U18=1,MAX(0,MIN(18_DEBT!U32,IF(06_CONSTRUCTION!U5=17A_STRUCTURES!$C$21,18_DEBT!U32,18_DEBT!U35-18_DEBT!U34))),0)</f>
        <v>33.6662175073955</v>
      </c>
      <c r="V36" s="34" t="n">
        <f aca="false">IF(18_DEBT!V18=1,MAX(0,MIN(18_DEBT!V32,IF(06_CONSTRUCTION!V5=17A_STRUCTURES!$C$21,18_DEBT!V32,18_DEBT!V35-18_DEBT!V34))),0)</f>
        <v>37.6087153252008</v>
      </c>
      <c r="W36" s="34" t="n">
        <f aca="false">IF(18_DEBT!W18=1,MAX(0,MIN(18_DEBT!W32,IF(06_CONSTRUCTION!W5=17A_STRUCTURES!$C$21,18_DEBT!W32,18_DEBT!W35-18_DEBT!W34))),0)</f>
        <v>41.8835143754038</v>
      </c>
      <c r="X36" s="34" t="n">
        <f aca="false">IF(18_DEBT!X18=1,MAX(0,MIN(18_DEBT!X32,IF(06_CONSTRUCTION!X5=17A_STRUCTURES!$C$21,18_DEBT!X32,18_DEBT!X35-18_DEBT!X34))),0)</f>
        <v>46.5175367847357</v>
      </c>
      <c r="Y36" s="34" t="n">
        <f aca="false">IF(18_DEBT!Y18=1,MAX(0,MIN(18_DEBT!Y32,IF(06_CONSTRUCTION!Y5=17A_STRUCTURES!$C$21,18_DEBT!Y32,18_DEBT!Y35-18_DEBT!Y34))),0)</f>
        <v>51.5398652106292</v>
      </c>
      <c r="Z36" s="34" t="n">
        <f aca="false">IF(18_DEBT!Z18=1,MAX(0,MIN(18_DEBT!Z32,IF(06_CONSTRUCTION!Z5=17A_STRUCTURES!$C$21,18_DEBT!Z32,18_DEBT!Z35-18_DEBT!Z34))),0)</f>
        <v>56.9819158188855</v>
      </c>
      <c r="AA36" s="34" t="n">
        <f aca="false">IF(18_DEBT!AA18=1,MAX(0,MIN(18_DEBT!AA32,IF(06_CONSTRUCTION!AA5=17A_STRUCTURES!$C$21,18_DEBT!AA32,18_DEBT!AA35-18_DEBT!AA34))),0)</f>
        <v>62.8776251022578</v>
      </c>
      <c r="AB36" s="34" t="n">
        <f aca="false">IF(18_DEBT!AB18=1,MAX(0,MIN(18_DEBT!AB32,IF(06_CONSTRUCTION!AB5=17A_STRUCTURES!$C$21,18_DEBT!AB32,18_DEBT!AB35-18_DEBT!AB34))),0)</f>
        <v>0</v>
      </c>
      <c r="AC36" s="34" t="n">
        <f aca="false">IF(18_DEBT!AC18=1,MAX(0,MIN(18_DEBT!AC32,IF(06_CONSTRUCTION!AC5=17A_STRUCTURES!$C$21,18_DEBT!AC32,18_DEBT!AC35-18_DEBT!AC34))),0)</f>
        <v>0</v>
      </c>
      <c r="AD36" s="34" t="n">
        <f aca="false">IF(18_DEBT!AD18=1,MAX(0,MIN(18_DEBT!AD32,IF(06_CONSTRUCTION!AD5=17A_STRUCTURES!$C$21,18_DEBT!AD32,18_DEBT!AD35-18_DEBT!AD34))),0)</f>
        <v>0</v>
      </c>
      <c r="AE36" s="34" t="n">
        <f aca="false">IF(18_DEBT!AE18=1,MAX(0,MIN(18_DEBT!AE32,IF(06_CONSTRUCTION!AE5=17A_STRUCTURES!$C$21,18_DEBT!AE32,18_DEBT!AE35-18_DEBT!AE34))),0)</f>
        <v>0</v>
      </c>
      <c r="AF36" s="34" t="n">
        <f aca="false">IF(18_DEBT!AF18=1,MAX(0,MIN(18_DEBT!AF32,IF(06_CONSTRUCTION!AF5=17A_STRUCTURES!$C$21,18_DEBT!AF32,18_DEBT!AF35-18_DEBT!AF34))),0)</f>
        <v>0</v>
      </c>
      <c r="AG36" s="34" t="n">
        <f aca="false">IF(18_DEBT!AG18=1,MAX(0,MIN(18_DEBT!AG32,IF(06_CONSTRUCTION!AG5=17A_STRUCTURES!$C$21,18_DEBT!AG32,18_DEBT!AG35-18_DEBT!AG34))),0)</f>
        <v>0</v>
      </c>
      <c r="AH36" s="34" t="n">
        <f aca="false">IF(18_DEBT!AH18=1,MAX(0,MIN(18_DEBT!AH32,IF(06_CONSTRUCTION!AH5=17A_STRUCTURES!$C$21,18_DEBT!AH32,18_DEBT!AH35-18_DEBT!AH34))),0)</f>
        <v>0</v>
      </c>
      <c r="AI36" s="34" t="n">
        <f aca="false">IF(18_DEBT!AI18=1,MAX(0,MIN(18_DEBT!AI32,IF(06_CONSTRUCTION!AI5=17A_STRUCTURES!$C$21,18_DEBT!AI32,18_DEBT!AI35-18_DEBT!AI34))),0)</f>
        <v>0</v>
      </c>
      <c r="AJ36" s="34" t="n">
        <f aca="false">IF(18_DEBT!AJ18=1,MAX(0,MIN(18_DEBT!AJ32,IF(06_CONSTRUCTION!AJ5=17A_STRUCTURES!$C$21,18_DEBT!AJ32,18_DEBT!AJ35-18_DEBT!AJ34))),0)</f>
        <v>0</v>
      </c>
      <c r="AK36" s="34" t="n">
        <f aca="false">IF(18_DEBT!AK18=1,MAX(0,MIN(18_DEBT!AK32,IF(06_CONSTRUCTION!AK5=17A_STRUCTURES!$C$21,18_DEBT!AK32,18_DEBT!AK35-18_DEBT!AK34))),0)</f>
        <v>0</v>
      </c>
      <c r="AL36" s="34" t="n">
        <f aca="false">IF(18_DEBT!AL18=1,MAX(0,MIN(18_DEBT!AL32,IF(06_CONSTRUCTION!AL5=17A_STRUCTURES!$C$21,18_DEBT!AL32,18_DEBT!AL35-18_DEBT!AL34))),0)</f>
        <v>0</v>
      </c>
      <c r="AM36" s="34" t="n">
        <f aca="false">IF(18_DEBT!AM18=1,MAX(0,MIN(18_DEBT!AM32,IF(06_CONSTRUCTION!AM5=17A_STRUCTURES!$C$21,18_DEBT!AM32,18_DEBT!AM35-18_DEBT!AM34))),0)</f>
        <v>0</v>
      </c>
      <c r="AN36" s="34" t="n">
        <f aca="false">IF(18_DEBT!AN18=1,MAX(0,MIN(18_DEBT!AN32,IF(06_CONSTRUCTION!AN5=17A_STRUCTURES!$C$21,18_DEBT!AN32,18_DEBT!AN35-18_DEBT!AN34))),0)</f>
        <v>0</v>
      </c>
      <c r="AO36" s="34" t="n">
        <f aca="false">IF(18_DEBT!AO18=1,MAX(0,MIN(18_DEBT!AO32,IF(06_CONSTRUCTION!AO5=17A_STRUCTURES!$C$21,18_DEBT!AO32,18_DEBT!AO35-18_DEBT!AO34))),0)</f>
        <v>0</v>
      </c>
      <c r="AP36" s="34" t="n">
        <f aca="false">IF(18_DEBT!AP18=1,MAX(0,MIN(18_DEBT!AP32,IF(06_CONSTRUCTION!AP5=17A_STRUCTURES!$C$21,18_DEBT!AP32,18_DEBT!AP35-18_DEBT!AP34))),0)</f>
        <v>0</v>
      </c>
      <c r="AQ36" s="34" t="n">
        <f aca="false">IF(18_DEBT!AQ18=1,MAX(0,MIN(18_DEBT!AQ32,IF(06_CONSTRUCTION!AQ5=17A_STRUCTURES!$C$21,18_DEBT!AQ32,18_DEBT!AQ35-18_DEBT!AQ34))),0)</f>
        <v>0</v>
      </c>
      <c r="AR36" s="34" t="n">
        <f aca="false">IF(18_DEBT!AR18=1,MAX(0,MIN(18_DEBT!AR32,IF(06_CONSTRUCTION!AR5=17A_STRUCTURES!$C$21,18_DEBT!AR32,18_DEBT!AR35-18_DEBT!AR34))),0)</f>
        <v>0</v>
      </c>
    </row>
    <row r="37" customFormat="false" ht="15" hidden="false" customHeight="false" outlineLevel="0" collapsed="false">
      <c r="A37" s="8" t="s">
        <v>722</v>
      </c>
      <c r="B37" s="8" t="s">
        <v>84</v>
      </c>
      <c r="E37" s="34" t="n">
        <f aca="false">18_DEBT!E32+18_DEBT!E33-18_DEBT!E36</f>
        <v>59.8397238591612</v>
      </c>
      <c r="F37" s="34" t="n">
        <f aca="false">18_DEBT!F32+18_DEBT!F33-18_DEBT!F36</f>
        <v>216.502154799853</v>
      </c>
      <c r="G37" s="34" t="n">
        <f aca="false">18_DEBT!G32+18_DEBT!G33-18_DEBT!G36</f>
        <v>410.147568962915</v>
      </c>
      <c r="H37" s="34" t="n">
        <f aca="false">18_DEBT!H32+18_DEBT!H33-18_DEBT!H36</f>
        <v>566.809999903607</v>
      </c>
      <c r="I37" s="34" t="n">
        <f aca="false">18_DEBT!I32+18_DEBT!I33-18_DEBT!I36</f>
        <v>626.649723762768</v>
      </c>
      <c r="J37" s="34" t="n">
        <f aca="false">18_DEBT!J32+18_DEBT!J33-18_DEBT!J36</f>
        <v>613.028023173931</v>
      </c>
      <c r="K37" s="34" t="n">
        <f aca="false">18_DEBT!K32+18_DEBT!K33-18_DEBT!K36</f>
        <v>581.801492482519</v>
      </c>
      <c r="L37" s="34" t="n">
        <f aca="false">18_DEBT!L32+18_DEBT!L33-18_DEBT!L36</f>
        <v>547.086479301791</v>
      </c>
      <c r="M37" s="34" t="n">
        <f aca="false">18_DEBT!M32+18_DEBT!M33-18_DEBT!M36</f>
        <v>508.584097831923</v>
      </c>
      <c r="N37" s="34" t="n">
        <f aca="false">18_DEBT!N32+18_DEBT!N33-18_DEBT!N36</f>
        <v>465.971155265091</v>
      </c>
      <c r="O37" s="34" t="n">
        <f aca="false">18_DEBT!O32+18_DEBT!O33-18_DEBT!O36</f>
        <v>450.254982536053</v>
      </c>
      <c r="P37" s="34" t="n">
        <f aca="false">18_DEBT!P32+18_DEBT!P33-18_DEBT!P36</f>
        <v>432.126987634595</v>
      </c>
      <c r="Q37" s="34" t="n">
        <f aca="false">18_DEBT!Q32+18_DEBT!Q33-18_DEBT!Q36</f>
        <v>411.379216821212</v>
      </c>
      <c r="R37" s="34" t="n">
        <f aca="false">18_DEBT!R32+18_DEBT!R33-18_DEBT!R36</f>
        <v>387.786779897924</v>
      </c>
      <c r="S37" s="34" t="n">
        <f aca="false">18_DEBT!S32+18_DEBT!S33-18_DEBT!S36</f>
        <v>361.106489288414</v>
      </c>
      <c r="T37" s="34" t="n">
        <f aca="false">18_DEBT!T32+18_DEBT!T33-18_DEBT!T36</f>
        <v>331.075390124508</v>
      </c>
      <c r="U37" s="34" t="n">
        <f aca="false">18_DEBT!U32+18_DEBT!U33-18_DEBT!U36</f>
        <v>297.409172617113</v>
      </c>
      <c r="V37" s="34" t="n">
        <f aca="false">18_DEBT!V32+18_DEBT!V33-18_DEBT!V36</f>
        <v>259.800457291912</v>
      </c>
      <c r="W37" s="34" t="n">
        <f aca="false">18_DEBT!W32+18_DEBT!W33-18_DEBT!W36</f>
        <v>217.916942916508</v>
      </c>
      <c r="X37" s="34" t="n">
        <f aca="false">18_DEBT!X32+18_DEBT!X33-18_DEBT!X36</f>
        <v>171.399406131772</v>
      </c>
      <c r="Y37" s="34" t="n">
        <f aca="false">18_DEBT!Y32+18_DEBT!Y33-18_DEBT!Y36</f>
        <v>119.859540921143</v>
      </c>
      <c r="Z37" s="34" t="n">
        <f aca="false">18_DEBT!Z32+18_DEBT!Z33-18_DEBT!Z36</f>
        <v>62.8776251022578</v>
      </c>
      <c r="AA37" s="34" t="n">
        <f aca="false">18_DEBT!AA32+18_DEBT!AA33-18_DEBT!AA36</f>
        <v>0</v>
      </c>
      <c r="AB37" s="34" t="n">
        <f aca="false">18_DEBT!AB32+18_DEBT!AB33-18_DEBT!AB36</f>
        <v>0</v>
      </c>
      <c r="AC37" s="34" t="n">
        <f aca="false">18_DEBT!AC32+18_DEBT!AC33-18_DEBT!AC36</f>
        <v>0</v>
      </c>
      <c r="AD37" s="34" t="n">
        <f aca="false">18_DEBT!AD32+18_DEBT!AD33-18_DEBT!AD36</f>
        <v>0</v>
      </c>
      <c r="AE37" s="34" t="n">
        <f aca="false">18_DEBT!AE32+18_DEBT!AE33-18_DEBT!AE36</f>
        <v>0</v>
      </c>
      <c r="AF37" s="34" t="n">
        <f aca="false">18_DEBT!AF32+18_DEBT!AF33-18_DEBT!AF36</f>
        <v>0</v>
      </c>
      <c r="AG37" s="34" t="n">
        <f aca="false">18_DEBT!AG32+18_DEBT!AG33-18_DEBT!AG36</f>
        <v>0</v>
      </c>
      <c r="AH37" s="34" t="n">
        <f aca="false">18_DEBT!AH32+18_DEBT!AH33-18_DEBT!AH36</f>
        <v>0</v>
      </c>
      <c r="AI37" s="34" t="n">
        <f aca="false">18_DEBT!AI32+18_DEBT!AI33-18_DEBT!AI36</f>
        <v>0</v>
      </c>
      <c r="AJ37" s="34" t="n">
        <f aca="false">18_DEBT!AJ32+18_DEBT!AJ33-18_DEBT!AJ36</f>
        <v>0</v>
      </c>
      <c r="AK37" s="34" t="n">
        <f aca="false">18_DEBT!AK32+18_DEBT!AK33-18_DEBT!AK36</f>
        <v>0</v>
      </c>
      <c r="AL37" s="34" t="n">
        <f aca="false">18_DEBT!AL32+18_DEBT!AL33-18_DEBT!AL36</f>
        <v>0</v>
      </c>
      <c r="AM37" s="34" t="n">
        <f aca="false">18_DEBT!AM32+18_DEBT!AM33-18_DEBT!AM36</f>
        <v>0</v>
      </c>
      <c r="AN37" s="34" t="n">
        <f aca="false">18_DEBT!AN32+18_DEBT!AN33-18_DEBT!AN36</f>
        <v>0</v>
      </c>
      <c r="AO37" s="34" t="n">
        <f aca="false">18_DEBT!AO32+18_DEBT!AO33-18_DEBT!AO36</f>
        <v>0</v>
      </c>
      <c r="AP37" s="34" t="n">
        <f aca="false">18_DEBT!AP32+18_DEBT!AP33-18_DEBT!AP36</f>
        <v>0</v>
      </c>
      <c r="AQ37" s="34" t="n">
        <f aca="false">18_DEBT!AQ32+18_DEBT!AQ33-18_DEBT!AQ36</f>
        <v>0</v>
      </c>
      <c r="AR37" s="34" t="n">
        <f aca="false">18_DEBT!AR32+18_DEBT!AR33-18_DEBT!AR36</f>
        <v>0</v>
      </c>
    </row>
    <row r="38" customFormat="false" ht="15" hidden="false" customHeight="false" outlineLevel="0" collapsed="false">
      <c r="A38" s="8" t="s">
        <v>723</v>
      </c>
      <c r="B38" s="8" t="s">
        <v>84</v>
      </c>
      <c r="C38" s="34" t="n">
        <f aca="false">SUM(18_DEBT!$E$38:$AR$38)</f>
        <v>1174.33884081088</v>
      </c>
      <c r="E38" s="34" t="n">
        <f aca="false">06_CONSTRUCTION!E14*(18_DEBT!E34+18_DEBT!E36)</f>
        <v>0</v>
      </c>
      <c r="F38" s="34" t="n">
        <f aca="false">06_CONSTRUCTION!F14*(18_DEBT!F34+18_DEBT!F36)</f>
        <v>0</v>
      </c>
      <c r="G38" s="34" t="n">
        <f aca="false">06_CONSTRUCTION!G14*(18_DEBT!G34+18_DEBT!G36)</f>
        <v>0</v>
      </c>
      <c r="H38" s="34" t="n">
        <f aca="false">06_CONSTRUCTION!H14*(18_DEBT!H34+18_DEBT!H36)</f>
        <v>0</v>
      </c>
      <c r="I38" s="34" t="n">
        <f aca="false">06_CONSTRUCTION!I14*(18_DEBT!I34+18_DEBT!I36)</f>
        <v>0</v>
      </c>
      <c r="J38" s="34" t="n">
        <f aca="false">06_CONSTRUCTION!J14*(18_DEBT!J34+18_DEBT!J36)</f>
        <v>63.753678489858</v>
      </c>
      <c r="K38" s="34" t="n">
        <f aca="false">06_CONSTRUCTION!K14*(18_DEBT!K34+18_DEBT!K36)</f>
        <v>80.2687725453275</v>
      </c>
      <c r="L38" s="34" t="n">
        <f aca="false">06_CONSTRUCTION!L14*(18_DEBT!L34+18_DEBT!L36)</f>
        <v>81.2591325793291</v>
      </c>
      <c r="M38" s="34" t="n">
        <f aca="false">06_CONSTRUCTION!M14*(18_DEBT!M34+18_DEBT!M36)</f>
        <v>82.2692998140108</v>
      </c>
      <c r="N38" s="34" t="n">
        <f aca="false">06_CONSTRUCTION!N14*(18_DEBT!N34+18_DEBT!N36)</f>
        <v>83.2996703933862</v>
      </c>
      <c r="O38" s="34" t="n">
        <f aca="false">06_CONSTRUCTION!O14*(18_DEBT!O34+18_DEBT!O36)</f>
        <v>52.9938651502451</v>
      </c>
      <c r="P38" s="34" t="n">
        <f aca="false">06_CONSTRUCTION!P14*(18_DEBT!P34+18_DEBT!P36)</f>
        <v>54.1483935043426</v>
      </c>
      <c r="Q38" s="34" t="n">
        <f aca="false">06_CONSTRUCTION!Q14*(18_DEBT!Q34+18_DEBT!Q36)</f>
        <v>55.3179298241509</v>
      </c>
      <c r="R38" s="34" t="n">
        <f aca="false">06_CONSTRUCTION!R14*(18_DEBT!R34+18_DEBT!R36)</f>
        <v>56.5027742689845</v>
      </c>
      <c r="S38" s="34" t="n">
        <f aca="false">06_CONSTRUCTION!S14*(18_DEBT!S34+18_DEBT!S36)</f>
        <v>57.7032330013437</v>
      </c>
      <c r="T38" s="34" t="n">
        <f aca="false">06_CONSTRUCTION!T14*(18_DEBT!T34+18_DEBT!T36)</f>
        <v>58.9196183069791</v>
      </c>
      <c r="U38" s="34" t="n">
        <f aca="false">06_CONSTRUCTION!U14*(18_DEBT!U34+18_DEBT!U36)</f>
        <v>60.1522487173562</v>
      </c>
      <c r="V38" s="34" t="n">
        <f aca="false">06_CONSTRUCTION!V14*(18_DEBT!V34+18_DEBT!V36)</f>
        <v>61.4014491345698</v>
      </c>
      <c r="W38" s="34" t="n">
        <f aca="false">06_CONSTRUCTION!W14*(18_DEBT!W34+18_DEBT!W36)</f>
        <v>62.6675509587567</v>
      </c>
      <c r="X38" s="34" t="n">
        <f aca="false">06_CONSTRUCTION!X14*(18_DEBT!X34+18_DEBT!X36)</f>
        <v>63.9508922180564</v>
      </c>
      <c r="Y38" s="34" t="n">
        <f aca="false">06_CONSTRUCTION!Y14*(18_DEBT!Y34+18_DEBT!Y36)</f>
        <v>65.251817701171</v>
      </c>
      <c r="Z38" s="34" t="n">
        <f aca="false">06_CONSTRUCTION!Z14*(18_DEBT!Z34+18_DEBT!Z36)</f>
        <v>66.570679092577</v>
      </c>
      <c r="AA38" s="34" t="n">
        <f aca="false">06_CONSTRUCTION!AA14*(18_DEBT!AA34+18_DEBT!AA36)</f>
        <v>67.9078351104384</v>
      </c>
      <c r="AB38" s="34" t="n">
        <f aca="false">06_CONSTRUCTION!AB14*(18_DEBT!AB34+18_DEBT!AB36)</f>
        <v>0</v>
      </c>
      <c r="AC38" s="34" t="n">
        <f aca="false">06_CONSTRUCTION!AC14*(18_DEBT!AC34+18_DEBT!AC36)</f>
        <v>0</v>
      </c>
      <c r="AD38" s="34" t="n">
        <f aca="false">06_CONSTRUCTION!AD14*(18_DEBT!AD34+18_DEBT!AD36)</f>
        <v>0</v>
      </c>
      <c r="AE38" s="34" t="n">
        <f aca="false">06_CONSTRUCTION!AE14*(18_DEBT!AE34+18_DEBT!AE36)</f>
        <v>0</v>
      </c>
      <c r="AF38" s="34" t="n">
        <f aca="false">06_CONSTRUCTION!AF14*(18_DEBT!AF34+18_DEBT!AF36)</f>
        <v>0</v>
      </c>
      <c r="AG38" s="34" t="n">
        <f aca="false">06_CONSTRUCTION!AG14*(18_DEBT!AG34+18_DEBT!AG36)</f>
        <v>0</v>
      </c>
      <c r="AH38" s="34" t="n">
        <f aca="false">06_CONSTRUCTION!AH14*(18_DEBT!AH34+18_DEBT!AH36)</f>
        <v>0</v>
      </c>
      <c r="AI38" s="34" t="n">
        <f aca="false">06_CONSTRUCTION!AI14*(18_DEBT!AI34+18_DEBT!AI36)</f>
        <v>0</v>
      </c>
      <c r="AJ38" s="34" t="n">
        <f aca="false">06_CONSTRUCTION!AJ14*(18_DEBT!AJ34+18_DEBT!AJ36)</f>
        <v>0</v>
      </c>
      <c r="AK38" s="34" t="n">
        <f aca="false">06_CONSTRUCTION!AK14*(18_DEBT!AK34+18_DEBT!AK36)</f>
        <v>0</v>
      </c>
      <c r="AL38" s="34" t="n">
        <f aca="false">06_CONSTRUCTION!AL14*(18_DEBT!AL34+18_DEBT!AL36)</f>
        <v>0</v>
      </c>
      <c r="AM38" s="34" t="n">
        <f aca="false">06_CONSTRUCTION!AM14*(18_DEBT!AM34+18_DEBT!AM36)</f>
        <v>0</v>
      </c>
      <c r="AN38" s="34" t="n">
        <f aca="false">06_CONSTRUCTION!AN14*(18_DEBT!AN34+18_DEBT!AN36)</f>
        <v>0</v>
      </c>
      <c r="AO38" s="34" t="n">
        <f aca="false">06_CONSTRUCTION!AO14*(18_DEBT!AO34+18_DEBT!AO36)</f>
        <v>0</v>
      </c>
      <c r="AP38" s="34" t="n">
        <f aca="false">06_CONSTRUCTION!AP14*(18_DEBT!AP34+18_DEBT!AP36)</f>
        <v>0</v>
      </c>
      <c r="AQ38" s="34" t="n">
        <f aca="false">06_CONSTRUCTION!AQ14*(18_DEBT!AQ34+18_DEBT!AQ36)</f>
        <v>0</v>
      </c>
      <c r="AR38" s="34" t="n">
        <f aca="false">06_CONSTRUCTION!AR14*(18_DEBT!AR34+18_DEBT!AR36)</f>
        <v>0</v>
      </c>
    </row>
    <row r="39" customFormat="false" ht="15" hidden="false" customHeight="false" outlineLevel="0" collapsed="false">
      <c r="A39" s="6" t="s">
        <v>726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</row>
    <row r="40" customFormat="false" ht="15" hidden="false" customHeight="false" outlineLevel="0" collapsed="false">
      <c r="A40" s="4" t="s">
        <v>727</v>
      </c>
      <c r="B40" s="8" t="s">
        <v>84</v>
      </c>
      <c r="C40" s="34" t="n">
        <f aca="false">SUM(18_DEBT!$E$40:$AR$40)</f>
        <v>1662.2083337852</v>
      </c>
      <c r="E40" s="50" t="n">
        <f aca="false">18_DEBT!E30+18_DEBT!E38</f>
        <v>0</v>
      </c>
      <c r="F40" s="50" t="n">
        <f aca="false">18_DEBT!F30+18_DEBT!F38</f>
        <v>0</v>
      </c>
      <c r="G40" s="50" t="n">
        <f aca="false">18_DEBT!G30+18_DEBT!G38</f>
        <v>0</v>
      </c>
      <c r="H40" s="50" t="n">
        <f aca="false">18_DEBT!H30+18_DEBT!H38</f>
        <v>0</v>
      </c>
      <c r="I40" s="50" t="n">
        <f aca="false">18_DEBT!I30+18_DEBT!I38</f>
        <v>0</v>
      </c>
      <c r="J40" s="50" t="n">
        <f aca="false">18_DEBT!J30+18_DEBT!J38</f>
        <v>73.7441800524721</v>
      </c>
      <c r="K40" s="50" t="n">
        <f aca="false">18_DEBT!K30+18_DEBT!K38</f>
        <v>90.2592741079415</v>
      </c>
      <c r="L40" s="50" t="n">
        <f aca="false">18_DEBT!L30+18_DEBT!L38</f>
        <v>91.2496341419432</v>
      </c>
      <c r="M40" s="50" t="n">
        <f aca="false">18_DEBT!M30+18_DEBT!M38</f>
        <v>92.2598013766249</v>
      </c>
      <c r="N40" s="50" t="n">
        <f aca="false">18_DEBT!N30+18_DEBT!N38</f>
        <v>93.2901719560002</v>
      </c>
      <c r="O40" s="50" t="n">
        <f aca="false">18_DEBT!O30+18_DEBT!O38</f>
        <v>79.6352026505493</v>
      </c>
      <c r="P40" s="50" t="n">
        <f aca="false">18_DEBT!P30+18_DEBT!P38</f>
        <v>80.290205926516</v>
      </c>
      <c r="Q40" s="50" t="n">
        <f aca="false">18_DEBT!Q30+18_DEBT!Q38</f>
        <v>80.9602171681937</v>
      </c>
      <c r="R40" s="50" t="n">
        <f aca="false">18_DEBT!R30+18_DEBT!R38</f>
        <v>81.6455365348965</v>
      </c>
      <c r="S40" s="50" t="n">
        <f aca="false">18_DEBT!S30+18_DEBT!S38</f>
        <v>82.346470189125</v>
      </c>
      <c r="T40" s="50" t="n">
        <f aca="false">18_DEBT!T30+18_DEBT!T38</f>
        <v>83.0633304166297</v>
      </c>
      <c r="U40" s="50" t="n">
        <f aca="false">18_DEBT!U30+18_DEBT!U38</f>
        <v>83.7964357488761</v>
      </c>
      <c r="V40" s="50" t="n">
        <f aca="false">18_DEBT!V30+18_DEBT!V38</f>
        <v>84.546111087959</v>
      </c>
      <c r="W40" s="50" t="n">
        <f aca="false">18_DEBT!W30+18_DEBT!W38</f>
        <v>85.3126878340152</v>
      </c>
      <c r="X40" s="50" t="n">
        <f aca="false">18_DEBT!X30+18_DEBT!X38</f>
        <v>86.0965040151842</v>
      </c>
      <c r="Y40" s="50" t="n">
        <f aca="false">18_DEBT!Y30+18_DEBT!Y38</f>
        <v>86.8979044201682</v>
      </c>
      <c r="Z40" s="50" t="n">
        <f aca="false">18_DEBT!Z30+18_DEBT!Z38</f>
        <v>87.7172407334434</v>
      </c>
      <c r="AA40" s="50" t="n">
        <f aca="false">18_DEBT!AA30+18_DEBT!AA38</f>
        <v>88.5548716731741</v>
      </c>
      <c r="AB40" s="50" t="n">
        <f aca="false">18_DEBT!AB30+18_DEBT!AB38</f>
        <v>20.147511484605</v>
      </c>
      <c r="AC40" s="50" t="n">
        <f aca="false">18_DEBT!AC30+18_DEBT!AC38</f>
        <v>19.6479864064743</v>
      </c>
      <c r="AD40" s="50" t="n">
        <f aca="false">18_DEBT!AD30+18_DEBT!AD38</f>
        <v>19.1484613283436</v>
      </c>
      <c r="AE40" s="50" t="n">
        <f aca="false">18_DEBT!AE30+18_DEBT!AE38</f>
        <v>18.6489362502129</v>
      </c>
      <c r="AF40" s="50" t="n">
        <f aca="false">18_DEBT!AF30+18_DEBT!AF38</f>
        <v>18.1494111720822</v>
      </c>
      <c r="AG40" s="50" t="n">
        <f aca="false">18_DEBT!AG30+18_DEBT!AG38</f>
        <v>17.6498860939515</v>
      </c>
      <c r="AH40" s="50" t="n">
        <f aca="false">18_DEBT!AH30+18_DEBT!AH38</f>
        <v>17.1503610158208</v>
      </c>
      <c r="AI40" s="50" t="n">
        <f aca="false">18_DEBT!AI30+18_DEBT!AI38</f>
        <v>0</v>
      </c>
      <c r="AJ40" s="50" t="n">
        <f aca="false">18_DEBT!AJ30+18_DEBT!AJ38</f>
        <v>0</v>
      </c>
      <c r="AK40" s="50" t="n">
        <f aca="false">18_DEBT!AK30+18_DEBT!AK38</f>
        <v>0</v>
      </c>
      <c r="AL40" s="50" t="n">
        <f aca="false">18_DEBT!AL30+18_DEBT!AL38</f>
        <v>0</v>
      </c>
      <c r="AM40" s="50" t="n">
        <f aca="false">18_DEBT!AM30+18_DEBT!AM38</f>
        <v>0</v>
      </c>
      <c r="AN40" s="50" t="n">
        <f aca="false">18_DEBT!AN30+18_DEBT!AN38</f>
        <v>0</v>
      </c>
      <c r="AO40" s="50" t="n">
        <f aca="false">18_DEBT!AO30+18_DEBT!AO38</f>
        <v>0</v>
      </c>
      <c r="AP40" s="50" t="n">
        <f aca="false">18_DEBT!AP30+18_DEBT!AP38</f>
        <v>0</v>
      </c>
      <c r="AQ40" s="50" t="n">
        <f aca="false">18_DEBT!AQ30+18_DEBT!AQ38</f>
        <v>0</v>
      </c>
      <c r="AR40" s="50" t="n">
        <f aca="false">18_DEBT!AR30+18_DEBT!AR38</f>
        <v>0</v>
      </c>
    </row>
    <row r="41" customFormat="false" ht="15" hidden="false" customHeight="false" outlineLevel="0" collapsed="false">
      <c r="A41" s="8" t="s">
        <v>728</v>
      </c>
      <c r="B41" s="8" t="s">
        <v>84</v>
      </c>
      <c r="C41" s="34" t="n">
        <f aca="false">SUM(18_DEBT!$E$41:$AR$41)</f>
        <v>150.306198659089</v>
      </c>
      <c r="E41" s="34" t="n">
        <f aca="false">06_CONSTRUCTION!E13*(18_DEBT!E27+18_DEBT!E34)</f>
        <v>2.8705929583989</v>
      </c>
      <c r="F41" s="34" t="n">
        <f aca="false">06_CONSTRUCTION!F13*(18_DEBT!F27+18_DEBT!F34)</f>
        <v>13.2564958497522</v>
      </c>
      <c r="G41" s="34" t="n">
        <f aca="false">06_CONSTRUCTION!G13*(18_DEBT!G27+18_DEBT!G34)</f>
        <v>30.0612397318177</v>
      </c>
      <c r="H41" s="34" t="n">
        <f aca="false">06_CONSTRUCTION!H13*(18_DEBT!H27+18_DEBT!H34)</f>
        <v>46.8659836138833</v>
      </c>
      <c r="I41" s="34" t="n">
        <f aca="false">06_CONSTRUCTION!I13*(18_DEBT!I27+18_DEBT!I34)</f>
        <v>57.2518865052366</v>
      </c>
      <c r="J41" s="34" t="n">
        <f aca="false">06_CONSTRUCTION!J13*(18_DEBT!J27+18_DEBT!J34)</f>
        <v>0</v>
      </c>
      <c r="K41" s="34" t="n">
        <f aca="false">06_CONSTRUCTION!K13*(18_DEBT!K27+18_DEBT!K34)</f>
        <v>0</v>
      </c>
      <c r="L41" s="34" t="n">
        <f aca="false">06_CONSTRUCTION!L13*(18_DEBT!L27+18_DEBT!L34)</f>
        <v>0</v>
      </c>
      <c r="M41" s="34" t="n">
        <f aca="false">06_CONSTRUCTION!M13*(18_DEBT!M27+18_DEBT!M34)</f>
        <v>0</v>
      </c>
      <c r="N41" s="34" t="n">
        <f aca="false">06_CONSTRUCTION!N13*(18_DEBT!N27+18_DEBT!N34)</f>
        <v>0</v>
      </c>
      <c r="O41" s="34" t="n">
        <f aca="false">06_CONSTRUCTION!O13*(18_DEBT!O27+18_DEBT!O34)</f>
        <v>0</v>
      </c>
      <c r="P41" s="34" t="n">
        <f aca="false">06_CONSTRUCTION!P13*(18_DEBT!P27+18_DEBT!P34)</f>
        <v>0</v>
      </c>
      <c r="Q41" s="34" t="n">
        <f aca="false">06_CONSTRUCTION!Q13*(18_DEBT!Q27+18_DEBT!Q34)</f>
        <v>0</v>
      </c>
      <c r="R41" s="34" t="n">
        <f aca="false">06_CONSTRUCTION!R13*(18_DEBT!R27+18_DEBT!R34)</f>
        <v>0</v>
      </c>
      <c r="S41" s="34" t="n">
        <f aca="false">06_CONSTRUCTION!S13*(18_DEBT!S27+18_DEBT!S34)</f>
        <v>0</v>
      </c>
      <c r="T41" s="34" t="n">
        <f aca="false">06_CONSTRUCTION!T13*(18_DEBT!T27+18_DEBT!T34)</f>
        <v>0</v>
      </c>
      <c r="U41" s="34" t="n">
        <f aca="false">06_CONSTRUCTION!U13*(18_DEBT!U27+18_DEBT!U34)</f>
        <v>0</v>
      </c>
      <c r="V41" s="34" t="n">
        <f aca="false">06_CONSTRUCTION!V13*(18_DEBT!V27+18_DEBT!V34)</f>
        <v>0</v>
      </c>
      <c r="W41" s="34" t="n">
        <f aca="false">06_CONSTRUCTION!W13*(18_DEBT!W27+18_DEBT!W34)</f>
        <v>0</v>
      </c>
      <c r="X41" s="34" t="n">
        <f aca="false">06_CONSTRUCTION!X13*(18_DEBT!X27+18_DEBT!X34)</f>
        <v>0</v>
      </c>
      <c r="Y41" s="34" t="n">
        <f aca="false">06_CONSTRUCTION!Y13*(18_DEBT!Y27+18_DEBT!Y34)</f>
        <v>0</v>
      </c>
      <c r="Z41" s="34" t="n">
        <f aca="false">06_CONSTRUCTION!Z13*(18_DEBT!Z27+18_DEBT!Z34)</f>
        <v>0</v>
      </c>
      <c r="AA41" s="34" t="n">
        <f aca="false">06_CONSTRUCTION!AA13*(18_DEBT!AA27+18_DEBT!AA34)</f>
        <v>0</v>
      </c>
      <c r="AB41" s="34" t="n">
        <f aca="false">06_CONSTRUCTION!AB13*(18_DEBT!AB27+18_DEBT!AB34)</f>
        <v>0</v>
      </c>
      <c r="AC41" s="34" t="n">
        <f aca="false">06_CONSTRUCTION!AC13*(18_DEBT!AC27+18_DEBT!AC34)</f>
        <v>0</v>
      </c>
      <c r="AD41" s="34" t="n">
        <f aca="false">06_CONSTRUCTION!AD13*(18_DEBT!AD27+18_DEBT!AD34)</f>
        <v>0</v>
      </c>
      <c r="AE41" s="34" t="n">
        <f aca="false">06_CONSTRUCTION!AE13*(18_DEBT!AE27+18_DEBT!AE34)</f>
        <v>0</v>
      </c>
      <c r="AF41" s="34" t="n">
        <f aca="false">06_CONSTRUCTION!AF13*(18_DEBT!AF27+18_DEBT!AF34)</f>
        <v>0</v>
      </c>
      <c r="AG41" s="34" t="n">
        <f aca="false">06_CONSTRUCTION!AG13*(18_DEBT!AG27+18_DEBT!AG34)</f>
        <v>0</v>
      </c>
      <c r="AH41" s="34" t="n">
        <f aca="false">06_CONSTRUCTION!AH13*(18_DEBT!AH27+18_DEBT!AH34)</f>
        <v>0</v>
      </c>
      <c r="AI41" s="34" t="n">
        <f aca="false">06_CONSTRUCTION!AI13*(18_DEBT!AI27+18_DEBT!AI34)</f>
        <v>0</v>
      </c>
      <c r="AJ41" s="34" t="n">
        <f aca="false">06_CONSTRUCTION!AJ13*(18_DEBT!AJ27+18_DEBT!AJ34)</f>
        <v>0</v>
      </c>
      <c r="AK41" s="34" t="n">
        <f aca="false">06_CONSTRUCTION!AK13*(18_DEBT!AK27+18_DEBT!AK34)</f>
        <v>0</v>
      </c>
      <c r="AL41" s="34" t="n">
        <f aca="false">06_CONSTRUCTION!AL13*(18_DEBT!AL27+18_DEBT!AL34)</f>
        <v>0</v>
      </c>
      <c r="AM41" s="34" t="n">
        <f aca="false">06_CONSTRUCTION!AM13*(18_DEBT!AM27+18_DEBT!AM34)</f>
        <v>0</v>
      </c>
      <c r="AN41" s="34" t="n">
        <f aca="false">06_CONSTRUCTION!AN13*(18_DEBT!AN27+18_DEBT!AN34)</f>
        <v>0</v>
      </c>
      <c r="AO41" s="34" t="n">
        <f aca="false">06_CONSTRUCTION!AO13*(18_DEBT!AO27+18_DEBT!AO34)</f>
        <v>0</v>
      </c>
      <c r="AP41" s="34" t="n">
        <f aca="false">06_CONSTRUCTION!AP13*(18_DEBT!AP27+18_DEBT!AP34)</f>
        <v>0</v>
      </c>
      <c r="AQ41" s="34" t="n">
        <f aca="false">06_CONSTRUCTION!AQ13*(18_DEBT!AQ27+18_DEBT!AQ34)</f>
        <v>0</v>
      </c>
      <c r="AR41" s="34" t="n">
        <f aca="false">06_CONSTRUCTION!AR13*(18_DEBT!AR27+18_DEBT!AR34)</f>
        <v>0</v>
      </c>
    </row>
    <row r="42" customFormat="false" ht="15" hidden="false" customHeight="false" outlineLevel="0" collapsed="false">
      <c r="A42" s="8" t="s">
        <v>729</v>
      </c>
      <c r="B42" s="8" t="s">
        <v>84</v>
      </c>
      <c r="E42" s="34" t="n">
        <f aca="false">18_DEBT!E29+18_DEBT!E37</f>
        <v>91.6399907946581</v>
      </c>
      <c r="F42" s="34" t="n">
        <f aca="false">18_DEBT!F29+18_DEBT!F37</f>
        <v>331.556601423801</v>
      </c>
      <c r="G42" s="34" t="n">
        <f aca="false">18_DEBT!G29+18_DEBT!G37</f>
        <v>628.109841092769</v>
      </c>
      <c r="H42" s="34" t="n">
        <f aca="false">18_DEBT!H29+18_DEBT!H37</f>
        <v>868.026451721912</v>
      </c>
      <c r="I42" s="34" t="n">
        <f aca="false">18_DEBT!I29+18_DEBT!I37</f>
        <v>959.66644251657</v>
      </c>
      <c r="J42" s="34" t="n">
        <f aca="false">18_DEBT!J29+18_DEBT!J37</f>
        <v>946.044741927733</v>
      </c>
      <c r="K42" s="34" t="n">
        <f aca="false">18_DEBT!K29+18_DEBT!K37</f>
        <v>914.81821123632</v>
      </c>
      <c r="L42" s="34" t="n">
        <f aca="false">18_DEBT!L29+18_DEBT!L37</f>
        <v>880.103198055593</v>
      </c>
      <c r="M42" s="34" t="n">
        <f aca="false">18_DEBT!M29+18_DEBT!M37</f>
        <v>841.600816585725</v>
      </c>
      <c r="N42" s="34" t="n">
        <f aca="false">18_DEBT!N29+18_DEBT!N37</f>
        <v>798.987874018893</v>
      </c>
      <c r="O42" s="34" t="n">
        <f aca="false">18_DEBT!O29+18_DEBT!O37</f>
        <v>766.620865352165</v>
      </c>
      <c r="P42" s="34" t="n">
        <f aca="false">18_DEBT!P29+18_DEBT!P37</f>
        <v>731.842034513017</v>
      </c>
      <c r="Q42" s="34" t="n">
        <f aca="false">18_DEBT!Q29+18_DEBT!Q37</f>
        <v>694.443427761943</v>
      </c>
      <c r="R42" s="34" t="n">
        <f aca="false">18_DEBT!R29+18_DEBT!R37</f>
        <v>654.200154900966</v>
      </c>
      <c r="S42" s="34" t="n">
        <f aca="false">18_DEBT!S29+18_DEBT!S37</f>
        <v>610.869028353766</v>
      </c>
      <c r="T42" s="34" t="n">
        <f aca="false">18_DEBT!T29+18_DEBT!T37</f>
        <v>564.18709325217</v>
      </c>
      <c r="U42" s="34" t="n">
        <f aca="false">18_DEBT!U29+18_DEBT!U37</f>
        <v>513.870039807084</v>
      </c>
      <c r="V42" s="34" t="n">
        <f aca="false">18_DEBT!V29+18_DEBT!V37</f>
        <v>459.610488544193</v>
      </c>
      <c r="W42" s="34" t="n">
        <f aca="false">18_DEBT!W29+18_DEBT!W37</f>
        <v>401.076138231099</v>
      </c>
      <c r="X42" s="34" t="n">
        <f aca="false">18_DEBT!X29+18_DEBT!X37</f>
        <v>337.907765508673</v>
      </c>
      <c r="Y42" s="34" t="n">
        <f aca="false">18_DEBT!Y29+18_DEBT!Y37</f>
        <v>269.717064360354</v>
      </c>
      <c r="Z42" s="34" t="n">
        <f aca="false">18_DEBT!Z29+18_DEBT!Z37</f>
        <v>196.084312603779</v>
      </c>
      <c r="AA42" s="34" t="n">
        <f aca="false">18_DEBT!AA29+18_DEBT!AA37</f>
        <v>116.555851563831</v>
      </c>
      <c r="AB42" s="34" t="n">
        <f aca="false">18_DEBT!AB29+18_DEBT!AB37</f>
        <v>99.9050156261406</v>
      </c>
      <c r="AC42" s="34" t="n">
        <f aca="false">18_DEBT!AC29+18_DEBT!AC37</f>
        <v>83.2541796884505</v>
      </c>
      <c r="AD42" s="34" t="n">
        <f aca="false">18_DEBT!AD29+18_DEBT!AD37</f>
        <v>66.6033437507604</v>
      </c>
      <c r="AE42" s="34" t="n">
        <f aca="false">18_DEBT!AE29+18_DEBT!AE37</f>
        <v>49.9525078130703</v>
      </c>
      <c r="AF42" s="34" t="n">
        <f aca="false">18_DEBT!AF29+18_DEBT!AF37</f>
        <v>33.3016718753802</v>
      </c>
      <c r="AG42" s="34" t="n">
        <f aca="false">18_DEBT!AG29+18_DEBT!AG37</f>
        <v>16.6508359376901</v>
      </c>
      <c r="AH42" s="34" t="n">
        <f aca="false">18_DEBT!AH29+18_DEBT!AH37</f>
        <v>0</v>
      </c>
      <c r="AI42" s="34" t="n">
        <f aca="false">18_DEBT!AI29+18_DEBT!AI37</f>
        <v>0</v>
      </c>
      <c r="AJ42" s="34" t="n">
        <f aca="false">18_DEBT!AJ29+18_DEBT!AJ37</f>
        <v>0</v>
      </c>
      <c r="AK42" s="34" t="n">
        <f aca="false">18_DEBT!AK29+18_DEBT!AK37</f>
        <v>0</v>
      </c>
      <c r="AL42" s="34" t="n">
        <f aca="false">18_DEBT!AL29+18_DEBT!AL37</f>
        <v>0</v>
      </c>
      <c r="AM42" s="34" t="n">
        <f aca="false">18_DEBT!AM29+18_DEBT!AM37</f>
        <v>0</v>
      </c>
      <c r="AN42" s="34" t="n">
        <f aca="false">18_DEBT!AN29+18_DEBT!AN37</f>
        <v>0</v>
      </c>
      <c r="AO42" s="34" t="n">
        <f aca="false">18_DEBT!AO29+18_DEBT!AO37</f>
        <v>0</v>
      </c>
      <c r="AP42" s="34" t="n">
        <f aca="false">18_DEBT!AP29+18_DEBT!AP37</f>
        <v>0</v>
      </c>
      <c r="AQ42" s="34" t="n">
        <f aca="false">18_DEBT!AQ29+18_DEBT!AQ37</f>
        <v>0</v>
      </c>
      <c r="AR42" s="34" t="n">
        <f aca="false">18_DEBT!AR29+18_DEBT!AR37</f>
        <v>0</v>
      </c>
    </row>
    <row r="43" customFormat="false" ht="15" hidden="false" customHeight="false" outlineLevel="0" collapsed="false">
      <c r="A43" s="8" t="s">
        <v>730</v>
      </c>
      <c r="B43" s="8" t="s">
        <v>84</v>
      </c>
      <c r="E43" s="34" t="n">
        <f aca="false">IF(OR(06_CONSTRUCTION!E14=1,06_CONSTRUCTION!E15=1),17A_STRUCTURES!$C$27/12*18_DEBT!F40,0)</f>
        <v>0</v>
      </c>
      <c r="F43" s="34" t="n">
        <f aca="false">IF(OR(06_CONSTRUCTION!F14=1,06_CONSTRUCTION!F15=1),17A_STRUCTURES!$C$27/12*18_DEBT!G40,0)</f>
        <v>0</v>
      </c>
      <c r="G43" s="34" t="n">
        <f aca="false">IF(OR(06_CONSTRUCTION!G14=1,06_CONSTRUCTION!G15=1),17A_STRUCTURES!$C$27/12*18_DEBT!H40,0)</f>
        <v>0</v>
      </c>
      <c r="H43" s="34" t="n">
        <f aca="false">IF(OR(06_CONSTRUCTION!H14=1,06_CONSTRUCTION!H15=1),17A_STRUCTURES!$C$27/12*18_DEBT!I40,0)</f>
        <v>0</v>
      </c>
      <c r="I43" s="34" t="n">
        <f aca="false">IF(OR(06_CONSTRUCTION!I14=1,06_CONSTRUCTION!I15=1),17A_STRUCTURES!$C$27/12*18_DEBT!J40,0)</f>
        <v>36.872090026236</v>
      </c>
      <c r="J43" s="34" t="n">
        <f aca="false">IF(OR(06_CONSTRUCTION!J14=1,06_CONSTRUCTION!J15=1),17A_STRUCTURES!$C$27/12*18_DEBT!K40,0)</f>
        <v>45.1296370539708</v>
      </c>
      <c r="K43" s="34" t="n">
        <f aca="false">IF(OR(06_CONSTRUCTION!K14=1,06_CONSTRUCTION!K15=1),17A_STRUCTURES!$C$27/12*18_DEBT!L40,0)</f>
        <v>45.6248170709716</v>
      </c>
      <c r="L43" s="34" t="n">
        <f aca="false">IF(OR(06_CONSTRUCTION!L14=1,06_CONSTRUCTION!L15=1),17A_STRUCTURES!$C$27/12*18_DEBT!M40,0)</f>
        <v>46.1299006883124</v>
      </c>
      <c r="M43" s="34" t="n">
        <f aca="false">IF(OR(06_CONSTRUCTION!M14=1,06_CONSTRUCTION!M15=1),17A_STRUCTURES!$C$27/12*18_DEBT!N40,0)</f>
        <v>46.6450859780001</v>
      </c>
      <c r="N43" s="34" t="n">
        <f aca="false">IF(OR(06_CONSTRUCTION!N14=1,06_CONSTRUCTION!N15=1),17A_STRUCTURES!$C$27/12*18_DEBT!O40,0)</f>
        <v>39.8176013252746</v>
      </c>
      <c r="O43" s="34" t="n">
        <f aca="false">IF(OR(06_CONSTRUCTION!O14=1,06_CONSTRUCTION!O15=1),17A_STRUCTURES!$C$27/12*18_DEBT!P40,0)</f>
        <v>40.145102963258</v>
      </c>
      <c r="P43" s="34" t="n">
        <f aca="false">IF(OR(06_CONSTRUCTION!P14=1,06_CONSTRUCTION!P15=1),17A_STRUCTURES!$C$27/12*18_DEBT!Q40,0)</f>
        <v>40.4801085840968</v>
      </c>
      <c r="Q43" s="34" t="n">
        <f aca="false">IF(OR(06_CONSTRUCTION!Q14=1,06_CONSTRUCTION!Q15=1),17A_STRUCTURES!$C$27/12*18_DEBT!R40,0)</f>
        <v>40.8227682674483</v>
      </c>
      <c r="R43" s="34" t="n">
        <f aca="false">IF(OR(06_CONSTRUCTION!R14=1,06_CONSTRUCTION!R15=1),17A_STRUCTURES!$C$27/12*18_DEBT!S40,0)</f>
        <v>41.1732350945625</v>
      </c>
      <c r="S43" s="34" t="n">
        <f aca="false">IF(OR(06_CONSTRUCTION!S14=1,06_CONSTRUCTION!S15=1),17A_STRUCTURES!$C$27/12*18_DEBT!T40,0)</f>
        <v>41.5316652083148</v>
      </c>
      <c r="T43" s="34" t="n">
        <f aca="false">IF(OR(06_CONSTRUCTION!T14=1,06_CONSTRUCTION!T15=1),17A_STRUCTURES!$C$27/12*18_DEBT!U40,0)</f>
        <v>41.8982178744381</v>
      </c>
      <c r="U43" s="34" t="n">
        <f aca="false">IF(OR(06_CONSTRUCTION!U14=1,06_CONSTRUCTION!U15=1),17A_STRUCTURES!$C$27/12*18_DEBT!V40,0)</f>
        <v>42.2730555439795</v>
      </c>
      <c r="V43" s="34" t="n">
        <f aca="false">IF(OR(06_CONSTRUCTION!V14=1,06_CONSTRUCTION!V15=1),17A_STRUCTURES!$C$27/12*18_DEBT!W40,0)</f>
        <v>42.6563439170076</v>
      </c>
      <c r="W43" s="34" t="n">
        <f aca="false">IF(OR(06_CONSTRUCTION!W14=1,06_CONSTRUCTION!W15=1),17A_STRUCTURES!$C$27/12*18_DEBT!X40,0)</f>
        <v>43.0482520075921</v>
      </c>
      <c r="X43" s="34" t="n">
        <f aca="false">IF(OR(06_CONSTRUCTION!X14=1,06_CONSTRUCTION!X15=1),17A_STRUCTURES!$C$27/12*18_DEBT!Y40,0)</f>
        <v>43.4489522100841</v>
      </c>
      <c r="Y43" s="34" t="n">
        <f aca="false">IF(OR(06_CONSTRUCTION!Y14=1,06_CONSTRUCTION!Y15=1),17A_STRUCTURES!$C$27/12*18_DEBT!Z40,0)</f>
        <v>43.8586203667217</v>
      </c>
      <c r="Z43" s="34" t="n">
        <f aca="false">IF(OR(06_CONSTRUCTION!Z14=1,06_CONSTRUCTION!Z15=1),17A_STRUCTURES!$C$27/12*18_DEBT!AA40,0)</f>
        <v>44.2774358365871</v>
      </c>
      <c r="AA43" s="34" t="n">
        <f aca="false">IF(OR(06_CONSTRUCTION!AA14=1,06_CONSTRUCTION!AA15=1),17A_STRUCTURES!$C$27/12*18_DEBT!AB40,0)</f>
        <v>10.0737557423025</v>
      </c>
      <c r="AB43" s="34" t="n">
        <f aca="false">IF(OR(06_CONSTRUCTION!AB14=1,06_CONSTRUCTION!AB15=1),17A_STRUCTURES!$C$27/12*18_DEBT!AC40,0)</f>
        <v>9.82399320323716</v>
      </c>
      <c r="AC43" s="34" t="n">
        <f aca="false">IF(OR(06_CONSTRUCTION!AC14=1,06_CONSTRUCTION!AC15=1),17A_STRUCTURES!$C$27/12*18_DEBT!AD40,0)</f>
        <v>9.57423066417181</v>
      </c>
      <c r="AD43" s="34" t="n">
        <f aca="false">IF(OR(06_CONSTRUCTION!AD14=1,06_CONSTRUCTION!AD15=1),17A_STRUCTURES!$C$27/12*18_DEBT!AE40,0)</f>
        <v>9.32446812510646</v>
      </c>
      <c r="AE43" s="34" t="n">
        <f aca="false">IF(OR(06_CONSTRUCTION!AE14=1,06_CONSTRUCTION!AE15=1),17A_STRUCTURES!$C$27/12*18_DEBT!AF40,0)</f>
        <v>9.0747055860411</v>
      </c>
      <c r="AF43" s="34" t="n">
        <f aca="false">IF(OR(06_CONSTRUCTION!AF14=1,06_CONSTRUCTION!AF15=1),17A_STRUCTURES!$C$27/12*18_DEBT!AG40,0)</f>
        <v>8.82494304697575</v>
      </c>
      <c r="AG43" s="34" t="n">
        <f aca="false">IF(OR(06_CONSTRUCTION!AG14=1,06_CONSTRUCTION!AG15=1),17A_STRUCTURES!$C$27/12*18_DEBT!AH40,0)</f>
        <v>8.5751805079104</v>
      </c>
      <c r="AH43" s="34" t="n">
        <f aca="false">IF(OR(06_CONSTRUCTION!AH14=1,06_CONSTRUCTION!AH15=1),17A_STRUCTURES!$C$27/12*18_DEBT!AI40,0)</f>
        <v>0</v>
      </c>
      <c r="AI43" s="34" t="n">
        <f aca="false">IF(OR(06_CONSTRUCTION!AI14=1,06_CONSTRUCTION!AI15=1),17A_STRUCTURES!$C$27/12*18_DEBT!AJ40,0)</f>
        <v>0</v>
      </c>
      <c r="AJ43" s="34" t="n">
        <f aca="false">IF(OR(06_CONSTRUCTION!AJ14=1,06_CONSTRUCTION!AJ15=1),17A_STRUCTURES!$C$27/12*18_DEBT!AK40,0)</f>
        <v>0</v>
      </c>
      <c r="AK43" s="34" t="n">
        <f aca="false">IF(OR(06_CONSTRUCTION!AK14=1,06_CONSTRUCTION!AK15=1),17A_STRUCTURES!$C$27/12*18_DEBT!AL40,0)</f>
        <v>0</v>
      </c>
      <c r="AL43" s="34" t="n">
        <f aca="false">IF(OR(06_CONSTRUCTION!AL14=1,06_CONSTRUCTION!AL15=1),17A_STRUCTURES!$C$27/12*18_DEBT!AM40,0)</f>
        <v>0</v>
      </c>
      <c r="AM43" s="34" t="n">
        <f aca="false">IF(OR(06_CONSTRUCTION!AM14=1,06_CONSTRUCTION!AM15=1),17A_STRUCTURES!$C$27/12*18_DEBT!AN40,0)</f>
        <v>0</v>
      </c>
      <c r="AN43" s="34" t="n">
        <f aca="false">IF(OR(06_CONSTRUCTION!AN14=1,06_CONSTRUCTION!AN15=1),17A_STRUCTURES!$C$27/12*18_DEBT!AO40,0)</f>
        <v>0</v>
      </c>
      <c r="AO43" s="34" t="n">
        <f aca="false">IF(OR(06_CONSTRUCTION!AO14=1,06_CONSTRUCTION!AO15=1),17A_STRUCTURES!$C$27/12*18_DEBT!AP40,0)</f>
        <v>0</v>
      </c>
      <c r="AP43" s="34" t="n">
        <f aca="false">IF(OR(06_CONSTRUCTION!AP14=1,06_CONSTRUCTION!AP15=1),17A_STRUCTURES!$C$27/12*18_DEBT!AQ40,0)</f>
        <v>0</v>
      </c>
      <c r="AQ43" s="34" t="n">
        <f aca="false">IF(OR(06_CONSTRUCTION!AQ14=1,06_CONSTRUCTION!AQ15=1),17A_STRUCTURES!$C$27/12*18_DEBT!AR40,0)</f>
        <v>0</v>
      </c>
      <c r="AR43" s="34" t="n">
        <f aca="false">IF(OR(06_CONSTRUCTION!AR14=1,06_CONSTRUCTION!AR15=1),17A_STRUCTURES!$C$27/12*18_DEBT!AS40,0)</f>
        <v>0</v>
      </c>
    </row>
    <row r="44" customFormat="false" ht="15" hidden="false" customHeight="false" outlineLevel="0" collapsed="false">
      <c r="A44" s="8" t="s">
        <v>731</v>
      </c>
      <c r="B44" s="8" t="s">
        <v>84</v>
      </c>
      <c r="C44" s="34" t="n">
        <f aca="false">SUM(18_DEBT!$E$44:$AR$44)</f>
        <v>36.872090026236</v>
      </c>
      <c r="E44" s="34" t="n">
        <f aca="false">06_CONSTRUCTION!E15*18_DEBT!E43</f>
        <v>0</v>
      </c>
      <c r="F44" s="34" t="n">
        <f aca="false">06_CONSTRUCTION!F15*18_DEBT!F43</f>
        <v>0</v>
      </c>
      <c r="G44" s="34" t="n">
        <f aca="false">06_CONSTRUCTION!G15*18_DEBT!G43</f>
        <v>0</v>
      </c>
      <c r="H44" s="34" t="n">
        <f aca="false">06_CONSTRUCTION!H15*18_DEBT!H43</f>
        <v>0</v>
      </c>
      <c r="I44" s="34" t="n">
        <f aca="false">06_CONSTRUCTION!I15*18_DEBT!I43</f>
        <v>36.872090026236</v>
      </c>
      <c r="J44" s="34" t="n">
        <f aca="false">06_CONSTRUCTION!J15*18_DEBT!J43</f>
        <v>0</v>
      </c>
      <c r="K44" s="34" t="n">
        <f aca="false">06_CONSTRUCTION!K15*18_DEBT!K43</f>
        <v>0</v>
      </c>
      <c r="L44" s="34" t="n">
        <f aca="false">06_CONSTRUCTION!L15*18_DEBT!L43</f>
        <v>0</v>
      </c>
      <c r="M44" s="34" t="n">
        <f aca="false">06_CONSTRUCTION!M15*18_DEBT!M43</f>
        <v>0</v>
      </c>
      <c r="N44" s="34" t="n">
        <f aca="false">06_CONSTRUCTION!N15*18_DEBT!N43</f>
        <v>0</v>
      </c>
      <c r="O44" s="34" t="n">
        <f aca="false">06_CONSTRUCTION!O15*18_DEBT!O43</f>
        <v>0</v>
      </c>
      <c r="P44" s="34" t="n">
        <f aca="false">06_CONSTRUCTION!P15*18_DEBT!P43</f>
        <v>0</v>
      </c>
      <c r="Q44" s="34" t="n">
        <f aca="false">06_CONSTRUCTION!Q15*18_DEBT!Q43</f>
        <v>0</v>
      </c>
      <c r="R44" s="34" t="n">
        <f aca="false">06_CONSTRUCTION!R15*18_DEBT!R43</f>
        <v>0</v>
      </c>
      <c r="S44" s="34" t="n">
        <f aca="false">06_CONSTRUCTION!S15*18_DEBT!S43</f>
        <v>0</v>
      </c>
      <c r="T44" s="34" t="n">
        <f aca="false">06_CONSTRUCTION!T15*18_DEBT!T43</f>
        <v>0</v>
      </c>
      <c r="U44" s="34" t="n">
        <f aca="false">06_CONSTRUCTION!U15*18_DEBT!U43</f>
        <v>0</v>
      </c>
      <c r="V44" s="34" t="n">
        <f aca="false">06_CONSTRUCTION!V15*18_DEBT!V43</f>
        <v>0</v>
      </c>
      <c r="W44" s="34" t="n">
        <f aca="false">06_CONSTRUCTION!W15*18_DEBT!W43</f>
        <v>0</v>
      </c>
      <c r="X44" s="34" t="n">
        <f aca="false">06_CONSTRUCTION!X15*18_DEBT!X43</f>
        <v>0</v>
      </c>
      <c r="Y44" s="34" t="n">
        <f aca="false">06_CONSTRUCTION!Y15*18_DEBT!Y43</f>
        <v>0</v>
      </c>
      <c r="Z44" s="34" t="n">
        <f aca="false">06_CONSTRUCTION!Z15*18_DEBT!Z43</f>
        <v>0</v>
      </c>
      <c r="AA44" s="34" t="n">
        <f aca="false">06_CONSTRUCTION!AA15*18_DEBT!AA43</f>
        <v>0</v>
      </c>
      <c r="AB44" s="34" t="n">
        <f aca="false">06_CONSTRUCTION!AB15*18_DEBT!AB43</f>
        <v>0</v>
      </c>
      <c r="AC44" s="34" t="n">
        <f aca="false">06_CONSTRUCTION!AC15*18_DEBT!AC43</f>
        <v>0</v>
      </c>
      <c r="AD44" s="34" t="n">
        <f aca="false">06_CONSTRUCTION!AD15*18_DEBT!AD43</f>
        <v>0</v>
      </c>
      <c r="AE44" s="34" t="n">
        <f aca="false">06_CONSTRUCTION!AE15*18_DEBT!AE43</f>
        <v>0</v>
      </c>
      <c r="AF44" s="34" t="n">
        <f aca="false">06_CONSTRUCTION!AF15*18_DEBT!AF43</f>
        <v>0</v>
      </c>
      <c r="AG44" s="34" t="n">
        <f aca="false">06_CONSTRUCTION!AG15*18_DEBT!AG43</f>
        <v>0</v>
      </c>
      <c r="AH44" s="34" t="n">
        <f aca="false">06_CONSTRUCTION!AH15*18_DEBT!AH43</f>
        <v>0</v>
      </c>
      <c r="AI44" s="34" t="n">
        <f aca="false">06_CONSTRUCTION!AI15*18_DEBT!AI43</f>
        <v>0</v>
      </c>
      <c r="AJ44" s="34" t="n">
        <f aca="false">06_CONSTRUCTION!AJ15*18_DEBT!AJ43</f>
        <v>0</v>
      </c>
      <c r="AK44" s="34" t="n">
        <f aca="false">06_CONSTRUCTION!AK15*18_DEBT!AK43</f>
        <v>0</v>
      </c>
      <c r="AL44" s="34" t="n">
        <f aca="false">06_CONSTRUCTION!AL15*18_DEBT!AL43</f>
        <v>0</v>
      </c>
      <c r="AM44" s="34" t="n">
        <f aca="false">06_CONSTRUCTION!AM15*18_DEBT!AM43</f>
        <v>0</v>
      </c>
      <c r="AN44" s="34" t="n">
        <f aca="false">06_CONSTRUCTION!AN15*18_DEBT!AN43</f>
        <v>0</v>
      </c>
      <c r="AO44" s="34" t="n">
        <f aca="false">06_CONSTRUCTION!AO15*18_DEBT!AO43</f>
        <v>0</v>
      </c>
      <c r="AP44" s="34" t="n">
        <f aca="false">06_CONSTRUCTION!AP15*18_DEBT!AP43</f>
        <v>0</v>
      </c>
      <c r="AQ44" s="34" t="n">
        <f aca="false">06_CONSTRUCTION!AQ15*18_DEBT!AQ43</f>
        <v>0</v>
      </c>
      <c r="AR44" s="34" t="n">
        <f aca="false">06_CONSTRUCTION!AR15*18_DEBT!AR43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732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733</v>
      </c>
      <c r="B6" s="8" t="s">
        <v>84</v>
      </c>
      <c r="C6" s="37" t="n">
        <f aca="false">17_PROJECT_FINANCE!$C$17+17_PROJECT_FINANCE!$C$14</f>
        <v>301.258117739459</v>
      </c>
    </row>
    <row r="7" customFormat="false" ht="15" hidden="false" customHeight="false" outlineLevel="0" collapsed="false">
      <c r="A7" s="8" t="s">
        <v>734</v>
      </c>
      <c r="B7" s="8" t="s">
        <v>56</v>
      </c>
      <c r="C7" s="55" t="n">
        <f aca="false">IF(19_EQUITY!$C$6&gt;0,(17_PROJECT_FINANCE!$C$14+17_PROJECT_FINANCE!$C$18)/19_EQUITY!$C$6,0)</f>
        <v>0.368473300407249</v>
      </c>
    </row>
    <row r="8" customFormat="false" ht="15" hidden="false" customHeight="false" outlineLevel="0" collapsed="false">
      <c r="A8" s="4" t="s">
        <v>80</v>
      </c>
      <c r="B8" s="8" t="s">
        <v>56</v>
      </c>
      <c r="C8" s="15" t="n">
        <f aca="false">17_PROJECT_FINANCE!$C$32</f>
        <v>0.163458350947316</v>
      </c>
    </row>
    <row r="9" customFormat="false" ht="15" hidden="false" customHeight="false" outlineLevel="0" collapsed="false">
      <c r="A9" s="8" t="s">
        <v>735</v>
      </c>
      <c r="B9" s="8" t="s">
        <v>56</v>
      </c>
      <c r="C9" s="75" t="n">
        <f aca="false">17A_STRUCTURES!$C$23</f>
        <v>0.15</v>
      </c>
    </row>
    <row r="10" customFormat="false" ht="15" hidden="false" customHeight="false" outlineLevel="0" collapsed="false">
      <c r="A10" s="4" t="s">
        <v>736</v>
      </c>
      <c r="B10" s="8" t="s">
        <v>56</v>
      </c>
      <c r="C10" s="15" t="n">
        <f aca="false">17_PROJECT_FINANCE!$C$33</f>
        <v>0.163458350947316</v>
      </c>
    </row>
    <row r="11" customFormat="false" ht="15" hidden="false" customHeight="false" outlineLevel="0" collapsed="false">
      <c r="A11" s="8" t="s">
        <v>737</v>
      </c>
      <c r="B11" s="8" t="s">
        <v>82</v>
      </c>
      <c r="C11" s="45" t="n">
        <f aca="false">IFERROR(SUMIF(20_CASH_FLOW!$E$41:$AR$41,"&gt;0")/-SUMIF(20_CASH_FLOW!$E$41:$AR$41,"&lt;0"),0)</f>
        <v>8.91758741523677</v>
      </c>
    </row>
    <row r="13" customFormat="false" ht="15" hidden="false" customHeight="false" outlineLevel="0" collapsed="false">
      <c r="A13" s="8" t="s">
        <v>738</v>
      </c>
      <c r="B13" s="8" t="s">
        <v>84</v>
      </c>
      <c r="C13" s="34" t="n">
        <f aca="false">SUM(19_EQUITY!$E$13:$AR$13)</f>
        <v>190.252544821525</v>
      </c>
      <c r="E13" s="57" t="n">
        <f aca="false">20_CASH_FLOW!E12</f>
        <v>16.4059219405927</v>
      </c>
      <c r="F13" s="57" t="n">
        <f aca="false">20_CASH_FLOW!F12</f>
        <v>19.0122304008811</v>
      </c>
      <c r="G13" s="57" t="n">
        <f aca="false">20_CASH_FLOW!G12</f>
        <v>37.4183586952215</v>
      </c>
      <c r="H13" s="57" t="n">
        <f aca="false">20_CASH_FLOW!H12</f>
        <v>48.8901932947301</v>
      </c>
      <c r="I13" s="57" t="n">
        <f aca="false">20_CASH_FLOW!I12</f>
        <v>68.5258404900997</v>
      </c>
      <c r="J13" s="57" t="n">
        <f aca="false">20_CASH_FLOW!J12</f>
        <v>0</v>
      </c>
      <c r="K13" s="57" t="n">
        <f aca="false">20_CASH_FLOW!K12</f>
        <v>0</v>
      </c>
      <c r="L13" s="57" t="n">
        <f aca="false">20_CASH_FLOW!L12</f>
        <v>0</v>
      </c>
      <c r="M13" s="57" t="n">
        <f aca="false">20_CASH_FLOW!M12</f>
        <v>0</v>
      </c>
      <c r="N13" s="57" t="n">
        <f aca="false">20_CASH_FLOW!N12</f>
        <v>0</v>
      </c>
      <c r="O13" s="57" t="n">
        <f aca="false">20_CASH_FLOW!O12</f>
        <v>0</v>
      </c>
      <c r="P13" s="57" t="n">
        <f aca="false">20_CASH_FLOW!P12</f>
        <v>0</v>
      </c>
      <c r="Q13" s="57" t="n">
        <f aca="false">20_CASH_FLOW!Q12</f>
        <v>0</v>
      </c>
      <c r="R13" s="57" t="n">
        <f aca="false">20_CASH_FLOW!R12</f>
        <v>0</v>
      </c>
      <c r="S13" s="57" t="n">
        <f aca="false">20_CASH_FLOW!S12</f>
        <v>0</v>
      </c>
      <c r="T13" s="57" t="n">
        <f aca="false">20_CASH_FLOW!T12</f>
        <v>0</v>
      </c>
      <c r="U13" s="57" t="n">
        <f aca="false">20_CASH_FLOW!U12</f>
        <v>0</v>
      </c>
      <c r="V13" s="57" t="n">
        <f aca="false">20_CASH_FLOW!V12</f>
        <v>0</v>
      </c>
      <c r="W13" s="57" t="n">
        <f aca="false">20_CASH_FLOW!W12</f>
        <v>0</v>
      </c>
      <c r="X13" s="57" t="n">
        <f aca="false">20_CASH_FLOW!X12</f>
        <v>0</v>
      </c>
      <c r="Y13" s="57" t="n">
        <f aca="false">20_CASH_FLOW!Y12</f>
        <v>0</v>
      </c>
      <c r="Z13" s="57" t="n">
        <f aca="false">20_CASH_FLOW!Z12</f>
        <v>0</v>
      </c>
      <c r="AA13" s="57" t="n">
        <f aca="false">20_CASH_FLOW!AA12</f>
        <v>0</v>
      </c>
      <c r="AB13" s="57" t="n">
        <f aca="false">20_CASH_FLOW!AB12</f>
        <v>0</v>
      </c>
      <c r="AC13" s="57" t="n">
        <f aca="false">20_CASH_FLOW!AC12</f>
        <v>0</v>
      </c>
      <c r="AD13" s="57" t="n">
        <f aca="false">20_CASH_FLOW!AD12</f>
        <v>0</v>
      </c>
      <c r="AE13" s="57" t="n">
        <f aca="false">20_CASH_FLOW!AE12</f>
        <v>0</v>
      </c>
      <c r="AF13" s="57" t="n">
        <f aca="false">20_CASH_FLOW!AF12</f>
        <v>0</v>
      </c>
      <c r="AG13" s="57" t="n">
        <f aca="false">20_CASH_FLOW!AG12</f>
        <v>0</v>
      </c>
      <c r="AH13" s="57" t="n">
        <f aca="false">20_CASH_FLOW!AH12</f>
        <v>0</v>
      </c>
      <c r="AI13" s="57" t="n">
        <f aca="false">20_CASH_FLOW!AI12</f>
        <v>0</v>
      </c>
      <c r="AJ13" s="57" t="n">
        <f aca="false">20_CASH_FLOW!AJ12</f>
        <v>0</v>
      </c>
      <c r="AK13" s="57" t="n">
        <f aca="false">20_CASH_FLOW!AK12</f>
        <v>0</v>
      </c>
      <c r="AL13" s="57" t="n">
        <f aca="false">20_CASH_FLOW!AL12</f>
        <v>0</v>
      </c>
      <c r="AM13" s="57" t="n">
        <f aca="false">20_CASH_FLOW!AM12</f>
        <v>0</v>
      </c>
      <c r="AN13" s="57" t="n">
        <f aca="false">20_CASH_FLOW!AN12</f>
        <v>0</v>
      </c>
      <c r="AO13" s="57" t="n">
        <f aca="false">20_CASH_FLOW!AO12</f>
        <v>0</v>
      </c>
      <c r="AP13" s="57" t="n">
        <f aca="false">20_CASH_FLOW!AP12</f>
        <v>0</v>
      </c>
      <c r="AQ13" s="57" t="n">
        <f aca="false">20_CASH_FLOW!AQ12</f>
        <v>0</v>
      </c>
      <c r="AR13" s="57" t="n">
        <f aca="false">20_CASH_FLOW!AR12</f>
        <v>0</v>
      </c>
    </row>
    <row r="14" customFormat="false" ht="15" hidden="false" customHeight="false" outlineLevel="0" collapsed="false">
      <c r="A14" s="8" t="s">
        <v>739</v>
      </c>
      <c r="B14" s="8" t="s">
        <v>84</v>
      </c>
      <c r="C14" s="34" t="n">
        <f aca="false">SUM(19_EQUITY!$E$14:$AR$14)</f>
        <v>1696.5936994172</v>
      </c>
      <c r="E14" s="34" t="n">
        <f aca="false">20_CASH_FLOW!E34*(1-19_EQUITY!$C$7)</f>
        <v>0</v>
      </c>
      <c r="F14" s="34" t="n">
        <f aca="false">20_CASH_FLOW!F34*(1-19_EQUITY!$C$7)</f>
        <v>0</v>
      </c>
      <c r="G14" s="34" t="n">
        <f aca="false">20_CASH_FLOW!G34*(1-19_EQUITY!$C$7)</f>
        <v>0</v>
      </c>
      <c r="H14" s="34" t="n">
        <f aca="false">20_CASH_FLOW!H34*(1-19_EQUITY!$C$7)</f>
        <v>0</v>
      </c>
      <c r="I14" s="34" t="n">
        <f aca="false">20_CASH_FLOW!I34*(1-19_EQUITY!$C$7)</f>
        <v>0</v>
      </c>
      <c r="J14" s="34" t="n">
        <f aca="false">20_CASH_FLOW!J34*(1-19_EQUITY!$C$7)</f>
        <v>24.5963558097357</v>
      </c>
      <c r="K14" s="34" t="n">
        <f aca="false">20_CASH_FLOW!K34*(1-19_EQUITY!$C$7)</f>
        <v>36.5248817848656</v>
      </c>
      <c r="L14" s="34" t="n">
        <f aca="false">20_CASH_FLOW!L34*(1-19_EQUITY!$C$7)</f>
        <v>36.98181812549</v>
      </c>
      <c r="M14" s="34" t="n">
        <f aca="false">20_CASH_FLOW!M34*(1-19_EQUITY!$C$7)</f>
        <v>37.4478931929269</v>
      </c>
      <c r="N14" s="34" t="n">
        <f aca="false">20_CASH_FLOW!N34*(1-19_EQUITY!$C$7)</f>
        <v>42.5668889419571</v>
      </c>
      <c r="O14" s="34" t="n">
        <f aca="false">20_CASH_FLOW!O34*(1-19_EQUITY!$C$7)</f>
        <v>38.9512570813334</v>
      </c>
      <c r="P14" s="34" t="n">
        <f aca="false">20_CASH_FLOW!P34*(1-19_EQUITY!$C$7)</f>
        <v>38.9536581823608</v>
      </c>
      <c r="Q14" s="34" t="n">
        <f aca="false">20_CASH_FLOW!Q34*(1-19_EQUITY!$C$7)</f>
        <v>38.9976503931413</v>
      </c>
      <c r="R14" s="34" t="n">
        <f aca="false">20_CASH_FLOW!R34*(1-19_EQUITY!$C$7)</f>
        <v>39.0089985264614</v>
      </c>
      <c r="S14" s="34" t="n">
        <f aca="false">20_CASH_FLOW!S34*(1-19_EQUITY!$C$7)</f>
        <v>38.9844352608729</v>
      </c>
      <c r="T14" s="34" t="n">
        <f aca="false">20_CASH_FLOW!T34*(1-19_EQUITY!$C$7)</f>
        <v>38.9204187733066</v>
      </c>
      <c r="U14" s="34" t="n">
        <f aca="false">20_CASH_FLOW!U34*(1-19_EQUITY!$C$7)</f>
        <v>38.8131105166247</v>
      </c>
      <c r="V14" s="34" t="n">
        <f aca="false">20_CASH_FLOW!V34*(1-19_EQUITY!$C$7)</f>
        <v>38.6583512141307</v>
      </c>
      <c r="W14" s="34" t="n">
        <f aca="false">20_CASH_FLOW!W34*(1-19_EQUITY!$C$7)</f>
        <v>38.4516349282892</v>
      </c>
      <c r="X14" s="34" t="n">
        <f aca="false">20_CASH_FLOW!X34*(1-19_EQUITY!$C$7)</f>
        <v>38.1880810494845</v>
      </c>
      <c r="Y14" s="34" t="n">
        <f aca="false">20_CASH_FLOW!Y34*(1-19_EQUITY!$C$7)</f>
        <v>37.8624040383125</v>
      </c>
      <c r="Z14" s="34" t="n">
        <f aca="false">20_CASH_FLOW!Z34*(1-19_EQUITY!$C$7)</f>
        <v>37.4688807415782</v>
      </c>
      <c r="AA14" s="34" t="n">
        <f aca="false">20_CASH_FLOW!AA34*(1-19_EQUITY!$C$7)</f>
        <v>58.8722377510545</v>
      </c>
      <c r="AB14" s="34" t="n">
        <f aca="false">20_CASH_FLOW!AB34*(1-19_EQUITY!$C$7)</f>
        <v>80.628972604396</v>
      </c>
      <c r="AC14" s="34" t="n">
        <f aca="false">20_CASH_FLOW!AC34*(1-19_EQUITY!$C$7)</f>
        <v>81.9168379141048</v>
      </c>
      <c r="AD14" s="34" t="n">
        <f aca="false">20_CASH_FLOW!AD34*(1-19_EQUITY!$C$7)</f>
        <v>71.6307167922837</v>
      </c>
      <c r="AE14" s="34" t="n">
        <f aca="false">20_CASH_FLOW!AE34*(1-19_EQUITY!$C$7)</f>
        <v>72.9616905548753</v>
      </c>
      <c r="AF14" s="34" t="n">
        <f aca="false">20_CASH_FLOW!AF34*(1-19_EQUITY!$C$7)</f>
        <v>74.3148673047833</v>
      </c>
      <c r="AG14" s="34" t="n">
        <f aca="false">20_CASH_FLOW!AG34*(1-19_EQUITY!$C$7)</f>
        <v>75.6906911017541</v>
      </c>
      <c r="AH14" s="34" t="n">
        <f aca="false">20_CASH_FLOW!AH34*(1-19_EQUITY!$C$7)</f>
        <v>82.3473386193239</v>
      </c>
      <c r="AI14" s="34" t="n">
        <f aca="false">20_CASH_FLOW!AI34*(1-19_EQUITY!$C$7)</f>
        <v>88.8698164126799</v>
      </c>
      <c r="AJ14" s="34" t="n">
        <f aca="false">20_CASH_FLOW!AJ34*(1-19_EQUITY!$C$7)</f>
        <v>90.0955110161692</v>
      </c>
      <c r="AK14" s="34" t="n">
        <f aca="false">20_CASH_FLOW!AK34*(1-19_EQUITY!$C$7)</f>
        <v>91.3457195117284</v>
      </c>
      <c r="AL14" s="34" t="n">
        <f aca="false">20_CASH_FLOW!AL34*(1-19_EQUITY!$C$7)</f>
        <v>92.6209321771988</v>
      </c>
      <c r="AM14" s="34" t="n">
        <f aca="false">20_CASH_FLOW!AM34*(1-19_EQUITY!$C$7)</f>
        <v>93.9216490959785</v>
      </c>
      <c r="AN14" s="34" t="n">
        <f aca="false">20_CASH_FLOW!AN34*(1-19_EQUITY!$C$7)</f>
        <v>0</v>
      </c>
      <c r="AO14" s="34" t="n">
        <f aca="false">20_CASH_FLOW!AO34*(1-19_EQUITY!$C$7)</f>
        <v>0</v>
      </c>
      <c r="AP14" s="34" t="n">
        <f aca="false">20_CASH_FLOW!AP34*(1-19_EQUITY!$C$7)</f>
        <v>0</v>
      </c>
      <c r="AQ14" s="34" t="n">
        <f aca="false">20_CASH_FLOW!AQ34*(1-19_EQUITY!$C$7)</f>
        <v>0</v>
      </c>
      <c r="AR14" s="34" t="n">
        <f aca="false">20_CASH_FLOW!AR34*(1-19_EQUITY!$C$7)</f>
        <v>0</v>
      </c>
    </row>
    <row r="15" customFormat="false" ht="15" hidden="false" customHeight="false" outlineLevel="0" collapsed="false">
      <c r="A15" s="8" t="s">
        <v>740</v>
      </c>
      <c r="B15" s="8" t="s">
        <v>84</v>
      </c>
      <c r="C15" s="34" t="n">
        <f aca="false">SUM(19_EQUITY!$E$15:$AR$15)</f>
        <v>1506.34115459568</v>
      </c>
      <c r="E15" s="57" t="n">
        <f aca="false">20_CASH_FLOW!E41</f>
        <v>-16.4059219405927</v>
      </c>
      <c r="F15" s="57" t="n">
        <f aca="false">20_CASH_FLOW!F41</f>
        <v>-19.0122304008811</v>
      </c>
      <c r="G15" s="57" t="n">
        <f aca="false">20_CASH_FLOW!G41</f>
        <v>-37.4183586952215</v>
      </c>
      <c r="H15" s="57" t="n">
        <f aca="false">20_CASH_FLOW!H41</f>
        <v>-48.8901932947301</v>
      </c>
      <c r="I15" s="57" t="n">
        <f aca="false">20_CASH_FLOW!I41</f>
        <v>-68.5258404900997</v>
      </c>
      <c r="J15" s="57" t="n">
        <f aca="false">20_CASH_FLOW!J41</f>
        <v>24.5963558097357</v>
      </c>
      <c r="K15" s="57" t="n">
        <f aca="false">20_CASH_FLOW!K41</f>
        <v>36.5248817848656</v>
      </c>
      <c r="L15" s="57" t="n">
        <f aca="false">20_CASH_FLOW!L41</f>
        <v>36.98181812549</v>
      </c>
      <c r="M15" s="57" t="n">
        <f aca="false">20_CASH_FLOW!M41</f>
        <v>37.4478931929269</v>
      </c>
      <c r="N15" s="57" t="n">
        <f aca="false">20_CASH_FLOW!N41</f>
        <v>42.5668889419571</v>
      </c>
      <c r="O15" s="57" t="n">
        <f aca="false">20_CASH_FLOW!O41</f>
        <v>38.9512570813334</v>
      </c>
      <c r="P15" s="57" t="n">
        <f aca="false">20_CASH_FLOW!P41</f>
        <v>38.9536581823608</v>
      </c>
      <c r="Q15" s="57" t="n">
        <f aca="false">20_CASH_FLOW!Q41</f>
        <v>38.9976503931413</v>
      </c>
      <c r="R15" s="57" t="n">
        <f aca="false">20_CASH_FLOW!R41</f>
        <v>39.0089985264614</v>
      </c>
      <c r="S15" s="57" t="n">
        <f aca="false">20_CASH_FLOW!S41</f>
        <v>38.9844352608729</v>
      </c>
      <c r="T15" s="57" t="n">
        <f aca="false">20_CASH_FLOW!T41</f>
        <v>38.9204187733066</v>
      </c>
      <c r="U15" s="57" t="n">
        <f aca="false">20_CASH_FLOW!U41</f>
        <v>38.8131105166247</v>
      </c>
      <c r="V15" s="57" t="n">
        <f aca="false">20_CASH_FLOW!V41</f>
        <v>38.6583512141307</v>
      </c>
      <c r="W15" s="57" t="n">
        <f aca="false">20_CASH_FLOW!W41</f>
        <v>38.4516349282892</v>
      </c>
      <c r="X15" s="57" t="n">
        <f aca="false">20_CASH_FLOW!X41</f>
        <v>38.1880810494845</v>
      </c>
      <c r="Y15" s="57" t="n">
        <f aca="false">20_CASH_FLOW!Y41</f>
        <v>37.8624040383125</v>
      </c>
      <c r="Z15" s="57" t="n">
        <f aca="false">20_CASH_FLOW!Z41</f>
        <v>37.4688807415782</v>
      </c>
      <c r="AA15" s="57" t="n">
        <f aca="false">20_CASH_FLOW!AA41</f>
        <v>58.8722377510545</v>
      </c>
      <c r="AB15" s="57" t="n">
        <f aca="false">20_CASH_FLOW!AB41</f>
        <v>80.628972604396</v>
      </c>
      <c r="AC15" s="57" t="n">
        <f aca="false">20_CASH_FLOW!AC41</f>
        <v>81.9168379141048</v>
      </c>
      <c r="AD15" s="57" t="n">
        <f aca="false">20_CASH_FLOW!AD41</f>
        <v>71.6307167922837</v>
      </c>
      <c r="AE15" s="57" t="n">
        <f aca="false">20_CASH_FLOW!AE41</f>
        <v>72.9616905548753</v>
      </c>
      <c r="AF15" s="57" t="n">
        <f aca="false">20_CASH_FLOW!AF41</f>
        <v>74.3148673047833</v>
      </c>
      <c r="AG15" s="57" t="n">
        <f aca="false">20_CASH_FLOW!AG41</f>
        <v>75.6906911017541</v>
      </c>
      <c r="AH15" s="57" t="n">
        <f aca="false">20_CASH_FLOW!AH41</f>
        <v>82.3473386193239</v>
      </c>
      <c r="AI15" s="57" t="n">
        <f aca="false">20_CASH_FLOW!AI41</f>
        <v>88.8698164126799</v>
      </c>
      <c r="AJ15" s="57" t="n">
        <f aca="false">20_CASH_FLOW!AJ41</f>
        <v>90.0955110161692</v>
      </c>
      <c r="AK15" s="57" t="n">
        <f aca="false">20_CASH_FLOW!AK41</f>
        <v>91.3457195117284</v>
      </c>
      <c r="AL15" s="57" t="n">
        <f aca="false">20_CASH_FLOW!AL41</f>
        <v>92.6209321771988</v>
      </c>
      <c r="AM15" s="57" t="n">
        <f aca="false">20_CASH_FLOW!AM41</f>
        <v>93.9216490959785</v>
      </c>
      <c r="AN15" s="57" t="n">
        <f aca="false">20_CASH_FLOW!AN41</f>
        <v>0</v>
      </c>
      <c r="AO15" s="57" t="n">
        <f aca="false">20_CASH_FLOW!AO41</f>
        <v>0</v>
      </c>
      <c r="AP15" s="57" t="n">
        <f aca="false">20_CASH_FLOW!AP41</f>
        <v>0</v>
      </c>
      <c r="AQ15" s="57" t="n">
        <f aca="false">20_CASH_FLOW!AQ41</f>
        <v>0</v>
      </c>
      <c r="AR15" s="57" t="n">
        <f aca="false">20_CASH_FLOW!AR41</f>
        <v>0</v>
      </c>
    </row>
    <row r="16" customFormat="false" ht="15" hidden="false" customHeight="false" outlineLevel="0" collapsed="false">
      <c r="A16" s="8" t="s">
        <v>741</v>
      </c>
      <c r="B16" s="8" t="s">
        <v>84</v>
      </c>
      <c r="C16" s="34" t="n">
        <f aca="false">SUM(19_EQUITY!$E$16:$AR$16)</f>
        <v>989.901900074116</v>
      </c>
      <c r="E16" s="34" t="n">
        <f aca="false">20_CASH_FLOW!E34*19_EQUITY!$C$7</f>
        <v>0</v>
      </c>
      <c r="F16" s="34" t="n">
        <f aca="false">20_CASH_FLOW!F34*19_EQUITY!$C$7</f>
        <v>0</v>
      </c>
      <c r="G16" s="34" t="n">
        <f aca="false">20_CASH_FLOW!G34*19_EQUITY!$C$7</f>
        <v>0</v>
      </c>
      <c r="H16" s="34" t="n">
        <f aca="false">20_CASH_FLOW!H34*19_EQUITY!$C$7</f>
        <v>0</v>
      </c>
      <c r="I16" s="34" t="n">
        <f aca="false">20_CASH_FLOW!I34*19_EQUITY!$C$7</f>
        <v>0</v>
      </c>
      <c r="J16" s="34" t="n">
        <f aca="false">20_CASH_FLOW!J34*19_EQUITY!$C$7</f>
        <v>14.351096175425</v>
      </c>
      <c r="K16" s="34" t="n">
        <f aca="false">20_CASH_FLOW!K34*19_EQUITY!$C$7</f>
        <v>21.3109655489354</v>
      </c>
      <c r="L16" s="34" t="n">
        <f aca="false">20_CASH_FLOW!L34*19_EQUITY!$C$7</f>
        <v>21.5775716031442</v>
      </c>
      <c r="M16" s="34" t="n">
        <f aca="false">20_CASH_FLOW!M34*19_EQUITY!$C$7</f>
        <v>21.8495097784371</v>
      </c>
      <c r="N16" s="34" t="n">
        <f aca="false">20_CASH_FLOW!N34*19_EQUITY!$C$7</f>
        <v>24.8362611851982</v>
      </c>
      <c r="O16" s="34" t="n">
        <f aca="false">20_CASH_FLOW!O34*19_EQUITY!$C$7</f>
        <v>22.7266689769816</v>
      </c>
      <c r="P16" s="34" t="n">
        <f aca="false">20_CASH_FLOW!P34*19_EQUITY!$C$7</f>
        <v>22.7280699337752</v>
      </c>
      <c r="Q16" s="34" t="n">
        <f aca="false">20_CASH_FLOW!Q34*19_EQUITY!$C$7</f>
        <v>22.7537378194069</v>
      </c>
      <c r="R16" s="34" t="n">
        <f aca="false">20_CASH_FLOW!R34*19_EQUITY!$C$7</f>
        <v>22.7603590503709</v>
      </c>
      <c r="S16" s="34" t="n">
        <f aca="false">20_CASH_FLOW!S34*19_EQUITY!$C$7</f>
        <v>22.7460272611591</v>
      </c>
      <c r="T16" s="34" t="n">
        <f aca="false">20_CASH_FLOW!T34*19_EQUITY!$C$7</f>
        <v>22.7086759243601</v>
      </c>
      <c r="U16" s="34" t="n">
        <f aca="false">20_CASH_FLOW!U34*19_EQUITY!$C$7</f>
        <v>22.6460653846537</v>
      </c>
      <c r="V16" s="34" t="n">
        <f aca="false">20_CASH_FLOW!V34*19_EQUITY!$C$7</f>
        <v>22.5557688524636</v>
      </c>
      <c r="W16" s="34" t="n">
        <f aca="false">20_CASH_FLOW!W34*19_EQUITY!$C$7</f>
        <v>22.4351572739807</v>
      </c>
      <c r="X16" s="34" t="n">
        <f aca="false">20_CASH_FLOW!X34*19_EQUITY!$C$7</f>
        <v>22.2813829876031</v>
      </c>
      <c r="Y16" s="34" t="n">
        <f aca="false">20_CASH_FLOW!Y34*19_EQUITY!$C$7</f>
        <v>22.0913620696424</v>
      </c>
      <c r="Z16" s="34" t="n">
        <f aca="false">20_CASH_FLOW!Z34*19_EQUITY!$C$7</f>
        <v>21.8617552643746</v>
      </c>
      <c r="AA16" s="34" t="n">
        <f aca="false">20_CASH_FLOW!AA34*19_EQUITY!$C$7</f>
        <v>34.34985054548</v>
      </c>
      <c r="AB16" s="34" t="n">
        <f aca="false">20_CASH_FLOW!AB34*19_EQUITY!$C$7</f>
        <v>47.0441291922354</v>
      </c>
      <c r="AC16" s="34" t="n">
        <f aca="false">20_CASH_FLOW!AC34*19_EQUITY!$C$7</f>
        <v>47.795552657711</v>
      </c>
      <c r="AD16" s="34" t="n">
        <f aca="false">20_CASH_FLOW!AD34*19_EQUITY!$C$7</f>
        <v>41.7939679256795</v>
      </c>
      <c r="AE16" s="34" t="n">
        <f aca="false">20_CASH_FLOW!AE34*19_EQUITY!$C$7</f>
        <v>42.5705436355803</v>
      </c>
      <c r="AF16" s="34" t="n">
        <f aca="false">20_CASH_FLOW!AF34*19_EQUITY!$C$7</f>
        <v>43.3600739965208</v>
      </c>
      <c r="AG16" s="34" t="n">
        <f aca="false">20_CASH_FLOW!AG34*19_EQUITY!$C$7</f>
        <v>44.1628181015215</v>
      </c>
      <c r="AH16" s="34" t="n">
        <f aca="false">20_CASH_FLOW!AH34*19_EQUITY!$C$7</f>
        <v>48.046734461714</v>
      </c>
      <c r="AI16" s="34" t="n">
        <f aca="false">20_CASH_FLOW!AI34*19_EQUITY!$C$7</f>
        <v>51.8523675741393</v>
      </c>
      <c r="AJ16" s="34" t="n">
        <f aca="false">20_CASH_FLOW!AJ34*19_EQUITY!$C$7</f>
        <v>52.5675166503863</v>
      </c>
      <c r="AK16" s="34" t="n">
        <f aca="false">20_CASH_FLOW!AK34*19_EQUITY!$C$7</f>
        <v>53.2969687081583</v>
      </c>
      <c r="AL16" s="34" t="n">
        <f aca="false">20_CASH_FLOW!AL34*19_EQUITY!$C$7</f>
        <v>54.0410098070857</v>
      </c>
      <c r="AM16" s="34" t="n">
        <f aca="false">20_CASH_FLOW!AM34*19_EQUITY!$C$7</f>
        <v>54.7999317279916</v>
      </c>
      <c r="AN16" s="34" t="n">
        <f aca="false">20_CASH_FLOW!AN34*19_EQUITY!$C$7</f>
        <v>0</v>
      </c>
      <c r="AO16" s="34" t="n">
        <f aca="false">20_CASH_FLOW!AO34*19_EQUITY!$C$7</f>
        <v>0</v>
      </c>
      <c r="AP16" s="34" t="n">
        <f aca="false">20_CASH_FLOW!AP34*19_EQUITY!$C$7</f>
        <v>0</v>
      </c>
      <c r="AQ16" s="34" t="n">
        <f aca="false">20_CASH_FLOW!AQ34*19_EQUITY!$C$7</f>
        <v>0</v>
      </c>
      <c r="AR16" s="34" t="n">
        <f aca="false">20_CASH_FLOW!AR34*19_EQUITY!$C$7</f>
        <v>0</v>
      </c>
    </row>
    <row r="17" customFormat="false" ht="15" hidden="false" customHeight="false" outlineLevel="0" collapsed="false">
      <c r="A17" s="8" t="s">
        <v>742</v>
      </c>
      <c r="B17" s="8" t="s">
        <v>84</v>
      </c>
      <c r="E17" s="34" t="n">
        <f aca="false">(19_EQUITY!F14+19_EQUITY!F17)/(1+17A_STRUCTURES!$C$23)</f>
        <v>148.894225739478</v>
      </c>
      <c r="F17" s="34" t="n">
        <f aca="false">(19_EQUITY!G14+19_EQUITY!G17)/(1+17A_STRUCTURES!$C$23)</f>
        <v>171.2283596004</v>
      </c>
      <c r="G17" s="34" t="n">
        <f aca="false">(19_EQUITY!H14+19_EQUITY!H17)/(1+17A_STRUCTURES!$C$23)</f>
        <v>196.91261354046</v>
      </c>
      <c r="H17" s="34" t="n">
        <f aca="false">(19_EQUITY!I14+19_EQUITY!I17)/(1+17A_STRUCTURES!$C$23)</f>
        <v>226.449505571529</v>
      </c>
      <c r="I17" s="34" t="n">
        <f aca="false">(19_EQUITY!J14+19_EQUITY!J17)/(1+17A_STRUCTURES!$C$23)</f>
        <v>260.416931407258</v>
      </c>
      <c r="J17" s="34" t="n">
        <f aca="false">(19_EQUITY!K14+19_EQUITY!K17)/(1+17A_STRUCTURES!$C$23)</f>
        <v>274.883115308611</v>
      </c>
      <c r="K17" s="34" t="n">
        <f aca="false">(19_EQUITY!L14+19_EQUITY!L17)/(1+17A_STRUCTURES!$C$23)</f>
        <v>279.590700820037</v>
      </c>
      <c r="L17" s="34" t="n">
        <f aca="false">(19_EQUITY!M14+19_EQUITY!M17)/(1+17A_STRUCTURES!$C$23)</f>
        <v>284.547487817553</v>
      </c>
      <c r="M17" s="34" t="n">
        <f aca="false">(19_EQUITY!N14+19_EQUITY!N17)/(1+17A_STRUCTURES!$C$23)</f>
        <v>289.781717797258</v>
      </c>
      <c r="N17" s="34" t="n">
        <f aca="false">(19_EQUITY!O14+19_EQUITY!O17)/(1+17A_STRUCTURES!$C$23)</f>
        <v>290.68208652489</v>
      </c>
      <c r="O17" s="34" t="n">
        <f aca="false">(19_EQUITY!P14+19_EQUITY!P17)/(1+17A_STRUCTURES!$C$23)</f>
        <v>295.33314242229</v>
      </c>
      <c r="P17" s="34" t="n">
        <f aca="false">(19_EQUITY!Q14+19_EQUITY!Q17)/(1+17A_STRUCTURES!$C$23)</f>
        <v>300.679455603273</v>
      </c>
      <c r="Q17" s="34" t="n">
        <f aca="false">(19_EQUITY!R14+19_EQUITY!R17)/(1+17A_STRUCTURES!$C$23)</f>
        <v>306.783723550623</v>
      </c>
      <c r="R17" s="34" t="n">
        <f aca="false">(19_EQUITY!S14+19_EQUITY!S17)/(1+17A_STRUCTURES!$C$23)</f>
        <v>313.792283556754</v>
      </c>
      <c r="S17" s="34" t="n">
        <f aca="false">(19_EQUITY!T14+19_EQUITY!T17)/(1+17A_STRUCTURES!$C$23)</f>
        <v>321.876690829395</v>
      </c>
      <c r="T17" s="34" t="n">
        <f aca="false">(19_EQUITY!U14+19_EQUITY!U17)/(1+17A_STRUCTURES!$C$23)</f>
        <v>331.237775680497</v>
      </c>
      <c r="U17" s="34" t="n">
        <f aca="false">(19_EQUITY!V14+19_EQUITY!V17)/(1+17A_STRUCTURES!$C$23)</f>
        <v>342.110331515947</v>
      </c>
      <c r="V17" s="34" t="n">
        <f aca="false">(19_EQUITY!W14+19_EQUITY!W17)/(1+17A_STRUCTURES!$C$23)</f>
        <v>354.768530029208</v>
      </c>
      <c r="W17" s="34" t="n">
        <f aca="false">(19_EQUITY!X14+19_EQUITY!X17)/(1+17A_STRUCTURES!$C$23)</f>
        <v>369.5321746053</v>
      </c>
      <c r="X17" s="34" t="n">
        <f aca="false">(19_EQUITY!Y14+19_EQUITY!Y17)/(1+17A_STRUCTURES!$C$23)</f>
        <v>386.773919746611</v>
      </c>
      <c r="Y17" s="34" t="n">
        <f aca="false">(19_EQUITY!Z14+19_EQUITY!Z17)/(1+17A_STRUCTURES!$C$23)</f>
        <v>406.92760367029</v>
      </c>
      <c r="Z17" s="34" t="n">
        <f aca="false">(19_EQUITY!AA14+19_EQUITY!AA17)/(1+17A_STRUCTURES!$C$23)</f>
        <v>430.497863479255</v>
      </c>
      <c r="AA17" s="34" t="n">
        <f aca="false">(19_EQUITY!AB14+19_EQUITY!AB17)/(1+17A_STRUCTURES!$C$23)</f>
        <v>436.200305250089</v>
      </c>
      <c r="AB17" s="34" t="n">
        <f aca="false">(19_EQUITY!AC14+19_EQUITY!AC17)/(1+17A_STRUCTURES!$C$23)</f>
        <v>421.001378433206</v>
      </c>
      <c r="AC17" s="34" t="n">
        <f aca="false">(19_EQUITY!AD14+19_EQUITY!AD17)/(1+17A_STRUCTURES!$C$23)</f>
        <v>402.234747284082</v>
      </c>
      <c r="AD17" s="34" t="n">
        <f aca="false">(19_EQUITY!AE14+19_EQUITY!AE17)/(1+17A_STRUCTURES!$C$23)</f>
        <v>390.939242584411</v>
      </c>
      <c r="AE17" s="34" t="n">
        <f aca="false">(19_EQUITY!AF14+19_EQUITY!AF17)/(1+17A_STRUCTURES!$C$23)</f>
        <v>376.618438417197</v>
      </c>
      <c r="AF17" s="34" t="n">
        <f aca="false">(19_EQUITY!AG14+19_EQUITY!AG17)/(1+17A_STRUCTURES!$C$23)</f>
        <v>358.796336874994</v>
      </c>
      <c r="AG17" s="34" t="n">
        <f aca="false">(19_EQUITY!AH14+19_EQUITY!AH17)/(1+17A_STRUCTURES!$C$23)</f>
        <v>336.925096304489</v>
      </c>
      <c r="AH17" s="34" t="n">
        <f aca="false">(19_EQUITY!AI14+19_EQUITY!AI17)/(1+17A_STRUCTURES!$C$23)</f>
        <v>305.116522130838</v>
      </c>
      <c r="AI17" s="34" t="n">
        <f aca="false">(19_EQUITY!AJ14+19_EQUITY!AJ17)/(1+17A_STRUCTURES!$C$23)</f>
        <v>262.014184037784</v>
      </c>
      <c r="AJ17" s="34" t="n">
        <f aca="false">(19_EQUITY!AK14+19_EQUITY!AK17)/(1+17A_STRUCTURES!$C$23)</f>
        <v>211.220800627282</v>
      </c>
      <c r="AK17" s="34" t="n">
        <f aca="false">(19_EQUITY!AL14+19_EQUITY!AL17)/(1+17A_STRUCTURES!$C$23)</f>
        <v>151.558201209646</v>
      </c>
      <c r="AL17" s="34" t="n">
        <f aca="false">(19_EQUITY!AM14+19_EQUITY!AM17)/(1+17A_STRUCTURES!$C$23)</f>
        <v>81.6709992138943</v>
      </c>
      <c r="AM17" s="34" t="n">
        <f aca="false">(19_EQUITY!AN14+19_EQUITY!AN17)/(1+17A_STRUCTURES!$C$23)</f>
        <v>0</v>
      </c>
      <c r="AN17" s="34" t="n">
        <f aca="false">(19_EQUITY!AO14+19_EQUITY!AO17)/(1+17A_STRUCTURES!$C$23)</f>
        <v>0</v>
      </c>
      <c r="AO17" s="34" t="n">
        <f aca="false">(19_EQUITY!AP14+19_EQUITY!AP17)/(1+17A_STRUCTURES!$C$23)</f>
        <v>0</v>
      </c>
      <c r="AP17" s="34" t="n">
        <f aca="false">(19_EQUITY!AQ14+19_EQUITY!AQ17)/(1+17A_STRUCTURES!$C$23)</f>
        <v>0</v>
      </c>
      <c r="AQ17" s="34" t="n">
        <f aca="false">(19_EQUITY!AR14+19_EQUITY!AR17)/(1+17A_STRUCTURES!$C$23)</f>
        <v>0</v>
      </c>
      <c r="AR17" s="34" t="n">
        <f aca="false">(19_EQUITY!AS14+19_EQUITY!AS17)/(1+17A_STRUCTURES!$C$23)</f>
        <v>0</v>
      </c>
    </row>
    <row r="18" customFormat="false" ht="15" hidden="false" customHeight="false" outlineLevel="0" collapsed="false">
      <c r="A18" s="8" t="s">
        <v>743</v>
      </c>
      <c r="B18" s="8" t="s">
        <v>84</v>
      </c>
      <c r="E18" s="34" t="n">
        <f aca="false">MAX(0,-20_CASH_FLOW!E42)</f>
        <v>16.4059219405927</v>
      </c>
      <c r="F18" s="34" t="n">
        <f aca="false">MAX(0,-20_CASH_FLOW!F42)</f>
        <v>35.4181523414738</v>
      </c>
      <c r="G18" s="34" t="n">
        <f aca="false">MAX(0,-20_CASH_FLOW!G42)</f>
        <v>72.8365110366953</v>
      </c>
      <c r="H18" s="34" t="n">
        <f aca="false">MAX(0,-20_CASH_FLOW!H42)</f>
        <v>121.726704331425</v>
      </c>
      <c r="I18" s="34" t="n">
        <f aca="false">MAX(0,-20_CASH_FLOW!I42)</f>
        <v>190.252544821525</v>
      </c>
      <c r="J18" s="34" t="n">
        <f aca="false">MAX(0,-20_CASH_FLOW!J42)</f>
        <v>165.656189011789</v>
      </c>
      <c r="K18" s="34" t="n">
        <f aca="false">MAX(0,-20_CASH_FLOW!K42)</f>
        <v>129.131307226924</v>
      </c>
      <c r="L18" s="34" t="n">
        <f aca="false">MAX(0,-20_CASH_FLOW!L42)</f>
        <v>92.1494891014337</v>
      </c>
      <c r="M18" s="34" t="n">
        <f aca="false">MAX(0,-20_CASH_FLOW!M42)</f>
        <v>54.7015959085068</v>
      </c>
      <c r="N18" s="34" t="n">
        <f aca="false">MAX(0,-20_CASH_FLOW!N42)</f>
        <v>12.1347069665497</v>
      </c>
      <c r="O18" s="34" t="n">
        <f aca="false">MAX(0,-20_CASH_FLOW!O42)</f>
        <v>0</v>
      </c>
      <c r="P18" s="34" t="n">
        <f aca="false">MAX(0,-20_CASH_FLOW!P42)</f>
        <v>0</v>
      </c>
      <c r="Q18" s="34" t="n">
        <f aca="false">MAX(0,-20_CASH_FLOW!Q42)</f>
        <v>0</v>
      </c>
      <c r="R18" s="34" t="n">
        <f aca="false">MAX(0,-20_CASH_FLOW!R42)</f>
        <v>0</v>
      </c>
      <c r="S18" s="34" t="n">
        <f aca="false">MAX(0,-20_CASH_FLOW!S42)</f>
        <v>0</v>
      </c>
      <c r="T18" s="34" t="n">
        <f aca="false">MAX(0,-20_CASH_FLOW!T42)</f>
        <v>0</v>
      </c>
      <c r="U18" s="34" t="n">
        <f aca="false">MAX(0,-20_CASH_FLOW!U42)</f>
        <v>0</v>
      </c>
      <c r="V18" s="34" t="n">
        <f aca="false">MAX(0,-20_CASH_FLOW!V42)</f>
        <v>0</v>
      </c>
      <c r="W18" s="34" t="n">
        <f aca="false">MAX(0,-20_CASH_FLOW!W42)</f>
        <v>0</v>
      </c>
      <c r="X18" s="34" t="n">
        <f aca="false">MAX(0,-20_CASH_FLOW!X42)</f>
        <v>0</v>
      </c>
      <c r="Y18" s="34" t="n">
        <f aca="false">MAX(0,-20_CASH_FLOW!Y42)</f>
        <v>0</v>
      </c>
      <c r="Z18" s="34" t="n">
        <f aca="false">MAX(0,-20_CASH_FLOW!Z42)</f>
        <v>0</v>
      </c>
      <c r="AA18" s="34" t="n">
        <f aca="false">MAX(0,-20_CASH_FLOW!AA42)</f>
        <v>0</v>
      </c>
      <c r="AB18" s="34" t="n">
        <f aca="false">MAX(0,-20_CASH_FLOW!AB42)</f>
        <v>0</v>
      </c>
      <c r="AC18" s="34" t="n">
        <f aca="false">MAX(0,-20_CASH_FLOW!AC42)</f>
        <v>0</v>
      </c>
      <c r="AD18" s="34" t="n">
        <f aca="false">MAX(0,-20_CASH_FLOW!AD42)</f>
        <v>0</v>
      </c>
      <c r="AE18" s="34" t="n">
        <f aca="false">MAX(0,-20_CASH_FLOW!AE42)</f>
        <v>0</v>
      </c>
      <c r="AF18" s="34" t="n">
        <f aca="false">MAX(0,-20_CASH_FLOW!AF42)</f>
        <v>0</v>
      </c>
      <c r="AG18" s="34" t="n">
        <f aca="false">MAX(0,-20_CASH_FLOW!AG42)</f>
        <v>0</v>
      </c>
      <c r="AH18" s="34" t="n">
        <f aca="false">MAX(0,-20_CASH_FLOW!AH42)</f>
        <v>0</v>
      </c>
      <c r="AI18" s="34" t="n">
        <f aca="false">MAX(0,-20_CASH_FLOW!AI42)</f>
        <v>0</v>
      </c>
      <c r="AJ18" s="34" t="n">
        <f aca="false">MAX(0,-20_CASH_FLOW!AJ42)</f>
        <v>0</v>
      </c>
      <c r="AK18" s="34" t="n">
        <f aca="false">MAX(0,-20_CASH_FLOW!AK42)</f>
        <v>0</v>
      </c>
      <c r="AL18" s="34" t="n">
        <f aca="false">MAX(0,-20_CASH_FLOW!AL42)</f>
        <v>0</v>
      </c>
      <c r="AM18" s="34" t="n">
        <f aca="false">MAX(0,-20_CASH_FLOW!AM42)</f>
        <v>0</v>
      </c>
      <c r="AN18" s="34" t="n">
        <f aca="false">MAX(0,-20_CASH_FLOW!AN42)</f>
        <v>0</v>
      </c>
      <c r="AO18" s="34" t="n">
        <f aca="false">MAX(0,-20_CASH_FLOW!AO42)</f>
        <v>0</v>
      </c>
      <c r="AP18" s="34" t="n">
        <f aca="false">MAX(0,-20_CASH_FLOW!AP42)</f>
        <v>0</v>
      </c>
      <c r="AQ18" s="34" t="n">
        <f aca="false">MAX(0,-20_CASH_FLOW!AQ42)</f>
        <v>0</v>
      </c>
      <c r="AR18" s="34" t="n">
        <f aca="false">MAX(0,-20_CASH_FLOW!AR42)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744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745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746</v>
      </c>
      <c r="B7" s="8" t="s">
        <v>84</v>
      </c>
      <c r="C7" s="34" t="n">
        <f aca="false">SUM(20_CASH_FLOW!$E$7:$AR$7)</f>
        <v>1316.427346715</v>
      </c>
      <c r="E7" s="34" t="n">
        <f aca="false">06_CONSTRUCTION!E25+08_TRANSMISSION!E33*06_CONSTRUCTION!E13+18_DEBT!E41+IF(1=1,17_PROJECT_FINANCE!$C$9,0)+18_DEBT!E44</f>
        <v>122.918227419208</v>
      </c>
      <c r="F7" s="34" t="n">
        <f aca="false">06_CONSTRUCTION!F25+08_TRANSMISSION!F33*06_CONSTRUCTION!F13+18_DEBT!F41+IF(2=1,17_PROJECT_FINANCE!$C$9,0)+18_DEBT!F44</f>
        <v>283.897495849752</v>
      </c>
      <c r="G7" s="34" t="n">
        <f aca="false">06_CONSTRUCTION!G25+08_TRANSMISSION!G33*06_CONSTRUCTION!G13+18_DEBT!G41+IF(3=1,17_PROJECT_FINANCE!$C$9,0)+18_DEBT!G44</f>
        <v>372.955180067801</v>
      </c>
      <c r="H7" s="34" t="n">
        <f aca="false">06_CONSTRUCTION!H25+08_TRANSMISSION!H33*06_CONSTRUCTION!H13+18_DEBT!H41+IF(4=1,17_PROJECT_FINANCE!$C$9,0)+18_DEBT!H44</f>
        <v>331.208184238883</v>
      </c>
      <c r="I7" s="34" t="n">
        <f aca="false">06_CONSTRUCTION!I25+08_TRANSMISSION!I33*06_CONSTRUCTION!I13+18_DEBT!I41+IF(5=1,17_PROJECT_FINANCE!$C$9,0)+18_DEBT!I44</f>
        <v>205.448259139351</v>
      </c>
      <c r="J7" s="34" t="n">
        <f aca="false">06_CONSTRUCTION!J25+08_TRANSMISSION!J33*06_CONSTRUCTION!J13+18_DEBT!J41+IF(6=1,17_PROJECT_FINANCE!$C$9,0)+18_DEBT!J44</f>
        <v>0</v>
      </c>
      <c r="K7" s="34" t="n">
        <f aca="false">06_CONSTRUCTION!K25+08_TRANSMISSION!K33*06_CONSTRUCTION!K13+18_DEBT!K41+IF(7=1,17_PROJECT_FINANCE!$C$9,0)+18_DEBT!K44</f>
        <v>0</v>
      </c>
      <c r="L7" s="34" t="n">
        <f aca="false">06_CONSTRUCTION!L25+08_TRANSMISSION!L33*06_CONSTRUCTION!L13+18_DEBT!L41+IF(8=1,17_PROJECT_FINANCE!$C$9,0)+18_DEBT!L44</f>
        <v>0</v>
      </c>
      <c r="M7" s="34" t="n">
        <f aca="false">06_CONSTRUCTION!M25+08_TRANSMISSION!M33*06_CONSTRUCTION!M13+18_DEBT!M41+IF(9=1,17_PROJECT_FINANCE!$C$9,0)+18_DEBT!M44</f>
        <v>0</v>
      </c>
      <c r="N7" s="34" t="n">
        <f aca="false">06_CONSTRUCTION!N25+08_TRANSMISSION!N33*06_CONSTRUCTION!N13+18_DEBT!N41+IF(10=1,17_PROJECT_FINANCE!$C$9,0)+18_DEBT!N44</f>
        <v>0</v>
      </c>
      <c r="O7" s="34" t="n">
        <f aca="false">06_CONSTRUCTION!O25+08_TRANSMISSION!O33*06_CONSTRUCTION!O13+18_DEBT!O41+IF(11=1,17_PROJECT_FINANCE!$C$9,0)+18_DEBT!O44</f>
        <v>0</v>
      </c>
      <c r="P7" s="34" t="n">
        <f aca="false">06_CONSTRUCTION!P25+08_TRANSMISSION!P33*06_CONSTRUCTION!P13+18_DEBT!P41+IF(12=1,17_PROJECT_FINANCE!$C$9,0)+18_DEBT!P44</f>
        <v>0</v>
      </c>
      <c r="Q7" s="34" t="n">
        <f aca="false">06_CONSTRUCTION!Q25+08_TRANSMISSION!Q33*06_CONSTRUCTION!Q13+18_DEBT!Q41+IF(13=1,17_PROJECT_FINANCE!$C$9,0)+18_DEBT!Q44</f>
        <v>0</v>
      </c>
      <c r="R7" s="34" t="n">
        <f aca="false">06_CONSTRUCTION!R25+08_TRANSMISSION!R33*06_CONSTRUCTION!R13+18_DEBT!R41+IF(14=1,17_PROJECT_FINANCE!$C$9,0)+18_DEBT!R44</f>
        <v>0</v>
      </c>
      <c r="S7" s="34" t="n">
        <f aca="false">06_CONSTRUCTION!S25+08_TRANSMISSION!S33*06_CONSTRUCTION!S13+18_DEBT!S41+IF(15=1,17_PROJECT_FINANCE!$C$9,0)+18_DEBT!S44</f>
        <v>0</v>
      </c>
      <c r="T7" s="34" t="n">
        <f aca="false">06_CONSTRUCTION!T25+08_TRANSMISSION!T33*06_CONSTRUCTION!T13+18_DEBT!T41+IF(16=1,17_PROJECT_FINANCE!$C$9,0)+18_DEBT!T44</f>
        <v>0</v>
      </c>
      <c r="U7" s="34" t="n">
        <f aca="false">06_CONSTRUCTION!U25+08_TRANSMISSION!U33*06_CONSTRUCTION!U13+18_DEBT!U41+IF(17=1,17_PROJECT_FINANCE!$C$9,0)+18_DEBT!U44</f>
        <v>0</v>
      </c>
      <c r="V7" s="34" t="n">
        <f aca="false">06_CONSTRUCTION!V25+08_TRANSMISSION!V33*06_CONSTRUCTION!V13+18_DEBT!V41+IF(18=1,17_PROJECT_FINANCE!$C$9,0)+18_DEBT!V44</f>
        <v>0</v>
      </c>
      <c r="W7" s="34" t="n">
        <f aca="false">06_CONSTRUCTION!W25+08_TRANSMISSION!W33*06_CONSTRUCTION!W13+18_DEBT!W41+IF(19=1,17_PROJECT_FINANCE!$C$9,0)+18_DEBT!W44</f>
        <v>0</v>
      </c>
      <c r="X7" s="34" t="n">
        <f aca="false">06_CONSTRUCTION!X25+08_TRANSMISSION!X33*06_CONSTRUCTION!X13+18_DEBT!X41+IF(20=1,17_PROJECT_FINANCE!$C$9,0)+18_DEBT!X44</f>
        <v>0</v>
      </c>
      <c r="Y7" s="34" t="n">
        <f aca="false">06_CONSTRUCTION!Y25+08_TRANSMISSION!Y33*06_CONSTRUCTION!Y13+18_DEBT!Y41+IF(21=1,17_PROJECT_FINANCE!$C$9,0)+18_DEBT!Y44</f>
        <v>0</v>
      </c>
      <c r="Z7" s="34" t="n">
        <f aca="false">06_CONSTRUCTION!Z25+08_TRANSMISSION!Z33*06_CONSTRUCTION!Z13+18_DEBT!Z41+IF(22=1,17_PROJECT_FINANCE!$C$9,0)+18_DEBT!Z44</f>
        <v>0</v>
      </c>
      <c r="AA7" s="34" t="n">
        <f aca="false">06_CONSTRUCTION!AA25+08_TRANSMISSION!AA33*06_CONSTRUCTION!AA13+18_DEBT!AA41+IF(23=1,17_PROJECT_FINANCE!$C$9,0)+18_DEBT!AA44</f>
        <v>0</v>
      </c>
      <c r="AB7" s="34" t="n">
        <f aca="false">06_CONSTRUCTION!AB25+08_TRANSMISSION!AB33*06_CONSTRUCTION!AB13+18_DEBT!AB41+IF(24=1,17_PROJECT_FINANCE!$C$9,0)+18_DEBT!AB44</f>
        <v>0</v>
      </c>
      <c r="AC7" s="34" t="n">
        <f aca="false">06_CONSTRUCTION!AC25+08_TRANSMISSION!AC33*06_CONSTRUCTION!AC13+18_DEBT!AC41+IF(25=1,17_PROJECT_FINANCE!$C$9,0)+18_DEBT!AC44</f>
        <v>0</v>
      </c>
      <c r="AD7" s="34" t="n">
        <f aca="false">06_CONSTRUCTION!AD25+08_TRANSMISSION!AD33*06_CONSTRUCTION!AD13+18_DEBT!AD41+IF(26=1,17_PROJECT_FINANCE!$C$9,0)+18_DEBT!AD44</f>
        <v>0</v>
      </c>
      <c r="AE7" s="34" t="n">
        <f aca="false">06_CONSTRUCTION!AE25+08_TRANSMISSION!AE33*06_CONSTRUCTION!AE13+18_DEBT!AE41+IF(27=1,17_PROJECT_FINANCE!$C$9,0)+18_DEBT!AE44</f>
        <v>0</v>
      </c>
      <c r="AF7" s="34" t="n">
        <f aca="false">06_CONSTRUCTION!AF25+08_TRANSMISSION!AF33*06_CONSTRUCTION!AF13+18_DEBT!AF41+IF(28=1,17_PROJECT_FINANCE!$C$9,0)+18_DEBT!AF44</f>
        <v>0</v>
      </c>
      <c r="AG7" s="34" t="n">
        <f aca="false">06_CONSTRUCTION!AG25+08_TRANSMISSION!AG33*06_CONSTRUCTION!AG13+18_DEBT!AG41+IF(29=1,17_PROJECT_FINANCE!$C$9,0)+18_DEBT!AG44</f>
        <v>0</v>
      </c>
      <c r="AH7" s="34" t="n">
        <f aca="false">06_CONSTRUCTION!AH25+08_TRANSMISSION!AH33*06_CONSTRUCTION!AH13+18_DEBT!AH41+IF(30=1,17_PROJECT_FINANCE!$C$9,0)+18_DEBT!AH44</f>
        <v>0</v>
      </c>
      <c r="AI7" s="34" t="n">
        <f aca="false">06_CONSTRUCTION!AI25+08_TRANSMISSION!AI33*06_CONSTRUCTION!AI13+18_DEBT!AI41+IF(31=1,17_PROJECT_FINANCE!$C$9,0)+18_DEBT!AI44</f>
        <v>0</v>
      </c>
      <c r="AJ7" s="34" t="n">
        <f aca="false">06_CONSTRUCTION!AJ25+08_TRANSMISSION!AJ33*06_CONSTRUCTION!AJ13+18_DEBT!AJ41+IF(32=1,17_PROJECT_FINANCE!$C$9,0)+18_DEBT!AJ44</f>
        <v>0</v>
      </c>
      <c r="AK7" s="34" t="n">
        <f aca="false">06_CONSTRUCTION!AK25+08_TRANSMISSION!AK33*06_CONSTRUCTION!AK13+18_DEBT!AK41+IF(33=1,17_PROJECT_FINANCE!$C$9,0)+18_DEBT!AK44</f>
        <v>0</v>
      </c>
      <c r="AL7" s="34" t="n">
        <f aca="false">06_CONSTRUCTION!AL25+08_TRANSMISSION!AL33*06_CONSTRUCTION!AL13+18_DEBT!AL41+IF(34=1,17_PROJECT_FINANCE!$C$9,0)+18_DEBT!AL44</f>
        <v>0</v>
      </c>
      <c r="AM7" s="34" t="n">
        <f aca="false">06_CONSTRUCTION!AM25+08_TRANSMISSION!AM33*06_CONSTRUCTION!AM13+18_DEBT!AM41+IF(35=1,17_PROJECT_FINANCE!$C$9,0)+18_DEBT!AM44</f>
        <v>0</v>
      </c>
      <c r="AN7" s="34" t="n">
        <f aca="false">06_CONSTRUCTION!AN25+08_TRANSMISSION!AN33*06_CONSTRUCTION!AN13+18_DEBT!AN41+IF(36=1,17_PROJECT_FINANCE!$C$9,0)+18_DEBT!AN44</f>
        <v>0</v>
      </c>
      <c r="AO7" s="34" t="n">
        <f aca="false">06_CONSTRUCTION!AO25+08_TRANSMISSION!AO33*06_CONSTRUCTION!AO13+18_DEBT!AO41+IF(37=1,17_PROJECT_FINANCE!$C$9,0)+18_DEBT!AO44</f>
        <v>0</v>
      </c>
      <c r="AP7" s="34" t="n">
        <f aca="false">06_CONSTRUCTION!AP25+08_TRANSMISSION!AP33*06_CONSTRUCTION!AP13+18_DEBT!AP41+IF(38=1,17_PROJECT_FINANCE!$C$9,0)+18_DEBT!AP44</f>
        <v>0</v>
      </c>
      <c r="AQ7" s="34" t="n">
        <f aca="false">06_CONSTRUCTION!AQ25+08_TRANSMISSION!AQ33*06_CONSTRUCTION!AQ13+18_DEBT!AQ41+IF(39=1,17_PROJECT_FINANCE!$C$9,0)+18_DEBT!AQ44</f>
        <v>0</v>
      </c>
      <c r="AR7" s="34" t="n">
        <f aca="false">06_CONSTRUCTION!AR25+08_TRANSMISSION!AR33*06_CONSTRUCTION!AR13+18_DEBT!AR41+IF(40=1,17_PROJECT_FINANCE!$C$9,0)+18_DEBT!AR44</f>
        <v>0</v>
      </c>
    </row>
    <row r="8" customFormat="false" ht="15" hidden="false" customHeight="false" outlineLevel="0" collapsed="false">
      <c r="A8" s="8" t="s">
        <v>747</v>
      </c>
      <c r="B8" s="8" t="s">
        <v>84</v>
      </c>
      <c r="C8" s="34" t="n">
        <f aca="false">SUM(20_CASH_FLOW!$E$8:$AR$8)</f>
        <v>55.502786458967</v>
      </c>
      <c r="E8" s="34" t="n">
        <f aca="false">17_PROJECT_FINANCE!$C$13*06_CONSTRUCTION!E23</f>
        <v>5.30004448924949</v>
      </c>
      <c r="F8" s="34" t="n">
        <f aca="false">17_PROJECT_FINANCE!$C$13*06_CONSTRUCTION!F23</f>
        <v>13.8756966147417</v>
      </c>
      <c r="G8" s="34" t="n">
        <f aca="false">17_PROJECT_FINANCE!$C$13*06_CONSTRUCTION!G23</f>
        <v>17.1513042509845</v>
      </c>
      <c r="H8" s="34" t="n">
        <f aca="false">17_PROJECT_FINANCE!$C$13*06_CONSTRUCTION!H23</f>
        <v>13.8756966147417</v>
      </c>
      <c r="I8" s="34" t="n">
        <f aca="false">17_PROJECT_FINANCE!$C$13*06_CONSTRUCTION!I23</f>
        <v>5.30004448924949</v>
      </c>
      <c r="J8" s="34" t="n">
        <f aca="false">17_PROJECT_FINANCE!$C$13*06_CONSTRUCTION!J23</f>
        <v>0</v>
      </c>
      <c r="K8" s="34" t="n">
        <f aca="false">17_PROJECT_FINANCE!$C$13*06_CONSTRUCTION!K23</f>
        <v>0</v>
      </c>
      <c r="L8" s="34" t="n">
        <f aca="false">17_PROJECT_FINANCE!$C$13*06_CONSTRUCTION!L23</f>
        <v>0</v>
      </c>
      <c r="M8" s="34" t="n">
        <f aca="false">17_PROJECT_FINANCE!$C$13*06_CONSTRUCTION!M23</f>
        <v>0</v>
      </c>
      <c r="N8" s="34" t="n">
        <f aca="false">17_PROJECT_FINANCE!$C$13*06_CONSTRUCTION!N23</f>
        <v>0</v>
      </c>
      <c r="O8" s="34" t="n">
        <f aca="false">17_PROJECT_FINANCE!$C$13*06_CONSTRUCTION!O23</f>
        <v>0</v>
      </c>
      <c r="P8" s="34" t="n">
        <f aca="false">17_PROJECT_FINANCE!$C$13*06_CONSTRUCTION!P23</f>
        <v>0</v>
      </c>
      <c r="Q8" s="34" t="n">
        <f aca="false">17_PROJECT_FINANCE!$C$13*06_CONSTRUCTION!Q23</f>
        <v>0</v>
      </c>
      <c r="R8" s="34" t="n">
        <f aca="false">17_PROJECT_FINANCE!$C$13*06_CONSTRUCTION!R23</f>
        <v>0</v>
      </c>
      <c r="S8" s="34" t="n">
        <f aca="false">17_PROJECT_FINANCE!$C$13*06_CONSTRUCTION!S23</f>
        <v>0</v>
      </c>
      <c r="T8" s="34" t="n">
        <f aca="false">17_PROJECT_FINANCE!$C$13*06_CONSTRUCTION!T23</f>
        <v>0</v>
      </c>
      <c r="U8" s="34" t="n">
        <f aca="false">17_PROJECT_FINANCE!$C$13*06_CONSTRUCTION!U23</f>
        <v>0</v>
      </c>
      <c r="V8" s="34" t="n">
        <f aca="false">17_PROJECT_FINANCE!$C$13*06_CONSTRUCTION!V23</f>
        <v>0</v>
      </c>
      <c r="W8" s="34" t="n">
        <f aca="false">17_PROJECT_FINANCE!$C$13*06_CONSTRUCTION!W23</f>
        <v>0</v>
      </c>
      <c r="X8" s="34" t="n">
        <f aca="false">17_PROJECT_FINANCE!$C$13*06_CONSTRUCTION!X23</f>
        <v>0</v>
      </c>
      <c r="Y8" s="34" t="n">
        <f aca="false">17_PROJECT_FINANCE!$C$13*06_CONSTRUCTION!Y23</f>
        <v>0</v>
      </c>
      <c r="Z8" s="34" t="n">
        <f aca="false">17_PROJECT_FINANCE!$C$13*06_CONSTRUCTION!Z23</f>
        <v>0</v>
      </c>
      <c r="AA8" s="34" t="n">
        <f aca="false">17_PROJECT_FINANCE!$C$13*06_CONSTRUCTION!AA23</f>
        <v>0</v>
      </c>
      <c r="AB8" s="34" t="n">
        <f aca="false">17_PROJECT_FINANCE!$C$13*06_CONSTRUCTION!AB23</f>
        <v>0</v>
      </c>
      <c r="AC8" s="34" t="n">
        <f aca="false">17_PROJECT_FINANCE!$C$13*06_CONSTRUCTION!AC23</f>
        <v>0</v>
      </c>
      <c r="AD8" s="34" t="n">
        <f aca="false">17_PROJECT_FINANCE!$C$13*06_CONSTRUCTION!AD23</f>
        <v>0</v>
      </c>
      <c r="AE8" s="34" t="n">
        <f aca="false">17_PROJECT_FINANCE!$C$13*06_CONSTRUCTION!AE23</f>
        <v>0</v>
      </c>
      <c r="AF8" s="34" t="n">
        <f aca="false">17_PROJECT_FINANCE!$C$13*06_CONSTRUCTION!AF23</f>
        <v>0</v>
      </c>
      <c r="AG8" s="34" t="n">
        <f aca="false">17_PROJECT_FINANCE!$C$13*06_CONSTRUCTION!AG23</f>
        <v>0</v>
      </c>
      <c r="AH8" s="34" t="n">
        <f aca="false">17_PROJECT_FINANCE!$C$13*06_CONSTRUCTION!AH23</f>
        <v>0</v>
      </c>
      <c r="AI8" s="34" t="n">
        <f aca="false">17_PROJECT_FINANCE!$C$13*06_CONSTRUCTION!AI23</f>
        <v>0</v>
      </c>
      <c r="AJ8" s="34" t="n">
        <f aca="false">17_PROJECT_FINANCE!$C$13*06_CONSTRUCTION!AJ23</f>
        <v>0</v>
      </c>
      <c r="AK8" s="34" t="n">
        <f aca="false">17_PROJECT_FINANCE!$C$13*06_CONSTRUCTION!AK23</f>
        <v>0</v>
      </c>
      <c r="AL8" s="34" t="n">
        <f aca="false">17_PROJECT_FINANCE!$C$13*06_CONSTRUCTION!AL23</f>
        <v>0</v>
      </c>
      <c r="AM8" s="34" t="n">
        <f aca="false">17_PROJECT_FINANCE!$C$13*06_CONSTRUCTION!AM23</f>
        <v>0</v>
      </c>
      <c r="AN8" s="34" t="n">
        <f aca="false">17_PROJECT_FINANCE!$C$13*06_CONSTRUCTION!AN23</f>
        <v>0</v>
      </c>
      <c r="AO8" s="34" t="n">
        <f aca="false">17_PROJECT_FINANCE!$C$13*06_CONSTRUCTION!AO23</f>
        <v>0</v>
      </c>
      <c r="AP8" s="34" t="n">
        <f aca="false">17_PROJECT_FINANCE!$C$13*06_CONSTRUCTION!AP23</f>
        <v>0</v>
      </c>
      <c r="AQ8" s="34" t="n">
        <f aca="false">17_PROJECT_FINANCE!$C$13*06_CONSTRUCTION!AQ23</f>
        <v>0</v>
      </c>
      <c r="AR8" s="34" t="n">
        <f aca="false">17_PROJECT_FINANCE!$C$13*06_CONSTRUCTION!AR23</f>
        <v>0</v>
      </c>
    </row>
    <row r="9" customFormat="false" ht="15" hidden="false" customHeight="false" outlineLevel="0" collapsed="false">
      <c r="A9" s="8" t="s">
        <v>748</v>
      </c>
      <c r="B9" s="8" t="s">
        <v>84</v>
      </c>
      <c r="C9" s="34" t="n">
        <f aca="false">SUM(20_CASH_FLOW!$E$9:$AR$9)</f>
        <v>959.66644251657</v>
      </c>
      <c r="E9" s="34" t="n">
        <f aca="false">18_DEBT!E26+18_DEBT!E33</f>
        <v>91.6399907946581</v>
      </c>
      <c r="F9" s="34" t="n">
        <f aca="false">18_DEBT!F26+18_DEBT!F33</f>
        <v>239.916610629142</v>
      </c>
      <c r="G9" s="34" t="n">
        <f aca="false">18_DEBT!G26+18_DEBT!G33</f>
        <v>296.553239668969</v>
      </c>
      <c r="H9" s="34" t="n">
        <f aca="false">18_DEBT!H26+18_DEBT!H33</f>
        <v>239.916610629142</v>
      </c>
      <c r="I9" s="34" t="n">
        <f aca="false">18_DEBT!I26+18_DEBT!I33</f>
        <v>91.6399907946582</v>
      </c>
      <c r="J9" s="34" t="n">
        <f aca="false">18_DEBT!J26+18_DEBT!J33</f>
        <v>0</v>
      </c>
      <c r="K9" s="34" t="n">
        <f aca="false">18_DEBT!K26+18_DEBT!K33</f>
        <v>0</v>
      </c>
      <c r="L9" s="34" t="n">
        <f aca="false">18_DEBT!L26+18_DEBT!L33</f>
        <v>0</v>
      </c>
      <c r="M9" s="34" t="n">
        <f aca="false">18_DEBT!M26+18_DEBT!M33</f>
        <v>0</v>
      </c>
      <c r="N9" s="34" t="n">
        <f aca="false">18_DEBT!N26+18_DEBT!N33</f>
        <v>0</v>
      </c>
      <c r="O9" s="34" t="n">
        <f aca="false">18_DEBT!O26+18_DEBT!O33</f>
        <v>0</v>
      </c>
      <c r="P9" s="34" t="n">
        <f aca="false">18_DEBT!P26+18_DEBT!P33</f>
        <v>0</v>
      </c>
      <c r="Q9" s="34" t="n">
        <f aca="false">18_DEBT!Q26+18_DEBT!Q33</f>
        <v>0</v>
      </c>
      <c r="R9" s="34" t="n">
        <f aca="false">18_DEBT!R26+18_DEBT!R33</f>
        <v>0</v>
      </c>
      <c r="S9" s="34" t="n">
        <f aca="false">18_DEBT!S26+18_DEBT!S33</f>
        <v>0</v>
      </c>
      <c r="T9" s="34" t="n">
        <f aca="false">18_DEBT!T26+18_DEBT!T33</f>
        <v>0</v>
      </c>
      <c r="U9" s="34" t="n">
        <f aca="false">18_DEBT!U26+18_DEBT!U33</f>
        <v>0</v>
      </c>
      <c r="V9" s="34" t="n">
        <f aca="false">18_DEBT!V26+18_DEBT!V33</f>
        <v>0</v>
      </c>
      <c r="W9" s="34" t="n">
        <f aca="false">18_DEBT!W26+18_DEBT!W33</f>
        <v>0</v>
      </c>
      <c r="X9" s="34" t="n">
        <f aca="false">18_DEBT!X26+18_DEBT!X33</f>
        <v>0</v>
      </c>
      <c r="Y9" s="34" t="n">
        <f aca="false">18_DEBT!Y26+18_DEBT!Y33</f>
        <v>0</v>
      </c>
      <c r="Z9" s="34" t="n">
        <f aca="false">18_DEBT!Z26+18_DEBT!Z33</f>
        <v>0</v>
      </c>
      <c r="AA9" s="34" t="n">
        <f aca="false">18_DEBT!AA26+18_DEBT!AA33</f>
        <v>0</v>
      </c>
      <c r="AB9" s="34" t="n">
        <f aca="false">18_DEBT!AB26+18_DEBT!AB33</f>
        <v>0</v>
      </c>
      <c r="AC9" s="34" t="n">
        <f aca="false">18_DEBT!AC26+18_DEBT!AC33</f>
        <v>0</v>
      </c>
      <c r="AD9" s="34" t="n">
        <f aca="false">18_DEBT!AD26+18_DEBT!AD33</f>
        <v>0</v>
      </c>
      <c r="AE9" s="34" t="n">
        <f aca="false">18_DEBT!AE26+18_DEBT!AE33</f>
        <v>0</v>
      </c>
      <c r="AF9" s="34" t="n">
        <f aca="false">18_DEBT!AF26+18_DEBT!AF33</f>
        <v>0</v>
      </c>
      <c r="AG9" s="34" t="n">
        <f aca="false">18_DEBT!AG26+18_DEBT!AG33</f>
        <v>0</v>
      </c>
      <c r="AH9" s="34" t="n">
        <f aca="false">18_DEBT!AH26+18_DEBT!AH33</f>
        <v>0</v>
      </c>
      <c r="AI9" s="34" t="n">
        <f aca="false">18_DEBT!AI26+18_DEBT!AI33</f>
        <v>0</v>
      </c>
      <c r="AJ9" s="34" t="n">
        <f aca="false">18_DEBT!AJ26+18_DEBT!AJ33</f>
        <v>0</v>
      </c>
      <c r="AK9" s="34" t="n">
        <f aca="false">18_DEBT!AK26+18_DEBT!AK33</f>
        <v>0</v>
      </c>
      <c r="AL9" s="34" t="n">
        <f aca="false">18_DEBT!AL26+18_DEBT!AL33</f>
        <v>0</v>
      </c>
      <c r="AM9" s="34" t="n">
        <f aca="false">18_DEBT!AM26+18_DEBT!AM33</f>
        <v>0</v>
      </c>
      <c r="AN9" s="34" t="n">
        <f aca="false">18_DEBT!AN26+18_DEBT!AN33</f>
        <v>0</v>
      </c>
      <c r="AO9" s="34" t="n">
        <f aca="false">18_DEBT!AO26+18_DEBT!AO33</f>
        <v>0</v>
      </c>
      <c r="AP9" s="34" t="n">
        <f aca="false">18_DEBT!AP26+18_DEBT!AP33</f>
        <v>0</v>
      </c>
      <c r="AQ9" s="34" t="n">
        <f aca="false">18_DEBT!AQ26+18_DEBT!AQ33</f>
        <v>0</v>
      </c>
      <c r="AR9" s="34" t="n">
        <f aca="false">18_DEBT!AR26+18_DEBT!AR33</f>
        <v>0</v>
      </c>
    </row>
    <row r="10" customFormat="false" ht="15" hidden="false" customHeight="false" outlineLevel="0" collapsed="false">
      <c r="A10" s="8" t="s">
        <v>749</v>
      </c>
      <c r="B10" s="8" t="s">
        <v>84</v>
      </c>
      <c r="C10" s="34" t="n">
        <f aca="false">SUM(20_CASH_FLOW!$E$10:$AR$10)</f>
        <v>301.258117739459</v>
      </c>
      <c r="E10" s="34" t="n">
        <f aca="false">20_CASH_FLOW!E7-20_CASH_FLOW!E8-20_CASH_FLOW!E9</f>
        <v>25.9781921353004</v>
      </c>
      <c r="F10" s="34" t="n">
        <f aca="false">20_CASH_FLOW!F7-20_CASH_FLOW!F8-20_CASH_FLOW!F9</f>
        <v>30.105188605868</v>
      </c>
      <c r="G10" s="34" t="n">
        <f aca="false">20_CASH_FLOW!G7-20_CASH_FLOW!G8-20_CASH_FLOW!G9</f>
        <v>59.2506361478481</v>
      </c>
      <c r="H10" s="34" t="n">
        <f aca="false">20_CASH_FLOW!H7-20_CASH_FLOW!H8-20_CASH_FLOW!H9</f>
        <v>77.4158769949989</v>
      </c>
      <c r="I10" s="34" t="n">
        <f aca="false">20_CASH_FLOW!I7-20_CASH_FLOW!I8-20_CASH_FLOW!I9</f>
        <v>108.508223855444</v>
      </c>
      <c r="J10" s="34" t="n">
        <f aca="false">20_CASH_FLOW!J7-20_CASH_FLOW!J8-20_CASH_FLOW!J9</f>
        <v>0</v>
      </c>
      <c r="K10" s="34" t="n">
        <f aca="false">20_CASH_FLOW!K7-20_CASH_FLOW!K8-20_CASH_FLOW!K9</f>
        <v>0</v>
      </c>
      <c r="L10" s="34" t="n">
        <f aca="false">20_CASH_FLOW!L7-20_CASH_FLOW!L8-20_CASH_FLOW!L9</f>
        <v>0</v>
      </c>
      <c r="M10" s="34" t="n">
        <f aca="false">20_CASH_FLOW!M7-20_CASH_FLOW!M8-20_CASH_FLOW!M9</f>
        <v>0</v>
      </c>
      <c r="N10" s="34" t="n">
        <f aca="false">20_CASH_FLOW!N7-20_CASH_FLOW!N8-20_CASH_FLOW!N9</f>
        <v>0</v>
      </c>
      <c r="O10" s="34" t="n">
        <f aca="false">20_CASH_FLOW!O7-20_CASH_FLOW!O8-20_CASH_FLOW!O9</f>
        <v>0</v>
      </c>
      <c r="P10" s="34" t="n">
        <f aca="false">20_CASH_FLOW!P7-20_CASH_FLOW!P8-20_CASH_FLOW!P9</f>
        <v>0</v>
      </c>
      <c r="Q10" s="34" t="n">
        <f aca="false">20_CASH_FLOW!Q7-20_CASH_FLOW!Q8-20_CASH_FLOW!Q9</f>
        <v>0</v>
      </c>
      <c r="R10" s="34" t="n">
        <f aca="false">20_CASH_FLOW!R7-20_CASH_FLOW!R8-20_CASH_FLOW!R9</f>
        <v>0</v>
      </c>
      <c r="S10" s="34" t="n">
        <f aca="false">20_CASH_FLOW!S7-20_CASH_FLOW!S8-20_CASH_FLOW!S9</f>
        <v>0</v>
      </c>
      <c r="T10" s="34" t="n">
        <f aca="false">20_CASH_FLOW!T7-20_CASH_FLOW!T8-20_CASH_FLOW!T9</f>
        <v>0</v>
      </c>
      <c r="U10" s="34" t="n">
        <f aca="false">20_CASH_FLOW!U7-20_CASH_FLOW!U8-20_CASH_FLOW!U9</f>
        <v>0</v>
      </c>
      <c r="V10" s="34" t="n">
        <f aca="false">20_CASH_FLOW!V7-20_CASH_FLOW!V8-20_CASH_FLOW!V9</f>
        <v>0</v>
      </c>
      <c r="W10" s="34" t="n">
        <f aca="false">20_CASH_FLOW!W7-20_CASH_FLOW!W8-20_CASH_FLOW!W9</f>
        <v>0</v>
      </c>
      <c r="X10" s="34" t="n">
        <f aca="false">20_CASH_FLOW!X7-20_CASH_FLOW!X8-20_CASH_FLOW!X9</f>
        <v>0</v>
      </c>
      <c r="Y10" s="34" t="n">
        <f aca="false">20_CASH_FLOW!Y7-20_CASH_FLOW!Y8-20_CASH_FLOW!Y9</f>
        <v>0</v>
      </c>
      <c r="Z10" s="34" t="n">
        <f aca="false">20_CASH_FLOW!Z7-20_CASH_FLOW!Z8-20_CASH_FLOW!Z9</f>
        <v>0</v>
      </c>
      <c r="AA10" s="34" t="n">
        <f aca="false">20_CASH_FLOW!AA7-20_CASH_FLOW!AA8-20_CASH_FLOW!AA9</f>
        <v>0</v>
      </c>
      <c r="AB10" s="34" t="n">
        <f aca="false">20_CASH_FLOW!AB7-20_CASH_FLOW!AB8-20_CASH_FLOW!AB9</f>
        <v>0</v>
      </c>
      <c r="AC10" s="34" t="n">
        <f aca="false">20_CASH_FLOW!AC7-20_CASH_FLOW!AC8-20_CASH_FLOW!AC9</f>
        <v>0</v>
      </c>
      <c r="AD10" s="34" t="n">
        <f aca="false">20_CASH_FLOW!AD7-20_CASH_FLOW!AD8-20_CASH_FLOW!AD9</f>
        <v>0</v>
      </c>
      <c r="AE10" s="34" t="n">
        <f aca="false">20_CASH_FLOW!AE7-20_CASH_FLOW!AE8-20_CASH_FLOW!AE9</f>
        <v>0</v>
      </c>
      <c r="AF10" s="34" t="n">
        <f aca="false">20_CASH_FLOW!AF7-20_CASH_FLOW!AF8-20_CASH_FLOW!AF9</f>
        <v>0</v>
      </c>
      <c r="AG10" s="34" t="n">
        <f aca="false">20_CASH_FLOW!AG7-20_CASH_FLOW!AG8-20_CASH_FLOW!AG9</f>
        <v>0</v>
      </c>
      <c r="AH10" s="34" t="n">
        <f aca="false">20_CASH_FLOW!AH7-20_CASH_FLOW!AH8-20_CASH_FLOW!AH9</f>
        <v>0</v>
      </c>
      <c r="AI10" s="34" t="n">
        <f aca="false">20_CASH_FLOW!AI7-20_CASH_FLOW!AI8-20_CASH_FLOW!AI9</f>
        <v>0</v>
      </c>
      <c r="AJ10" s="34" t="n">
        <f aca="false">20_CASH_FLOW!AJ7-20_CASH_FLOW!AJ8-20_CASH_FLOW!AJ9</f>
        <v>0</v>
      </c>
      <c r="AK10" s="34" t="n">
        <f aca="false">20_CASH_FLOW!AK7-20_CASH_FLOW!AK8-20_CASH_FLOW!AK9</f>
        <v>0</v>
      </c>
      <c r="AL10" s="34" t="n">
        <f aca="false">20_CASH_FLOW!AL7-20_CASH_FLOW!AL8-20_CASH_FLOW!AL9</f>
        <v>0</v>
      </c>
      <c r="AM10" s="34" t="n">
        <f aca="false">20_CASH_FLOW!AM7-20_CASH_FLOW!AM8-20_CASH_FLOW!AM9</f>
        <v>0</v>
      </c>
      <c r="AN10" s="34" t="n">
        <f aca="false">20_CASH_FLOW!AN7-20_CASH_FLOW!AN8-20_CASH_FLOW!AN9</f>
        <v>0</v>
      </c>
      <c r="AO10" s="34" t="n">
        <f aca="false">20_CASH_FLOW!AO7-20_CASH_FLOW!AO8-20_CASH_FLOW!AO9</f>
        <v>0</v>
      </c>
      <c r="AP10" s="34" t="n">
        <f aca="false">20_CASH_FLOW!AP7-20_CASH_FLOW!AP8-20_CASH_FLOW!AP9</f>
        <v>0</v>
      </c>
      <c r="AQ10" s="34" t="n">
        <f aca="false">20_CASH_FLOW!AQ7-20_CASH_FLOW!AQ8-20_CASH_FLOW!AQ9</f>
        <v>0</v>
      </c>
      <c r="AR10" s="34" t="n">
        <f aca="false">20_CASH_FLOW!AR7-20_CASH_FLOW!AR8-20_CASH_FLOW!AR9</f>
        <v>0</v>
      </c>
    </row>
    <row r="11" customFormat="false" ht="15" hidden="false" customHeight="false" outlineLevel="0" collapsed="false">
      <c r="A11" s="8" t="s">
        <v>750</v>
      </c>
      <c r="B11" s="8" t="s">
        <v>84</v>
      </c>
      <c r="C11" s="34" t="n">
        <f aca="false">SUM(20_CASH_FLOW!$E$11:$AR$11)</f>
        <v>111.005572917934</v>
      </c>
      <c r="E11" s="34" t="n">
        <f aca="false">IF(19_EQUITY!$C$6&gt;0,20_CASH_FLOW!E10*(17_PROJECT_FINANCE!$C$14+17_PROJECT_FINANCE!$C$18)/19_EQUITY!$C$6,0)</f>
        <v>9.57227019470778</v>
      </c>
      <c r="F11" s="34" t="n">
        <f aca="false">IF(19_EQUITY!$C$6&gt;0,20_CASH_FLOW!F10*(17_PROJECT_FINANCE!$C$14+17_PROJECT_FINANCE!$C$18)/19_EQUITY!$C$6,0)</f>
        <v>11.0929582049869</v>
      </c>
      <c r="G11" s="34" t="n">
        <f aca="false">IF(19_EQUITY!$C$6&gt;0,20_CASH_FLOW!G10*(17_PROJECT_FINANCE!$C$14+17_PROJECT_FINANCE!$C$18)/19_EQUITY!$C$6,0)</f>
        <v>21.8322774526266</v>
      </c>
      <c r="H11" s="34" t="n">
        <f aca="false">IF(19_EQUITY!$C$6&gt;0,20_CASH_FLOW!H10*(17_PROJECT_FINANCE!$C$14+17_PROJECT_FINANCE!$C$18)/19_EQUITY!$C$6,0)</f>
        <v>28.5256837002688</v>
      </c>
      <c r="I11" s="34" t="n">
        <f aca="false">IF(19_EQUITY!$C$6&gt;0,20_CASH_FLOW!I10*(17_PROJECT_FINANCE!$C$14+17_PROJECT_FINANCE!$C$18)/19_EQUITY!$C$6,0)</f>
        <v>39.9823833653438</v>
      </c>
      <c r="J11" s="34" t="n">
        <f aca="false">IF(19_EQUITY!$C$6&gt;0,20_CASH_FLOW!J10*(17_PROJECT_FINANCE!$C$14+17_PROJECT_FINANCE!$C$18)/19_EQUITY!$C$6,0)</f>
        <v>0</v>
      </c>
      <c r="K11" s="34" t="n">
        <f aca="false">IF(19_EQUITY!$C$6&gt;0,20_CASH_FLOW!K10*(17_PROJECT_FINANCE!$C$14+17_PROJECT_FINANCE!$C$18)/19_EQUITY!$C$6,0)</f>
        <v>0</v>
      </c>
      <c r="L11" s="34" t="n">
        <f aca="false">IF(19_EQUITY!$C$6&gt;0,20_CASH_FLOW!L10*(17_PROJECT_FINANCE!$C$14+17_PROJECT_FINANCE!$C$18)/19_EQUITY!$C$6,0)</f>
        <v>0</v>
      </c>
      <c r="M11" s="34" t="n">
        <f aca="false">IF(19_EQUITY!$C$6&gt;0,20_CASH_FLOW!M10*(17_PROJECT_FINANCE!$C$14+17_PROJECT_FINANCE!$C$18)/19_EQUITY!$C$6,0)</f>
        <v>0</v>
      </c>
      <c r="N11" s="34" t="n">
        <f aca="false">IF(19_EQUITY!$C$6&gt;0,20_CASH_FLOW!N10*(17_PROJECT_FINANCE!$C$14+17_PROJECT_FINANCE!$C$18)/19_EQUITY!$C$6,0)</f>
        <v>0</v>
      </c>
      <c r="O11" s="34" t="n">
        <f aca="false">IF(19_EQUITY!$C$6&gt;0,20_CASH_FLOW!O10*(17_PROJECT_FINANCE!$C$14+17_PROJECT_FINANCE!$C$18)/19_EQUITY!$C$6,0)</f>
        <v>0</v>
      </c>
      <c r="P11" s="34" t="n">
        <f aca="false">IF(19_EQUITY!$C$6&gt;0,20_CASH_FLOW!P10*(17_PROJECT_FINANCE!$C$14+17_PROJECT_FINANCE!$C$18)/19_EQUITY!$C$6,0)</f>
        <v>0</v>
      </c>
      <c r="Q11" s="34" t="n">
        <f aca="false">IF(19_EQUITY!$C$6&gt;0,20_CASH_FLOW!Q10*(17_PROJECT_FINANCE!$C$14+17_PROJECT_FINANCE!$C$18)/19_EQUITY!$C$6,0)</f>
        <v>0</v>
      </c>
      <c r="R11" s="34" t="n">
        <f aca="false">IF(19_EQUITY!$C$6&gt;0,20_CASH_FLOW!R10*(17_PROJECT_FINANCE!$C$14+17_PROJECT_FINANCE!$C$18)/19_EQUITY!$C$6,0)</f>
        <v>0</v>
      </c>
      <c r="S11" s="34" t="n">
        <f aca="false">IF(19_EQUITY!$C$6&gt;0,20_CASH_FLOW!S10*(17_PROJECT_FINANCE!$C$14+17_PROJECT_FINANCE!$C$18)/19_EQUITY!$C$6,0)</f>
        <v>0</v>
      </c>
      <c r="T11" s="34" t="n">
        <f aca="false">IF(19_EQUITY!$C$6&gt;0,20_CASH_FLOW!T10*(17_PROJECT_FINANCE!$C$14+17_PROJECT_FINANCE!$C$18)/19_EQUITY!$C$6,0)</f>
        <v>0</v>
      </c>
      <c r="U11" s="34" t="n">
        <f aca="false">IF(19_EQUITY!$C$6&gt;0,20_CASH_FLOW!U10*(17_PROJECT_FINANCE!$C$14+17_PROJECT_FINANCE!$C$18)/19_EQUITY!$C$6,0)</f>
        <v>0</v>
      </c>
      <c r="V11" s="34" t="n">
        <f aca="false">IF(19_EQUITY!$C$6&gt;0,20_CASH_FLOW!V10*(17_PROJECT_FINANCE!$C$14+17_PROJECT_FINANCE!$C$18)/19_EQUITY!$C$6,0)</f>
        <v>0</v>
      </c>
      <c r="W11" s="34" t="n">
        <f aca="false">IF(19_EQUITY!$C$6&gt;0,20_CASH_FLOW!W10*(17_PROJECT_FINANCE!$C$14+17_PROJECT_FINANCE!$C$18)/19_EQUITY!$C$6,0)</f>
        <v>0</v>
      </c>
      <c r="X11" s="34" t="n">
        <f aca="false">IF(19_EQUITY!$C$6&gt;0,20_CASH_FLOW!X10*(17_PROJECT_FINANCE!$C$14+17_PROJECT_FINANCE!$C$18)/19_EQUITY!$C$6,0)</f>
        <v>0</v>
      </c>
      <c r="Y11" s="34" t="n">
        <f aca="false">IF(19_EQUITY!$C$6&gt;0,20_CASH_FLOW!Y10*(17_PROJECT_FINANCE!$C$14+17_PROJECT_FINANCE!$C$18)/19_EQUITY!$C$6,0)</f>
        <v>0</v>
      </c>
      <c r="Z11" s="34" t="n">
        <f aca="false">IF(19_EQUITY!$C$6&gt;0,20_CASH_FLOW!Z10*(17_PROJECT_FINANCE!$C$14+17_PROJECT_FINANCE!$C$18)/19_EQUITY!$C$6,0)</f>
        <v>0</v>
      </c>
      <c r="AA11" s="34" t="n">
        <f aca="false">IF(19_EQUITY!$C$6&gt;0,20_CASH_FLOW!AA10*(17_PROJECT_FINANCE!$C$14+17_PROJECT_FINANCE!$C$18)/19_EQUITY!$C$6,0)</f>
        <v>0</v>
      </c>
      <c r="AB11" s="34" t="n">
        <f aca="false">IF(19_EQUITY!$C$6&gt;0,20_CASH_FLOW!AB10*(17_PROJECT_FINANCE!$C$14+17_PROJECT_FINANCE!$C$18)/19_EQUITY!$C$6,0)</f>
        <v>0</v>
      </c>
      <c r="AC11" s="34" t="n">
        <f aca="false">IF(19_EQUITY!$C$6&gt;0,20_CASH_FLOW!AC10*(17_PROJECT_FINANCE!$C$14+17_PROJECT_FINANCE!$C$18)/19_EQUITY!$C$6,0)</f>
        <v>0</v>
      </c>
      <c r="AD11" s="34" t="n">
        <f aca="false">IF(19_EQUITY!$C$6&gt;0,20_CASH_FLOW!AD10*(17_PROJECT_FINANCE!$C$14+17_PROJECT_FINANCE!$C$18)/19_EQUITY!$C$6,0)</f>
        <v>0</v>
      </c>
      <c r="AE11" s="34" t="n">
        <f aca="false">IF(19_EQUITY!$C$6&gt;0,20_CASH_FLOW!AE10*(17_PROJECT_FINANCE!$C$14+17_PROJECT_FINANCE!$C$18)/19_EQUITY!$C$6,0)</f>
        <v>0</v>
      </c>
      <c r="AF11" s="34" t="n">
        <f aca="false">IF(19_EQUITY!$C$6&gt;0,20_CASH_FLOW!AF10*(17_PROJECT_FINANCE!$C$14+17_PROJECT_FINANCE!$C$18)/19_EQUITY!$C$6,0)</f>
        <v>0</v>
      </c>
      <c r="AG11" s="34" t="n">
        <f aca="false">IF(19_EQUITY!$C$6&gt;0,20_CASH_FLOW!AG10*(17_PROJECT_FINANCE!$C$14+17_PROJECT_FINANCE!$C$18)/19_EQUITY!$C$6,0)</f>
        <v>0</v>
      </c>
      <c r="AH11" s="34" t="n">
        <f aca="false">IF(19_EQUITY!$C$6&gt;0,20_CASH_FLOW!AH10*(17_PROJECT_FINANCE!$C$14+17_PROJECT_FINANCE!$C$18)/19_EQUITY!$C$6,0)</f>
        <v>0</v>
      </c>
      <c r="AI11" s="34" t="n">
        <f aca="false">IF(19_EQUITY!$C$6&gt;0,20_CASH_FLOW!AI10*(17_PROJECT_FINANCE!$C$14+17_PROJECT_FINANCE!$C$18)/19_EQUITY!$C$6,0)</f>
        <v>0</v>
      </c>
      <c r="AJ11" s="34" t="n">
        <f aca="false">IF(19_EQUITY!$C$6&gt;0,20_CASH_FLOW!AJ10*(17_PROJECT_FINANCE!$C$14+17_PROJECT_FINANCE!$C$18)/19_EQUITY!$C$6,0)</f>
        <v>0</v>
      </c>
      <c r="AK11" s="34" t="n">
        <f aca="false">IF(19_EQUITY!$C$6&gt;0,20_CASH_FLOW!AK10*(17_PROJECT_FINANCE!$C$14+17_PROJECT_FINANCE!$C$18)/19_EQUITY!$C$6,0)</f>
        <v>0</v>
      </c>
      <c r="AL11" s="34" t="n">
        <f aca="false">IF(19_EQUITY!$C$6&gt;0,20_CASH_FLOW!AL10*(17_PROJECT_FINANCE!$C$14+17_PROJECT_FINANCE!$C$18)/19_EQUITY!$C$6,0)</f>
        <v>0</v>
      </c>
      <c r="AM11" s="34" t="n">
        <f aca="false">IF(19_EQUITY!$C$6&gt;0,20_CASH_FLOW!AM10*(17_PROJECT_FINANCE!$C$14+17_PROJECT_FINANCE!$C$18)/19_EQUITY!$C$6,0)</f>
        <v>0</v>
      </c>
      <c r="AN11" s="34" t="n">
        <f aca="false">IF(19_EQUITY!$C$6&gt;0,20_CASH_FLOW!AN10*(17_PROJECT_FINANCE!$C$14+17_PROJECT_FINANCE!$C$18)/19_EQUITY!$C$6,0)</f>
        <v>0</v>
      </c>
      <c r="AO11" s="34" t="n">
        <f aca="false">IF(19_EQUITY!$C$6&gt;0,20_CASH_FLOW!AO10*(17_PROJECT_FINANCE!$C$14+17_PROJECT_FINANCE!$C$18)/19_EQUITY!$C$6,0)</f>
        <v>0</v>
      </c>
      <c r="AP11" s="34" t="n">
        <f aca="false">IF(19_EQUITY!$C$6&gt;0,20_CASH_FLOW!AP10*(17_PROJECT_FINANCE!$C$14+17_PROJECT_FINANCE!$C$18)/19_EQUITY!$C$6,0)</f>
        <v>0</v>
      </c>
      <c r="AQ11" s="34" t="n">
        <f aca="false">IF(19_EQUITY!$C$6&gt;0,20_CASH_FLOW!AQ10*(17_PROJECT_FINANCE!$C$14+17_PROJECT_FINANCE!$C$18)/19_EQUITY!$C$6,0)</f>
        <v>0</v>
      </c>
      <c r="AR11" s="34" t="n">
        <f aca="false">IF(19_EQUITY!$C$6&gt;0,20_CASH_FLOW!AR10*(17_PROJECT_FINANCE!$C$14+17_PROJECT_FINANCE!$C$18)/19_EQUITY!$C$6,0)</f>
        <v>0</v>
      </c>
    </row>
    <row r="12" customFormat="false" ht="15" hidden="false" customHeight="false" outlineLevel="0" collapsed="false">
      <c r="A12" s="8" t="s">
        <v>751</v>
      </c>
      <c r="B12" s="8" t="s">
        <v>84</v>
      </c>
      <c r="C12" s="34" t="n">
        <f aca="false">SUM(20_CASH_FLOW!$E$12:$AR$12)</f>
        <v>190.252544821525</v>
      </c>
      <c r="E12" s="34" t="n">
        <f aca="false">20_CASH_FLOW!E10-20_CASH_FLOW!E11</f>
        <v>16.4059219405927</v>
      </c>
      <c r="F12" s="34" t="n">
        <f aca="false">20_CASH_FLOW!F10-20_CASH_FLOW!F11</f>
        <v>19.0122304008811</v>
      </c>
      <c r="G12" s="34" t="n">
        <f aca="false">20_CASH_FLOW!G10-20_CASH_FLOW!G11</f>
        <v>37.4183586952215</v>
      </c>
      <c r="H12" s="34" t="n">
        <f aca="false">20_CASH_FLOW!H10-20_CASH_FLOW!H11</f>
        <v>48.8901932947301</v>
      </c>
      <c r="I12" s="34" t="n">
        <f aca="false">20_CASH_FLOW!I10-20_CASH_FLOW!I11</f>
        <v>68.5258404900997</v>
      </c>
      <c r="J12" s="34" t="n">
        <f aca="false">20_CASH_FLOW!J10-20_CASH_FLOW!J11</f>
        <v>0</v>
      </c>
      <c r="K12" s="34" t="n">
        <f aca="false">20_CASH_FLOW!K10-20_CASH_FLOW!K11</f>
        <v>0</v>
      </c>
      <c r="L12" s="34" t="n">
        <f aca="false">20_CASH_FLOW!L10-20_CASH_FLOW!L11</f>
        <v>0</v>
      </c>
      <c r="M12" s="34" t="n">
        <f aca="false">20_CASH_FLOW!M10-20_CASH_FLOW!M11</f>
        <v>0</v>
      </c>
      <c r="N12" s="34" t="n">
        <f aca="false">20_CASH_FLOW!N10-20_CASH_FLOW!N11</f>
        <v>0</v>
      </c>
      <c r="O12" s="34" t="n">
        <f aca="false">20_CASH_FLOW!O10-20_CASH_FLOW!O11</f>
        <v>0</v>
      </c>
      <c r="P12" s="34" t="n">
        <f aca="false">20_CASH_FLOW!P10-20_CASH_FLOW!P11</f>
        <v>0</v>
      </c>
      <c r="Q12" s="34" t="n">
        <f aca="false">20_CASH_FLOW!Q10-20_CASH_FLOW!Q11</f>
        <v>0</v>
      </c>
      <c r="R12" s="34" t="n">
        <f aca="false">20_CASH_FLOW!R10-20_CASH_FLOW!R11</f>
        <v>0</v>
      </c>
      <c r="S12" s="34" t="n">
        <f aca="false">20_CASH_FLOW!S10-20_CASH_FLOW!S11</f>
        <v>0</v>
      </c>
      <c r="T12" s="34" t="n">
        <f aca="false">20_CASH_FLOW!T10-20_CASH_FLOW!T11</f>
        <v>0</v>
      </c>
      <c r="U12" s="34" t="n">
        <f aca="false">20_CASH_FLOW!U10-20_CASH_FLOW!U11</f>
        <v>0</v>
      </c>
      <c r="V12" s="34" t="n">
        <f aca="false">20_CASH_FLOW!V10-20_CASH_FLOW!V11</f>
        <v>0</v>
      </c>
      <c r="W12" s="34" t="n">
        <f aca="false">20_CASH_FLOW!W10-20_CASH_FLOW!W11</f>
        <v>0</v>
      </c>
      <c r="X12" s="34" t="n">
        <f aca="false">20_CASH_FLOW!X10-20_CASH_FLOW!X11</f>
        <v>0</v>
      </c>
      <c r="Y12" s="34" t="n">
        <f aca="false">20_CASH_FLOW!Y10-20_CASH_FLOW!Y11</f>
        <v>0</v>
      </c>
      <c r="Z12" s="34" t="n">
        <f aca="false">20_CASH_FLOW!Z10-20_CASH_FLOW!Z11</f>
        <v>0</v>
      </c>
      <c r="AA12" s="34" t="n">
        <f aca="false">20_CASH_FLOW!AA10-20_CASH_FLOW!AA11</f>
        <v>0</v>
      </c>
      <c r="AB12" s="34" t="n">
        <f aca="false">20_CASH_FLOW!AB10-20_CASH_FLOW!AB11</f>
        <v>0</v>
      </c>
      <c r="AC12" s="34" t="n">
        <f aca="false">20_CASH_FLOW!AC10-20_CASH_FLOW!AC11</f>
        <v>0</v>
      </c>
      <c r="AD12" s="34" t="n">
        <f aca="false">20_CASH_FLOW!AD10-20_CASH_FLOW!AD11</f>
        <v>0</v>
      </c>
      <c r="AE12" s="34" t="n">
        <f aca="false">20_CASH_FLOW!AE10-20_CASH_FLOW!AE11</f>
        <v>0</v>
      </c>
      <c r="AF12" s="34" t="n">
        <f aca="false">20_CASH_FLOW!AF10-20_CASH_FLOW!AF11</f>
        <v>0</v>
      </c>
      <c r="AG12" s="34" t="n">
        <f aca="false">20_CASH_FLOW!AG10-20_CASH_FLOW!AG11</f>
        <v>0</v>
      </c>
      <c r="AH12" s="34" t="n">
        <f aca="false">20_CASH_FLOW!AH10-20_CASH_FLOW!AH11</f>
        <v>0</v>
      </c>
      <c r="AI12" s="34" t="n">
        <f aca="false">20_CASH_FLOW!AI10-20_CASH_FLOW!AI11</f>
        <v>0</v>
      </c>
      <c r="AJ12" s="34" t="n">
        <f aca="false">20_CASH_FLOW!AJ10-20_CASH_FLOW!AJ11</f>
        <v>0</v>
      </c>
      <c r="AK12" s="34" t="n">
        <f aca="false">20_CASH_FLOW!AK10-20_CASH_FLOW!AK11</f>
        <v>0</v>
      </c>
      <c r="AL12" s="34" t="n">
        <f aca="false">20_CASH_FLOW!AL10-20_CASH_FLOW!AL11</f>
        <v>0</v>
      </c>
      <c r="AM12" s="34" t="n">
        <f aca="false">20_CASH_FLOW!AM10-20_CASH_FLOW!AM11</f>
        <v>0</v>
      </c>
      <c r="AN12" s="34" t="n">
        <f aca="false">20_CASH_FLOW!AN10-20_CASH_FLOW!AN11</f>
        <v>0</v>
      </c>
      <c r="AO12" s="34" t="n">
        <f aca="false">20_CASH_FLOW!AO10-20_CASH_FLOW!AO11</f>
        <v>0</v>
      </c>
      <c r="AP12" s="34" t="n">
        <f aca="false">20_CASH_FLOW!AP10-20_CASH_FLOW!AP11</f>
        <v>0</v>
      </c>
      <c r="AQ12" s="34" t="n">
        <f aca="false">20_CASH_FLOW!AQ10-20_CASH_FLOW!AQ11</f>
        <v>0</v>
      </c>
      <c r="AR12" s="34" t="n">
        <f aca="false">20_CASH_FLOW!AR10-20_CASH_FLOW!AR11</f>
        <v>0</v>
      </c>
    </row>
    <row r="13" customFormat="false" ht="15" hidden="false" customHeight="false" outlineLevel="0" collapsed="false">
      <c r="A13" s="6" t="s">
        <v>752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</row>
    <row r="14" customFormat="false" ht="15" hidden="false" customHeight="false" outlineLevel="0" collapsed="false">
      <c r="A14" s="8" t="s">
        <v>753</v>
      </c>
      <c r="B14" s="8" t="s">
        <v>84</v>
      </c>
      <c r="C14" s="34" t="n">
        <f aca="false">SUM(20_CASH_FLOW!$E$14:$AR$14)</f>
        <v>6598.57148467961</v>
      </c>
      <c r="E14" s="57" t="n">
        <f aca="false">16_REVENUE!E25</f>
        <v>0</v>
      </c>
      <c r="F14" s="57" t="n">
        <f aca="false">16_REVENUE!F25</f>
        <v>0</v>
      </c>
      <c r="G14" s="57" t="n">
        <f aca="false">16_REVENUE!G25</f>
        <v>0</v>
      </c>
      <c r="H14" s="57" t="n">
        <f aca="false">16_REVENUE!H25</f>
        <v>0</v>
      </c>
      <c r="I14" s="57" t="n">
        <f aca="false">16_REVENUE!I25</f>
        <v>0</v>
      </c>
      <c r="J14" s="57" t="n">
        <f aca="false">16_REVENUE!J25</f>
        <v>152.637552410729</v>
      </c>
      <c r="K14" s="57" t="n">
        <f aca="false">16_REVENUE!K25</f>
        <v>181.917062892874</v>
      </c>
      <c r="L14" s="57" t="n">
        <f aca="false">16_REVENUE!L25</f>
        <v>184.307404150732</v>
      </c>
      <c r="M14" s="57" t="n">
        <f aca="false">16_REVENUE!M25</f>
        <v>186.745552233746</v>
      </c>
      <c r="N14" s="57" t="n">
        <f aca="false">16_REVENUE!N25</f>
        <v>189.232463278421</v>
      </c>
      <c r="O14" s="57" t="n">
        <f aca="false">16_REVENUE!O25</f>
        <v>191.76911254399</v>
      </c>
      <c r="P14" s="57" t="n">
        <f aca="false">16_REVENUE!P25</f>
        <v>194.35649479487</v>
      </c>
      <c r="Q14" s="57" t="n">
        <f aca="false">16_REVENUE!Q25</f>
        <v>196.995624690767</v>
      </c>
      <c r="R14" s="57" t="n">
        <f aca="false">16_REVENUE!R25</f>
        <v>199.687537184582</v>
      </c>
      <c r="S14" s="57" t="n">
        <f aca="false">16_REVENUE!S25</f>
        <v>202.433287928274</v>
      </c>
      <c r="T14" s="57" t="n">
        <f aca="false">16_REVENUE!T25</f>
        <v>205.233953686839</v>
      </c>
      <c r="U14" s="57" t="n">
        <f aca="false">16_REVENUE!U25</f>
        <v>208.090632760576</v>
      </c>
      <c r="V14" s="57" t="n">
        <f aca="false">16_REVENUE!V25</f>
        <v>211.004445415788</v>
      </c>
      <c r="W14" s="57" t="n">
        <f aca="false">16_REVENUE!W25</f>
        <v>213.976534324103</v>
      </c>
      <c r="X14" s="57" t="n">
        <f aca="false">16_REVENUE!X25</f>
        <v>217.008065010586</v>
      </c>
      <c r="Y14" s="57" t="n">
        <f aca="false">16_REVENUE!Y25</f>
        <v>220.100226310797</v>
      </c>
      <c r="Z14" s="57" t="n">
        <f aca="false">16_REVENUE!Z25</f>
        <v>223.254230837013</v>
      </c>
      <c r="AA14" s="57" t="n">
        <f aca="false">16_REVENUE!AA25</f>
        <v>226.471315453754</v>
      </c>
      <c r="AB14" s="57" t="n">
        <f aca="false">16_REVENUE!AB25</f>
        <v>229.752741762829</v>
      </c>
      <c r="AC14" s="57" t="n">
        <f aca="false">16_REVENUE!AC25</f>
        <v>233.099796598085</v>
      </c>
      <c r="AD14" s="57" t="n">
        <f aca="false">16_REVENUE!AD25</f>
        <v>236.513792530047</v>
      </c>
      <c r="AE14" s="57" t="n">
        <f aca="false">16_REVENUE!AE25</f>
        <v>239.996068380648</v>
      </c>
      <c r="AF14" s="57" t="n">
        <f aca="false">16_REVENUE!AF25</f>
        <v>243.547989748261</v>
      </c>
      <c r="AG14" s="57" t="n">
        <f aca="false">16_REVENUE!AG25</f>
        <v>247.170949543226</v>
      </c>
      <c r="AH14" s="57" t="n">
        <f aca="false">16_REVENUE!AH25</f>
        <v>250.866368534091</v>
      </c>
      <c r="AI14" s="57" t="n">
        <f aca="false">16_REVENUE!AI25</f>
        <v>254.635695904772</v>
      </c>
      <c r="AJ14" s="57" t="n">
        <f aca="false">16_REVENUE!AJ25</f>
        <v>258.480409822868</v>
      </c>
      <c r="AK14" s="57" t="n">
        <f aca="false">16_REVENUE!AK25</f>
        <v>262.402018019325</v>
      </c>
      <c r="AL14" s="57" t="n">
        <f aca="false">16_REVENUE!AL25</f>
        <v>266.402058379712</v>
      </c>
      <c r="AM14" s="57" t="n">
        <f aca="false">16_REVENUE!AM25</f>
        <v>270.482099547306</v>
      </c>
      <c r="AN14" s="57" t="n">
        <f aca="false">16_REVENUE!AN25</f>
        <v>0</v>
      </c>
      <c r="AO14" s="57" t="n">
        <f aca="false">16_REVENUE!AO25</f>
        <v>0</v>
      </c>
      <c r="AP14" s="57" t="n">
        <f aca="false">16_REVENUE!AP25</f>
        <v>0</v>
      </c>
      <c r="AQ14" s="57" t="n">
        <f aca="false">16_REVENUE!AQ25</f>
        <v>0</v>
      </c>
      <c r="AR14" s="57" t="n">
        <f aca="false">16_REVENUE!AR25</f>
        <v>0</v>
      </c>
    </row>
    <row r="15" customFormat="false" ht="15" hidden="false" customHeight="false" outlineLevel="0" collapsed="false">
      <c r="A15" s="8" t="s">
        <v>754</v>
      </c>
      <c r="B15" s="8" t="s">
        <v>84</v>
      </c>
      <c r="C15" s="34" t="n">
        <f aca="false">SUM(20_CASH_FLOW!$E$15:$AR$15)</f>
        <v>-1134.94285845584</v>
      </c>
      <c r="E15" s="34" t="n">
        <f aca="false">-07_OPEX!E20</f>
        <v>-0</v>
      </c>
      <c r="F15" s="34" t="n">
        <f aca="false">-07_OPEX!F20</f>
        <v>-0</v>
      </c>
      <c r="G15" s="34" t="n">
        <f aca="false">-07_OPEX!G20</f>
        <v>-0</v>
      </c>
      <c r="H15" s="34" t="n">
        <f aca="false">-07_OPEX!H20</f>
        <v>-0</v>
      </c>
      <c r="I15" s="34" t="n">
        <f aca="false">-07_OPEX!I20</f>
        <v>-0</v>
      </c>
      <c r="J15" s="34" t="n">
        <f aca="false">-07_OPEX!J20</f>
        <v>-27.7017835760644</v>
      </c>
      <c r="K15" s="34" t="n">
        <f aca="false">-07_OPEX!K20</f>
        <v>-28.542853710975</v>
      </c>
      <c r="L15" s="34" t="n">
        <f aca="false">-07_OPEX!L20</f>
        <v>-29.1137107851945</v>
      </c>
      <c r="M15" s="34" t="n">
        <f aca="false">-07_OPEX!M20</f>
        <v>-29.6959850008984</v>
      </c>
      <c r="N15" s="34" t="n">
        <f aca="false">-07_OPEX!N20</f>
        <v>-30.2899047009164</v>
      </c>
      <c r="O15" s="34" t="n">
        <f aca="false">-07_OPEX!O20</f>
        <v>-30.8957027949347</v>
      </c>
      <c r="P15" s="34" t="n">
        <f aca="false">-07_OPEX!P20</f>
        <v>-31.5136168508334</v>
      </c>
      <c r="Q15" s="34" t="n">
        <f aca="false">-07_OPEX!Q20</f>
        <v>-32.1438891878501</v>
      </c>
      <c r="R15" s="34" t="n">
        <f aca="false">-07_OPEX!R20</f>
        <v>-32.7867669716071</v>
      </c>
      <c r="S15" s="34" t="n">
        <f aca="false">-07_OPEX!S20</f>
        <v>-33.4425023110392</v>
      </c>
      <c r="T15" s="34" t="n">
        <f aca="false">-07_OPEX!T20</f>
        <v>-34.11135235726</v>
      </c>
      <c r="U15" s="34" t="n">
        <f aca="false">-07_OPEX!U20</f>
        <v>-34.7935794044052</v>
      </c>
      <c r="V15" s="34" t="n">
        <f aca="false">-07_OPEX!V20</f>
        <v>-35.4894509924933</v>
      </c>
      <c r="W15" s="34" t="n">
        <f aca="false">-07_OPEX!W20</f>
        <v>-36.1992400123432</v>
      </c>
      <c r="X15" s="34" t="n">
        <f aca="false">-07_OPEX!X20</f>
        <v>-36.9232248125901</v>
      </c>
      <c r="Y15" s="34" t="n">
        <f aca="false">-07_OPEX!Y20</f>
        <v>-37.6616893088419</v>
      </c>
      <c r="Z15" s="34" t="n">
        <f aca="false">-07_OPEX!Z20</f>
        <v>-38.4149230950187</v>
      </c>
      <c r="AA15" s="34" t="n">
        <f aca="false">-07_OPEX!AA20</f>
        <v>-39.1832215569191</v>
      </c>
      <c r="AB15" s="34" t="n">
        <f aca="false">-07_OPEX!AB20</f>
        <v>-39.9668859880575</v>
      </c>
      <c r="AC15" s="34" t="n">
        <f aca="false">-07_OPEX!AC20</f>
        <v>-40.7662237078186</v>
      </c>
      <c r="AD15" s="34" t="n">
        <f aca="false">-07_OPEX!AD20</f>
        <v>-41.581548181975</v>
      </c>
      <c r="AE15" s="34" t="n">
        <f aca="false">-07_OPEX!AE20</f>
        <v>-42.4131791456145</v>
      </c>
      <c r="AF15" s="34" t="n">
        <f aca="false">-07_OPEX!AF20</f>
        <v>-43.2614427285268</v>
      </c>
      <c r="AG15" s="34" t="n">
        <f aca="false">-07_OPEX!AG20</f>
        <v>-44.1266715830973</v>
      </c>
      <c r="AH15" s="34" t="n">
        <f aca="false">-07_OPEX!AH20</f>
        <v>-45.0092050147593</v>
      </c>
      <c r="AI15" s="34" t="n">
        <f aca="false">-07_OPEX!AI20</f>
        <v>-45.9093891150544</v>
      </c>
      <c r="AJ15" s="34" t="n">
        <f aca="false">-07_OPEX!AJ20</f>
        <v>-46.8275768973555</v>
      </c>
      <c r="AK15" s="34" t="n">
        <f aca="false">-07_OPEX!AK20</f>
        <v>-47.7641284353026</v>
      </c>
      <c r="AL15" s="34" t="n">
        <f aca="false">-07_OPEX!AL20</f>
        <v>-48.7194110040087</v>
      </c>
      <c r="AM15" s="34" t="n">
        <f aca="false">-07_OPEX!AM20</f>
        <v>-49.6937992240889</v>
      </c>
      <c r="AN15" s="34" t="n">
        <f aca="false">-07_OPEX!AN20</f>
        <v>-0</v>
      </c>
      <c r="AO15" s="34" t="n">
        <f aca="false">-07_OPEX!AO20</f>
        <v>-0</v>
      </c>
      <c r="AP15" s="34" t="n">
        <f aca="false">-07_OPEX!AP20</f>
        <v>-0</v>
      </c>
      <c r="AQ15" s="34" t="n">
        <f aca="false">-07_OPEX!AQ20</f>
        <v>-0</v>
      </c>
      <c r="AR15" s="34" t="n">
        <f aca="false">-07_OPEX!AR20</f>
        <v>-0</v>
      </c>
    </row>
    <row r="16" customFormat="false" ht="15" hidden="false" customHeight="false" outlineLevel="0" collapsed="false">
      <c r="A16" s="8" t="s">
        <v>755</v>
      </c>
      <c r="B16" s="8" t="s">
        <v>84</v>
      </c>
      <c r="C16" s="34" t="n">
        <f aca="false">SUM(20_CASH_FLOW!$E$16:$AR$16)</f>
        <v>-189.56506006346</v>
      </c>
      <c r="E16" s="34" t="n">
        <f aca="false">-07_OPEX!E21</f>
        <v>-0</v>
      </c>
      <c r="F16" s="34" t="n">
        <f aca="false">-07_OPEX!F21</f>
        <v>-0</v>
      </c>
      <c r="G16" s="34" t="n">
        <f aca="false">-07_OPEX!G21</f>
        <v>-0</v>
      </c>
      <c r="H16" s="34" t="n">
        <f aca="false">-07_OPEX!H21</f>
        <v>-0</v>
      </c>
      <c r="I16" s="34" t="n">
        <f aca="false">-07_OPEX!I21</f>
        <v>-0</v>
      </c>
      <c r="J16" s="34" t="n">
        <f aca="false">-07_OPEX!J21</f>
        <v>-3.9865897692966</v>
      </c>
      <c r="K16" s="34" t="n">
        <f aca="false">-07_OPEX!K21</f>
        <v>-4.78390772315592</v>
      </c>
      <c r="L16" s="34" t="n">
        <f aca="false">-07_OPEX!L21</f>
        <v>-4.87958587761904</v>
      </c>
      <c r="M16" s="34" t="n">
        <f aca="false">-07_OPEX!M21</f>
        <v>-4.97717759517142</v>
      </c>
      <c r="N16" s="34" t="n">
        <f aca="false">-07_OPEX!N21</f>
        <v>-5.07672114707485</v>
      </c>
      <c r="O16" s="34" t="n">
        <f aca="false">-07_OPEX!O21</f>
        <v>-5.17825557001635</v>
      </c>
      <c r="P16" s="34" t="n">
        <f aca="false">-07_OPEX!P21</f>
        <v>-5.28182068141667</v>
      </c>
      <c r="Q16" s="34" t="n">
        <f aca="false">-07_OPEX!Q21</f>
        <v>-5.38745709504501</v>
      </c>
      <c r="R16" s="34" t="n">
        <f aca="false">-07_OPEX!R21</f>
        <v>-5.49520623694591</v>
      </c>
      <c r="S16" s="34" t="n">
        <f aca="false">-07_OPEX!S21</f>
        <v>-5.60511036168483</v>
      </c>
      <c r="T16" s="34" t="n">
        <f aca="false">-07_OPEX!T21</f>
        <v>-5.71721256891852</v>
      </c>
      <c r="U16" s="34" t="n">
        <f aca="false">-07_OPEX!U21</f>
        <v>-5.83155682029689</v>
      </c>
      <c r="V16" s="34" t="n">
        <f aca="false">-07_OPEX!V21</f>
        <v>-5.94818795670283</v>
      </c>
      <c r="W16" s="34" t="n">
        <f aca="false">-07_OPEX!W21</f>
        <v>-6.06715171583689</v>
      </c>
      <c r="X16" s="34" t="n">
        <f aca="false">-07_OPEX!X21</f>
        <v>-6.18849475015362</v>
      </c>
      <c r="Y16" s="34" t="n">
        <f aca="false">-07_OPEX!Y21</f>
        <v>-6.3122646451567</v>
      </c>
      <c r="Z16" s="34" t="n">
        <f aca="false">-07_OPEX!Z21</f>
        <v>-6.43850993805983</v>
      </c>
      <c r="AA16" s="34" t="n">
        <f aca="false">-07_OPEX!AA21</f>
        <v>-6.56728013682103</v>
      </c>
      <c r="AB16" s="34" t="n">
        <f aca="false">-07_OPEX!AB21</f>
        <v>-6.69862573955745</v>
      </c>
      <c r="AC16" s="34" t="n">
        <f aca="false">-07_OPEX!AC21</f>
        <v>-6.8325982543486</v>
      </c>
      <c r="AD16" s="34" t="n">
        <f aca="false">-07_OPEX!AD21</f>
        <v>-6.96925021943557</v>
      </c>
      <c r="AE16" s="34" t="n">
        <f aca="false">-07_OPEX!AE21</f>
        <v>-7.10863522382428</v>
      </c>
      <c r="AF16" s="34" t="n">
        <f aca="false">-07_OPEX!AF21</f>
        <v>-7.25080792830077</v>
      </c>
      <c r="AG16" s="34" t="n">
        <f aca="false">-07_OPEX!AG21</f>
        <v>-7.39582408686678</v>
      </c>
      <c r="AH16" s="34" t="n">
        <f aca="false">-07_OPEX!AH21</f>
        <v>-7.54374056860412</v>
      </c>
      <c r="AI16" s="34" t="n">
        <f aca="false">-07_OPEX!AI21</f>
        <v>-7.6946153799762</v>
      </c>
      <c r="AJ16" s="34" t="n">
        <f aca="false">-07_OPEX!AJ21</f>
        <v>-7.84850768757572</v>
      </c>
      <c r="AK16" s="34" t="n">
        <f aca="false">-07_OPEX!AK21</f>
        <v>-8.00547784132724</v>
      </c>
      <c r="AL16" s="34" t="n">
        <f aca="false">-07_OPEX!AL21</f>
        <v>-8.16558739815378</v>
      </c>
      <c r="AM16" s="34" t="n">
        <f aca="false">-07_OPEX!AM21</f>
        <v>-8.32889914611686</v>
      </c>
      <c r="AN16" s="34" t="n">
        <f aca="false">-07_OPEX!AN21</f>
        <v>-0</v>
      </c>
      <c r="AO16" s="34" t="n">
        <f aca="false">-07_OPEX!AO21</f>
        <v>-0</v>
      </c>
      <c r="AP16" s="34" t="n">
        <f aca="false">-07_OPEX!AP21</f>
        <v>-0</v>
      </c>
      <c r="AQ16" s="34" t="n">
        <f aca="false">-07_OPEX!AQ21</f>
        <v>-0</v>
      </c>
      <c r="AR16" s="34" t="n">
        <f aca="false">-07_OPEX!AR21</f>
        <v>-0</v>
      </c>
    </row>
    <row r="17" customFormat="false" ht="15" hidden="false" customHeight="false" outlineLevel="0" collapsed="false">
      <c r="A17" s="4" t="s">
        <v>756</v>
      </c>
      <c r="B17" s="8" t="s">
        <v>84</v>
      </c>
      <c r="C17" s="34" t="n">
        <f aca="false">SUM(20_CASH_FLOW!$E$17:$AR$17)</f>
        <v>5274.06356616031</v>
      </c>
      <c r="E17" s="50" t="n">
        <f aca="false">20_CASH_FLOW!E14+20_CASH_FLOW!E15+20_CASH_FLOW!E16</f>
        <v>0</v>
      </c>
      <c r="F17" s="50" t="n">
        <f aca="false">20_CASH_FLOW!F14+20_CASH_FLOW!F15+20_CASH_FLOW!F16</f>
        <v>0</v>
      </c>
      <c r="G17" s="50" t="n">
        <f aca="false">20_CASH_FLOW!G14+20_CASH_FLOW!G15+20_CASH_FLOW!G16</f>
        <v>0</v>
      </c>
      <c r="H17" s="50" t="n">
        <f aca="false">20_CASH_FLOW!H14+20_CASH_FLOW!H15+20_CASH_FLOW!H16</f>
        <v>0</v>
      </c>
      <c r="I17" s="50" t="n">
        <f aca="false">20_CASH_FLOW!I14+20_CASH_FLOW!I15+20_CASH_FLOW!I16</f>
        <v>0</v>
      </c>
      <c r="J17" s="50" t="n">
        <f aca="false">20_CASH_FLOW!J14+20_CASH_FLOW!J15+20_CASH_FLOW!J16</f>
        <v>120.949179065368</v>
      </c>
      <c r="K17" s="50" t="n">
        <f aca="false">20_CASH_FLOW!K14+20_CASH_FLOW!K15+20_CASH_FLOW!K16</f>
        <v>148.590301458743</v>
      </c>
      <c r="L17" s="50" t="n">
        <f aca="false">20_CASH_FLOW!L14+20_CASH_FLOW!L15+20_CASH_FLOW!L16</f>
        <v>150.314107487918</v>
      </c>
      <c r="M17" s="50" t="n">
        <f aca="false">20_CASH_FLOW!M14+20_CASH_FLOW!M15+20_CASH_FLOW!M16</f>
        <v>152.072389637677</v>
      </c>
      <c r="N17" s="50" t="n">
        <f aca="false">20_CASH_FLOW!N14+20_CASH_FLOW!N15+20_CASH_FLOW!N16</f>
        <v>153.86583743043</v>
      </c>
      <c r="O17" s="50" t="n">
        <f aca="false">20_CASH_FLOW!O14+20_CASH_FLOW!O15+20_CASH_FLOW!O16</f>
        <v>155.695154179039</v>
      </c>
      <c r="P17" s="50" t="n">
        <f aca="false">20_CASH_FLOW!P14+20_CASH_FLOW!P15+20_CASH_FLOW!P16</f>
        <v>157.561057262619</v>
      </c>
      <c r="Q17" s="50" t="n">
        <f aca="false">20_CASH_FLOW!Q14+20_CASH_FLOW!Q15+20_CASH_FLOW!Q16</f>
        <v>159.464278407872</v>
      </c>
      <c r="R17" s="50" t="n">
        <f aca="false">20_CASH_FLOW!R14+20_CASH_FLOW!R15+20_CASH_FLOW!R16</f>
        <v>161.405563976029</v>
      </c>
      <c r="S17" s="50" t="n">
        <f aca="false">20_CASH_FLOW!S14+20_CASH_FLOW!S15+20_CASH_FLOW!S16</f>
        <v>163.38567525555</v>
      </c>
      <c r="T17" s="50" t="n">
        <f aca="false">20_CASH_FLOW!T14+20_CASH_FLOW!T15+20_CASH_FLOW!T16</f>
        <v>165.405388760661</v>
      </c>
      <c r="U17" s="50" t="n">
        <f aca="false">20_CASH_FLOW!U14+20_CASH_FLOW!U15+20_CASH_FLOW!U16</f>
        <v>167.465496535874</v>
      </c>
      <c r="V17" s="50" t="n">
        <f aca="false">20_CASH_FLOW!V14+20_CASH_FLOW!V15+20_CASH_FLOW!V16</f>
        <v>169.566806466592</v>
      </c>
      <c r="W17" s="50" t="n">
        <f aca="false">20_CASH_FLOW!W14+20_CASH_FLOW!W15+20_CASH_FLOW!W16</f>
        <v>171.710142595923</v>
      </c>
      <c r="X17" s="50" t="n">
        <f aca="false">20_CASH_FLOW!X14+20_CASH_FLOW!X15+20_CASH_FLOW!X16</f>
        <v>173.896345447842</v>
      </c>
      <c r="Y17" s="50" t="n">
        <f aca="false">20_CASH_FLOW!Y14+20_CASH_FLOW!Y15+20_CASH_FLOW!Y16</f>
        <v>176.126272356799</v>
      </c>
      <c r="Z17" s="50" t="n">
        <f aca="false">20_CASH_FLOW!Z14+20_CASH_FLOW!Z15+20_CASH_FLOW!Z16</f>
        <v>178.400797803935</v>
      </c>
      <c r="AA17" s="50" t="n">
        <f aca="false">20_CASH_FLOW!AA14+20_CASH_FLOW!AA15+20_CASH_FLOW!AA16</f>
        <v>180.720813760013</v>
      </c>
      <c r="AB17" s="50" t="n">
        <f aca="false">20_CASH_FLOW!AB14+20_CASH_FLOW!AB15+20_CASH_FLOW!AB16</f>
        <v>183.087230035214</v>
      </c>
      <c r="AC17" s="50" t="n">
        <f aca="false">20_CASH_FLOW!AC14+20_CASH_FLOW!AC15+20_CASH_FLOW!AC16</f>
        <v>185.500974635918</v>
      </c>
      <c r="AD17" s="50" t="n">
        <f aca="false">20_CASH_FLOW!AD14+20_CASH_FLOW!AD15+20_CASH_FLOW!AD16</f>
        <v>187.962994128636</v>
      </c>
      <c r="AE17" s="50" t="n">
        <f aca="false">20_CASH_FLOW!AE14+20_CASH_FLOW!AE15+20_CASH_FLOW!AE16</f>
        <v>190.474254011209</v>
      </c>
      <c r="AF17" s="50" t="n">
        <f aca="false">20_CASH_FLOW!AF14+20_CASH_FLOW!AF15+20_CASH_FLOW!AF16</f>
        <v>193.035739091433</v>
      </c>
      <c r="AG17" s="50" t="n">
        <f aca="false">20_CASH_FLOW!AG14+20_CASH_FLOW!AG15+20_CASH_FLOW!AG16</f>
        <v>195.648453873262</v>
      </c>
      <c r="AH17" s="50" t="n">
        <f aca="false">20_CASH_FLOW!AH14+20_CASH_FLOW!AH15+20_CASH_FLOW!AH16</f>
        <v>198.313422950727</v>
      </c>
      <c r="AI17" s="50" t="n">
        <f aca="false">20_CASH_FLOW!AI14+20_CASH_FLOW!AI15+20_CASH_FLOW!AI16</f>
        <v>201.031691409742</v>
      </c>
      <c r="AJ17" s="50" t="n">
        <f aca="false">20_CASH_FLOW!AJ14+20_CASH_FLOW!AJ15+20_CASH_FLOW!AJ16</f>
        <v>203.804325237936</v>
      </c>
      <c r="AK17" s="50" t="n">
        <f aca="false">20_CASH_FLOW!AK14+20_CASH_FLOW!AK15+20_CASH_FLOW!AK16</f>
        <v>206.632411742695</v>
      </c>
      <c r="AL17" s="50" t="n">
        <f aca="false">20_CASH_FLOW!AL14+20_CASH_FLOW!AL15+20_CASH_FLOW!AL16</f>
        <v>209.517059977549</v>
      </c>
      <c r="AM17" s="50" t="n">
        <f aca="false">20_CASH_FLOW!AM14+20_CASH_FLOW!AM15+20_CASH_FLOW!AM16</f>
        <v>212.4594011771</v>
      </c>
      <c r="AN17" s="50" t="n">
        <f aca="false">20_CASH_FLOW!AN14+20_CASH_FLOW!AN15+20_CASH_FLOW!AN16</f>
        <v>0</v>
      </c>
      <c r="AO17" s="50" t="n">
        <f aca="false">20_CASH_FLOW!AO14+20_CASH_FLOW!AO15+20_CASH_FLOW!AO16</f>
        <v>0</v>
      </c>
      <c r="AP17" s="50" t="n">
        <f aca="false">20_CASH_FLOW!AP14+20_CASH_FLOW!AP15+20_CASH_FLOW!AP16</f>
        <v>0</v>
      </c>
      <c r="AQ17" s="50" t="n">
        <f aca="false">20_CASH_FLOW!AQ14+20_CASH_FLOW!AQ15+20_CASH_FLOW!AQ16</f>
        <v>0</v>
      </c>
      <c r="AR17" s="50" t="n">
        <f aca="false">20_CASH_FLOW!AR14+20_CASH_FLOW!AR15+20_CASH_FLOW!AR16</f>
        <v>0</v>
      </c>
    </row>
    <row r="18" customFormat="false" ht="15" hidden="false" customHeight="false" outlineLevel="0" collapsed="false">
      <c r="A18" s="8" t="s">
        <v>757</v>
      </c>
      <c r="B18" s="8" t="s">
        <v>84</v>
      </c>
      <c r="C18" s="34" t="n">
        <f aca="false">SUM(20_CASH_FLOW!$E$18:$AR$18)</f>
        <v>-962.231722910022</v>
      </c>
      <c r="E18" s="34" t="n">
        <f aca="false">-21_TAX!E18</f>
        <v>-0</v>
      </c>
      <c r="F18" s="34" t="n">
        <f aca="false">-21_TAX!F18</f>
        <v>-0</v>
      </c>
      <c r="G18" s="34" t="n">
        <f aca="false">-21_TAX!G18</f>
        <v>-0</v>
      </c>
      <c r="H18" s="34" t="n">
        <f aca="false">-21_TAX!H18</f>
        <v>-0</v>
      </c>
      <c r="I18" s="34" t="n">
        <f aca="false">-21_TAX!I18</f>
        <v>-0</v>
      </c>
      <c r="J18" s="34" t="n">
        <f aca="false">-21_TAX!J18</f>
        <v>-0</v>
      </c>
      <c r="K18" s="34" t="n">
        <f aca="false">-21_TAX!K18</f>
        <v>-0</v>
      </c>
      <c r="L18" s="34" t="n">
        <f aca="false">-21_TAX!L18</f>
        <v>-0</v>
      </c>
      <c r="M18" s="34" t="n">
        <f aca="false">-21_TAX!M18</f>
        <v>-0</v>
      </c>
      <c r="N18" s="34" t="n">
        <f aca="false">-21_TAX!N18</f>
        <v>-0</v>
      </c>
      <c r="O18" s="34" t="n">
        <f aca="false">-21_TAX!O18</f>
        <v>-14.054523832191</v>
      </c>
      <c r="P18" s="34" t="n">
        <f aca="false">-21_TAX!P18</f>
        <v>-15.2541175991287</v>
      </c>
      <c r="Q18" s="34" t="n">
        <f aca="false">-21_TAX!Q18</f>
        <v>-16.4100133437786</v>
      </c>
      <c r="R18" s="34" t="n">
        <f aca="false">-21_TAX!R18</f>
        <v>-17.6402030371862</v>
      </c>
      <c r="S18" s="34" t="n">
        <f aca="false">-21_TAX!S18</f>
        <v>-18.9503124306405</v>
      </c>
      <c r="T18" s="34" t="n">
        <f aca="false">-21_TAX!T18</f>
        <v>-20.3464109802413</v>
      </c>
      <c r="U18" s="34" t="n">
        <f aca="false">-21_TAX!U18</f>
        <v>-21.8350472161782</v>
      </c>
      <c r="V18" s="34" t="n">
        <f aca="false">-21_TAX!V18</f>
        <v>-23.4232869390101</v>
      </c>
      <c r="W18" s="34" t="n">
        <f aca="false">-21_TAX!W18</f>
        <v>-25.1187544690537</v>
      </c>
      <c r="X18" s="34" t="n">
        <f aca="false">-21_TAX!X18</f>
        <v>-26.9296771930782</v>
      </c>
      <c r="Y18" s="34" t="n">
        <f aca="false">-21_TAX!Y18</f>
        <v>-28.8649336720381</v>
      </c>
      <c r="Z18" s="34" t="n">
        <f aca="false">-21_TAX!Z18</f>
        <v>-30.9341055946732</v>
      </c>
      <c r="AA18" s="34" t="n">
        <f aca="false">-21_TAX!AA18</f>
        <v>-33.1475338845892</v>
      </c>
      <c r="AB18" s="34" t="n">
        <f aca="false">-21_TAX!AB18</f>
        <v>-35.5163792930427</v>
      </c>
      <c r="AC18" s="34" t="n">
        <f aca="false">-21_TAX!AC18</f>
        <v>-36.3903601966932</v>
      </c>
      <c r="AD18" s="34" t="n">
        <f aca="false">-21_TAX!AD18</f>
        <v>-55.6396106213948</v>
      </c>
      <c r="AE18" s="34" t="n">
        <f aca="false">-21_TAX!AE18</f>
        <v>-56.5428461096059</v>
      </c>
      <c r="AF18" s="34" t="n">
        <f aca="false">-21_TAX!AF18</f>
        <v>-57.4611491571123</v>
      </c>
      <c r="AG18" s="34" t="n">
        <f aca="false">-21_TAX!AG18</f>
        <v>-58.3948211151002</v>
      </c>
      <c r="AH18" s="34" t="n">
        <f aca="false">-21_TAX!AH18</f>
        <v>-59.3441693617789</v>
      </c>
      <c r="AI18" s="34" t="n">
        <f aca="false">-21_TAX!AI18</f>
        <v>-60.3095074229225</v>
      </c>
      <c r="AJ18" s="34" t="n">
        <f aca="false">-21_TAX!AJ18</f>
        <v>-61.1412975713809</v>
      </c>
      <c r="AK18" s="34" t="n">
        <f aca="false">-21_TAX!AK18</f>
        <v>-61.9897235228086</v>
      </c>
      <c r="AL18" s="34" t="n">
        <f aca="false">-21_TAX!AL18</f>
        <v>-62.8551179932648</v>
      </c>
      <c r="AM18" s="34" t="n">
        <f aca="false">-21_TAX!AM18</f>
        <v>-63.73782035313</v>
      </c>
      <c r="AN18" s="34" t="n">
        <f aca="false">-21_TAX!AN18</f>
        <v>-0</v>
      </c>
      <c r="AO18" s="34" t="n">
        <f aca="false">-21_TAX!AO18</f>
        <v>-0</v>
      </c>
      <c r="AP18" s="34" t="n">
        <f aca="false">-21_TAX!AP18</f>
        <v>-0</v>
      </c>
      <c r="AQ18" s="34" t="n">
        <f aca="false">-21_TAX!AQ18</f>
        <v>-0</v>
      </c>
      <c r="AR18" s="34" t="n">
        <f aca="false">-21_TAX!AR18</f>
        <v>-0</v>
      </c>
    </row>
    <row r="19" customFormat="false" ht="15" hidden="false" customHeight="false" outlineLevel="0" collapsed="false">
      <c r="A19" s="4" t="s">
        <v>758</v>
      </c>
      <c r="B19" s="8" t="s">
        <v>84</v>
      </c>
      <c r="C19" s="34" t="n">
        <f aca="false">SUM(20_CASH_FLOW!$E$19:$AR$19)</f>
        <v>4311.83184325028</v>
      </c>
      <c r="E19" s="50" t="n">
        <f aca="false">06_CONSTRUCTION!E14*(20_CASH_FLOW!E17+20_CASH_FLOW!E18-08_TRANSMISSION!E33)</f>
        <v>0</v>
      </c>
      <c r="F19" s="50" t="n">
        <f aca="false">06_CONSTRUCTION!F14*(20_CASH_FLOW!F17+20_CASH_FLOW!F18-08_TRANSMISSION!F33)</f>
        <v>0</v>
      </c>
      <c r="G19" s="50" t="n">
        <f aca="false">06_CONSTRUCTION!G14*(20_CASH_FLOW!G17+20_CASH_FLOW!G18-08_TRANSMISSION!G33)</f>
        <v>0</v>
      </c>
      <c r="H19" s="50" t="n">
        <f aca="false">06_CONSTRUCTION!H14*(20_CASH_FLOW!H17+20_CASH_FLOW!H18-08_TRANSMISSION!H33)</f>
        <v>0</v>
      </c>
      <c r="I19" s="50" t="n">
        <f aca="false">06_CONSTRUCTION!I14*(20_CASH_FLOW!I17+20_CASH_FLOW!I18-08_TRANSMISSION!I33)</f>
        <v>0</v>
      </c>
      <c r="J19" s="50" t="n">
        <f aca="false">06_CONSTRUCTION!J14*(20_CASH_FLOW!J17+20_CASH_FLOW!J18-08_TRANSMISSION!J33)</f>
        <v>120.949179065368</v>
      </c>
      <c r="K19" s="50" t="n">
        <f aca="false">06_CONSTRUCTION!K14*(20_CASH_FLOW!K17+20_CASH_FLOW!K18-08_TRANSMISSION!K33)</f>
        <v>148.590301458743</v>
      </c>
      <c r="L19" s="50" t="n">
        <f aca="false">06_CONSTRUCTION!L14*(20_CASH_FLOW!L17+20_CASH_FLOW!L18-08_TRANSMISSION!L33)</f>
        <v>150.314107487918</v>
      </c>
      <c r="M19" s="50" t="n">
        <f aca="false">06_CONSTRUCTION!M14*(20_CASH_FLOW!M17+20_CASH_FLOW!M18-08_TRANSMISSION!M33)</f>
        <v>152.072389637677</v>
      </c>
      <c r="N19" s="50" t="n">
        <f aca="false">06_CONSTRUCTION!N14*(20_CASH_FLOW!N17+20_CASH_FLOW!N18-08_TRANSMISSION!N33)</f>
        <v>153.86583743043</v>
      </c>
      <c r="O19" s="50" t="n">
        <f aca="false">06_CONSTRUCTION!O14*(20_CASH_FLOW!O17+20_CASH_FLOW!O18-08_TRANSMISSION!O33)</f>
        <v>141.640630346848</v>
      </c>
      <c r="P19" s="50" t="n">
        <f aca="false">06_CONSTRUCTION!P14*(20_CASH_FLOW!P17+20_CASH_FLOW!P18-08_TRANSMISSION!P33)</f>
        <v>142.306939663491</v>
      </c>
      <c r="Q19" s="50" t="n">
        <f aca="false">06_CONSTRUCTION!Q14*(20_CASH_FLOW!Q17+20_CASH_FLOW!Q18-08_TRANSMISSION!Q33)</f>
        <v>143.054265064093</v>
      </c>
      <c r="R19" s="50" t="n">
        <f aca="false">06_CONSTRUCTION!R14*(20_CASH_FLOW!R17+20_CASH_FLOW!R18-08_TRANSMISSION!R33)</f>
        <v>143.765360938843</v>
      </c>
      <c r="S19" s="50" t="n">
        <f aca="false">06_CONSTRUCTION!S14*(20_CASH_FLOW!S17+20_CASH_FLOW!S18-08_TRANSMISSION!S33)</f>
        <v>144.435362824909</v>
      </c>
      <c r="T19" s="50" t="n">
        <f aca="false">06_CONSTRUCTION!T14*(20_CASH_FLOW!T17+20_CASH_FLOW!T18-08_TRANSMISSION!T33)</f>
        <v>145.05897778042</v>
      </c>
      <c r="U19" s="50" t="n">
        <f aca="false">06_CONSTRUCTION!U14*(20_CASH_FLOW!U17+20_CASH_FLOW!U18-08_TRANSMISSION!U33)</f>
        <v>145.630449319696</v>
      </c>
      <c r="V19" s="50" t="n">
        <f aca="false">06_CONSTRUCTION!V14*(20_CASH_FLOW!V17+20_CASH_FLOW!V18-08_TRANSMISSION!V33)</f>
        <v>146.143519527581</v>
      </c>
      <c r="W19" s="50" t="n">
        <f aca="false">06_CONSTRUCTION!W14*(20_CASH_FLOW!W17+20_CASH_FLOW!W18-08_TRANSMISSION!W33)</f>
        <v>146.59138812687</v>
      </c>
      <c r="X19" s="50" t="n">
        <f aca="false">06_CONSTRUCTION!X14*(20_CASH_FLOW!X17+20_CASH_FLOW!X18-08_TRANSMISSION!X33)</f>
        <v>146.966668254764</v>
      </c>
      <c r="Y19" s="50" t="n">
        <f aca="false">06_CONSTRUCTION!Y14*(20_CASH_FLOW!Y17+20_CASH_FLOW!Y18-08_TRANSMISSION!Y33)</f>
        <v>147.261338684761</v>
      </c>
      <c r="Z19" s="50" t="n">
        <f aca="false">06_CONSTRUCTION!Z14*(20_CASH_FLOW!Z17+20_CASH_FLOW!Z18-08_TRANSMISSION!Z33)</f>
        <v>147.466692209262</v>
      </c>
      <c r="AA19" s="50" t="n">
        <f aca="false">06_CONSTRUCTION!AA14*(20_CASH_FLOW!AA17+20_CASH_FLOW!AA18-08_TRANSMISSION!AA33)</f>
        <v>147.573279875424</v>
      </c>
      <c r="AB19" s="50" t="n">
        <f aca="false">06_CONSTRUCTION!AB14*(20_CASH_FLOW!AB17+20_CASH_FLOW!AB18-08_TRANSMISSION!AB33)</f>
        <v>147.570850742171</v>
      </c>
      <c r="AC19" s="50" t="n">
        <f aca="false">06_CONSTRUCTION!AC14*(20_CASH_FLOW!AC17+20_CASH_FLOW!AC18-08_TRANSMISSION!AC33)</f>
        <v>149.110614439225</v>
      </c>
      <c r="AD19" s="50" t="n">
        <f aca="false">06_CONSTRUCTION!AD14*(20_CASH_FLOW!AD17+20_CASH_FLOW!AD18-08_TRANSMISSION!AD33)</f>
        <v>132.323383507241</v>
      </c>
      <c r="AE19" s="50" t="n">
        <f aca="false">06_CONSTRUCTION!AE14*(20_CASH_FLOW!AE17+20_CASH_FLOW!AE18-08_TRANSMISSION!AE33)</f>
        <v>133.931407901603</v>
      </c>
      <c r="AF19" s="50" t="n">
        <f aca="false">06_CONSTRUCTION!AF14*(20_CASH_FLOW!AF17+20_CASH_FLOW!AF18-08_TRANSMISSION!AF33)</f>
        <v>135.574589934321</v>
      </c>
      <c r="AG19" s="50" t="n">
        <f aca="false">06_CONSTRUCTION!AG14*(20_CASH_FLOW!AG17+20_CASH_FLOW!AG18-08_TRANSMISSION!AG33)</f>
        <v>137.253632758162</v>
      </c>
      <c r="AH19" s="50" t="n">
        <f aca="false">06_CONSTRUCTION!AH14*(20_CASH_FLOW!AH17+20_CASH_FLOW!AH18-08_TRANSMISSION!AH33)</f>
        <v>138.969253588948</v>
      </c>
      <c r="AI19" s="50" t="n">
        <f aca="false">06_CONSTRUCTION!AI14*(20_CASH_FLOW!AI17+20_CASH_FLOW!AI18-08_TRANSMISSION!AI33)</f>
        <v>140.722183986819</v>
      </c>
      <c r="AJ19" s="50" t="n">
        <f aca="false">06_CONSTRUCTION!AJ14*(20_CASH_FLOW!AJ17+20_CASH_FLOW!AJ18-08_TRANSMISSION!AJ33)</f>
        <v>142.663027666556</v>
      </c>
      <c r="AK19" s="50" t="n">
        <f aca="false">06_CONSTRUCTION!AK14*(20_CASH_FLOW!AK17+20_CASH_FLOW!AK18-08_TRANSMISSION!AK33)</f>
        <v>144.642688219887</v>
      </c>
      <c r="AL19" s="50" t="n">
        <f aca="false">06_CONSTRUCTION!AL14*(20_CASH_FLOW!AL17+20_CASH_FLOW!AL18-08_TRANSMISSION!AL33)</f>
        <v>146.661941984284</v>
      </c>
      <c r="AM19" s="50" t="n">
        <f aca="false">06_CONSTRUCTION!AM14*(20_CASH_FLOW!AM17+20_CASH_FLOW!AM18-08_TRANSMISSION!AM33)</f>
        <v>148.72158082397</v>
      </c>
      <c r="AN19" s="50" t="n">
        <f aca="false">06_CONSTRUCTION!AN14*(20_CASH_FLOW!AN17+20_CASH_FLOW!AN18-08_TRANSMISSION!AN33)</f>
        <v>0</v>
      </c>
      <c r="AO19" s="50" t="n">
        <f aca="false">06_CONSTRUCTION!AO14*(20_CASH_FLOW!AO17+20_CASH_FLOW!AO18-08_TRANSMISSION!AO33)</f>
        <v>0</v>
      </c>
      <c r="AP19" s="50" t="n">
        <f aca="false">06_CONSTRUCTION!AP14*(20_CASH_FLOW!AP17+20_CASH_FLOW!AP18-08_TRANSMISSION!AP33)</f>
        <v>0</v>
      </c>
      <c r="AQ19" s="50" t="n">
        <f aca="false">06_CONSTRUCTION!AQ14*(20_CASH_FLOW!AQ17+20_CASH_FLOW!AQ18-08_TRANSMISSION!AQ33)</f>
        <v>0</v>
      </c>
      <c r="AR19" s="50" t="n">
        <f aca="false">06_CONSTRUCTION!AR14*(20_CASH_FLOW!AR17+20_CASH_FLOW!AR18-08_TRANSMISSION!AR33)</f>
        <v>0</v>
      </c>
    </row>
    <row r="20" customFormat="false" ht="15" hidden="false" customHeight="false" outlineLevel="0" collapsed="false">
      <c r="A20" s="8" t="s">
        <v>759</v>
      </c>
      <c r="B20" s="8" t="s">
        <v>84</v>
      </c>
      <c r="C20" s="34" t="n">
        <f aca="false">SUM(20_CASH_FLOW!$E$20:$AR$20)</f>
        <v>-1662.2083337852</v>
      </c>
      <c r="E20" s="34" t="n">
        <f aca="false">-18_DEBT!E40</f>
        <v>-0</v>
      </c>
      <c r="F20" s="34" t="n">
        <f aca="false">-18_DEBT!F40</f>
        <v>-0</v>
      </c>
      <c r="G20" s="34" t="n">
        <f aca="false">-18_DEBT!G40</f>
        <v>-0</v>
      </c>
      <c r="H20" s="34" t="n">
        <f aca="false">-18_DEBT!H40</f>
        <v>-0</v>
      </c>
      <c r="I20" s="34" t="n">
        <f aca="false">-18_DEBT!I40</f>
        <v>-0</v>
      </c>
      <c r="J20" s="34" t="n">
        <f aca="false">-18_DEBT!J40</f>
        <v>-73.7441800524721</v>
      </c>
      <c r="K20" s="34" t="n">
        <f aca="false">-18_DEBT!K40</f>
        <v>-90.2592741079415</v>
      </c>
      <c r="L20" s="34" t="n">
        <f aca="false">-18_DEBT!L40</f>
        <v>-91.2496341419432</v>
      </c>
      <c r="M20" s="34" t="n">
        <f aca="false">-18_DEBT!M40</f>
        <v>-92.2598013766249</v>
      </c>
      <c r="N20" s="34" t="n">
        <f aca="false">-18_DEBT!N40</f>
        <v>-93.2901719560002</v>
      </c>
      <c r="O20" s="34" t="n">
        <f aca="false">-18_DEBT!O40</f>
        <v>-79.6352026505493</v>
      </c>
      <c r="P20" s="34" t="n">
        <f aca="false">-18_DEBT!P40</f>
        <v>-80.290205926516</v>
      </c>
      <c r="Q20" s="34" t="n">
        <f aca="false">-18_DEBT!Q40</f>
        <v>-80.9602171681937</v>
      </c>
      <c r="R20" s="34" t="n">
        <f aca="false">-18_DEBT!R40</f>
        <v>-81.6455365348965</v>
      </c>
      <c r="S20" s="34" t="n">
        <f aca="false">-18_DEBT!S40</f>
        <v>-82.346470189125</v>
      </c>
      <c r="T20" s="34" t="n">
        <f aca="false">-18_DEBT!T40</f>
        <v>-83.0633304166297</v>
      </c>
      <c r="U20" s="34" t="n">
        <f aca="false">-18_DEBT!U40</f>
        <v>-83.7964357488761</v>
      </c>
      <c r="V20" s="34" t="n">
        <f aca="false">-18_DEBT!V40</f>
        <v>-84.546111087959</v>
      </c>
      <c r="W20" s="34" t="n">
        <f aca="false">-18_DEBT!W40</f>
        <v>-85.3126878340152</v>
      </c>
      <c r="X20" s="34" t="n">
        <f aca="false">-18_DEBT!X40</f>
        <v>-86.0965040151842</v>
      </c>
      <c r="Y20" s="34" t="n">
        <f aca="false">-18_DEBT!Y40</f>
        <v>-86.8979044201682</v>
      </c>
      <c r="Z20" s="34" t="n">
        <f aca="false">-18_DEBT!Z40</f>
        <v>-87.7172407334434</v>
      </c>
      <c r="AA20" s="34" t="n">
        <f aca="false">-18_DEBT!AA40</f>
        <v>-88.5548716731741</v>
      </c>
      <c r="AB20" s="34" t="n">
        <f aca="false">-18_DEBT!AB40</f>
        <v>-20.147511484605</v>
      </c>
      <c r="AC20" s="34" t="n">
        <f aca="false">-18_DEBT!AC40</f>
        <v>-19.6479864064743</v>
      </c>
      <c r="AD20" s="34" t="n">
        <f aca="false">-18_DEBT!AD40</f>
        <v>-19.1484613283436</v>
      </c>
      <c r="AE20" s="34" t="n">
        <f aca="false">-18_DEBT!AE40</f>
        <v>-18.6489362502129</v>
      </c>
      <c r="AF20" s="34" t="n">
        <f aca="false">-18_DEBT!AF40</f>
        <v>-18.1494111720822</v>
      </c>
      <c r="AG20" s="34" t="n">
        <f aca="false">-18_DEBT!AG40</f>
        <v>-17.6498860939515</v>
      </c>
      <c r="AH20" s="34" t="n">
        <f aca="false">-18_DEBT!AH40</f>
        <v>-17.1503610158208</v>
      </c>
      <c r="AI20" s="34" t="n">
        <f aca="false">-18_DEBT!AI40</f>
        <v>-0</v>
      </c>
      <c r="AJ20" s="34" t="n">
        <f aca="false">-18_DEBT!AJ40</f>
        <v>-0</v>
      </c>
      <c r="AK20" s="34" t="n">
        <f aca="false">-18_DEBT!AK40</f>
        <v>-0</v>
      </c>
      <c r="AL20" s="34" t="n">
        <f aca="false">-18_DEBT!AL40</f>
        <v>-0</v>
      </c>
      <c r="AM20" s="34" t="n">
        <f aca="false">-18_DEBT!AM40</f>
        <v>-0</v>
      </c>
      <c r="AN20" s="34" t="n">
        <f aca="false">-18_DEBT!AN40</f>
        <v>-0</v>
      </c>
      <c r="AO20" s="34" t="n">
        <f aca="false">-18_DEBT!AO40</f>
        <v>-0</v>
      </c>
      <c r="AP20" s="34" t="n">
        <f aca="false">-18_DEBT!AP40</f>
        <v>-0</v>
      </c>
      <c r="AQ20" s="34" t="n">
        <f aca="false">-18_DEBT!AQ40</f>
        <v>-0</v>
      </c>
      <c r="AR20" s="34" t="n">
        <f aca="false">-18_DEBT!AR40</f>
        <v>-0</v>
      </c>
    </row>
    <row r="21" customFormat="false" ht="15" hidden="false" customHeight="false" outlineLevel="0" collapsed="false">
      <c r="A21" s="8" t="s">
        <v>760</v>
      </c>
      <c r="B21" s="8" t="s">
        <v>82</v>
      </c>
      <c r="E21" s="54" t="str">
        <f aca="false">IF(18_DEBT!E40&gt;0.001,20_CASH_FLOW!E19/18_DEBT!E40,"")</f>
        <v/>
      </c>
      <c r="F21" s="54" t="str">
        <f aca="false">IF(18_DEBT!F40&gt;0.001,20_CASH_FLOW!F19/18_DEBT!F40,"")</f>
        <v/>
      </c>
      <c r="G21" s="54" t="str">
        <f aca="false">IF(18_DEBT!G40&gt;0.001,20_CASH_FLOW!G19/18_DEBT!G40,"")</f>
        <v/>
      </c>
      <c r="H21" s="54" t="str">
        <f aca="false">IF(18_DEBT!H40&gt;0.001,20_CASH_FLOW!H19/18_DEBT!H40,"")</f>
        <v/>
      </c>
      <c r="I21" s="54" t="str">
        <f aca="false">IF(18_DEBT!I40&gt;0.001,20_CASH_FLOW!I19/18_DEBT!I40,"")</f>
        <v/>
      </c>
      <c r="J21" s="54" t="n">
        <f aca="false">IF(18_DEBT!J40&gt;0.001,20_CASH_FLOW!J19/18_DEBT!J40,"")</f>
        <v>1.64011829786849</v>
      </c>
      <c r="K21" s="54" t="n">
        <f aca="false">IF(18_DEBT!K40&gt;0.001,20_CASH_FLOW!K19/18_DEBT!K40,"")</f>
        <v>1.64626076297759</v>
      </c>
      <c r="L21" s="54" t="n">
        <f aca="false">IF(18_DEBT!L40&gt;0.001,20_CASH_FLOW!L19/18_DEBT!L40,"")</f>
        <v>1.64728449490655</v>
      </c>
      <c r="M21" s="54" t="n">
        <f aca="false">IF(18_DEBT!M40&gt;0.001,20_CASH_FLOW!M19/18_DEBT!M40,"")</f>
        <v>1.64830605928668</v>
      </c>
      <c r="N21" s="54" t="n">
        <f aca="false">IF(18_DEBT!N40&gt;0.001,20_CASH_FLOW!N19/18_DEBT!N40,"")</f>
        <v>1.64932526336215</v>
      </c>
      <c r="O21" s="54" t="n">
        <f aca="false">IF(18_DEBT!O40&gt;0.001,20_CASH_FLOW!O19/18_DEBT!O40,"")</f>
        <v>1.7786183199456</v>
      </c>
      <c r="P21" s="54" t="n">
        <f aca="false">IF(18_DEBT!P40&gt;0.001,20_CASH_FLOW!P19/18_DEBT!P40,"")</f>
        <v>1.77240720734649</v>
      </c>
      <c r="Q21" s="54" t="n">
        <f aca="false">IF(18_DEBT!Q40&gt;0.001,20_CASH_FLOW!Q19/18_DEBT!Q40,"")</f>
        <v>1.76696987814274</v>
      </c>
      <c r="R21" s="54" t="n">
        <f aca="false">IF(18_DEBT!R40&gt;0.001,20_CASH_FLOW!R19/18_DEBT!R40,"")</f>
        <v>1.76084777001123</v>
      </c>
      <c r="S21" s="54" t="n">
        <f aca="false">IF(18_DEBT!S40&gt;0.001,20_CASH_FLOW!S19/18_DEBT!S40,"")</f>
        <v>1.75399579961576</v>
      </c>
      <c r="T21" s="54" t="n">
        <f aca="false">IF(18_DEBT!T40&gt;0.001,20_CASH_FLOW!T19/18_DEBT!T40,"")</f>
        <v>1.7463660203947</v>
      </c>
      <c r="U21" s="54" t="n">
        <f aca="false">IF(18_DEBT!U40&gt;0.001,20_CASH_FLOW!U19/18_DEBT!U40,"")</f>
        <v>1.73790744222255</v>
      </c>
      <c r="V21" s="54" t="n">
        <f aca="false">IF(18_DEBT!V40&gt;0.001,20_CASH_FLOW!V19/18_DEBT!V40,"")</f>
        <v>1.72856583995376</v>
      </c>
      <c r="W21" s="54" t="n">
        <f aca="false">IF(18_DEBT!W40&gt;0.001,20_CASH_FLOW!W19/18_DEBT!W40,"")</f>
        <v>1.71828355018047</v>
      </c>
      <c r="X21" s="54" t="n">
        <f aca="false">IF(18_DEBT!X40&gt;0.001,20_CASH_FLOW!X19/18_DEBT!X40,"")</f>
        <v>1.70699925549642</v>
      </c>
      <c r="Y21" s="54" t="n">
        <f aca="false">IF(18_DEBT!Y40&gt;0.001,20_CASH_FLOW!Y19/18_DEBT!Y40,"")</f>
        <v>1.69464775551691</v>
      </c>
      <c r="Z21" s="54" t="n">
        <f aca="false">IF(18_DEBT!Z40&gt;0.001,20_CASH_FLOW!Z19/18_DEBT!Z40,"")</f>
        <v>1.68115972386074</v>
      </c>
      <c r="AA21" s="54" t="n">
        <f aca="false">IF(18_DEBT!AA40&gt;0.001,20_CASH_FLOW!AA19/18_DEBT!AA40,"")</f>
        <v>1.66646145025275</v>
      </c>
      <c r="AB21" s="54" t="n">
        <f aca="false">IF(18_DEBT!AB40&gt;0.001,20_CASH_FLOW!AB19/18_DEBT!AB40,"")</f>
        <v>7.3245199961758</v>
      </c>
      <c r="AC21" s="54" t="n">
        <f aca="false">IF(18_DEBT!AC40&gt;0.001,20_CASH_FLOW!AC19/18_DEBT!AC40,"")</f>
        <v>7.58910411247488</v>
      </c>
      <c r="AD21" s="54" t="n">
        <f aca="false">IF(18_DEBT!AD40&gt;0.001,20_CASH_FLOW!AD19/18_DEBT!AD40,"")</f>
        <v>6.91039249777088</v>
      </c>
      <c r="AE21" s="54" t="n">
        <f aca="false">IF(18_DEBT!AE40&gt;0.001,20_CASH_FLOW!AE19/18_DEBT!AE40,"")</f>
        <v>7.18171836209018</v>
      </c>
      <c r="AF21" s="54" t="n">
        <f aca="false">IF(18_DEBT!AF40&gt;0.001,20_CASH_FLOW!AF19/18_DEBT!AF40,"")</f>
        <v>7.46991671789686</v>
      </c>
      <c r="AG21" s="54" t="n">
        <f aca="false">IF(18_DEBT!AG40&gt;0.001,20_CASH_FLOW!AG19/18_DEBT!AG40,"")</f>
        <v>7.77645997416367</v>
      </c>
      <c r="AH21" s="54" t="n">
        <f aca="false">IF(18_DEBT!AH40&gt;0.001,20_CASH_FLOW!AH19/18_DEBT!AH40,"")</f>
        <v>8.10299290264225</v>
      </c>
      <c r="AI21" s="54" t="str">
        <f aca="false">IF(18_DEBT!AI40&gt;0.001,20_CASH_FLOW!AI19/18_DEBT!AI40,"")</f>
        <v/>
      </c>
      <c r="AJ21" s="54" t="str">
        <f aca="false">IF(18_DEBT!AJ40&gt;0.001,20_CASH_FLOW!AJ19/18_DEBT!AJ40,"")</f>
        <v/>
      </c>
      <c r="AK21" s="54" t="str">
        <f aca="false">IF(18_DEBT!AK40&gt;0.001,20_CASH_FLOW!AK19/18_DEBT!AK40,"")</f>
        <v/>
      </c>
      <c r="AL21" s="54" t="str">
        <f aca="false">IF(18_DEBT!AL40&gt;0.001,20_CASH_FLOW!AL19/18_DEBT!AL40,"")</f>
        <v/>
      </c>
      <c r="AM21" s="54" t="str">
        <f aca="false">IF(18_DEBT!AM40&gt;0.001,20_CASH_FLOW!AM19/18_DEBT!AM40,"")</f>
        <v/>
      </c>
      <c r="AN21" s="54" t="str">
        <f aca="false">IF(18_DEBT!AN40&gt;0.001,20_CASH_FLOW!AN19/18_DEBT!AN40,"")</f>
        <v/>
      </c>
      <c r="AO21" s="54" t="str">
        <f aca="false">IF(18_DEBT!AO40&gt;0.001,20_CASH_FLOW!AO19/18_DEBT!AO40,"")</f>
        <v/>
      </c>
      <c r="AP21" s="54" t="str">
        <f aca="false">IF(18_DEBT!AP40&gt;0.001,20_CASH_FLOW!AP19/18_DEBT!AP40,"")</f>
        <v/>
      </c>
      <c r="AQ21" s="54" t="str">
        <f aca="false">IF(18_DEBT!AQ40&gt;0.001,20_CASH_FLOW!AQ19/18_DEBT!AQ40,"")</f>
        <v/>
      </c>
      <c r="AR21" s="54" t="str">
        <f aca="false">IF(18_DEBT!AR40&gt;0.001,20_CASH_FLOW!AR19/18_DEBT!AR40,"")</f>
        <v/>
      </c>
    </row>
    <row r="22" customFormat="false" ht="15" hidden="false" customHeight="false" outlineLevel="0" collapsed="false">
      <c r="A22" s="8" t="s">
        <v>761</v>
      </c>
      <c r="B22" s="8" t="s">
        <v>84</v>
      </c>
      <c r="E22" s="34" t="n">
        <f aca="false">20_CASH_FLOW!E19+20_CASH_FLOW!E20+20_CASH_FLOW!E29</f>
        <v>0</v>
      </c>
      <c r="F22" s="34" t="n">
        <f aca="false">20_CASH_FLOW!F19+20_CASH_FLOW!F20+20_CASH_FLOW!F29</f>
        <v>0</v>
      </c>
      <c r="G22" s="34" t="n">
        <f aca="false">20_CASH_FLOW!G19+20_CASH_FLOW!G20+20_CASH_FLOW!G29</f>
        <v>0</v>
      </c>
      <c r="H22" s="34" t="n">
        <f aca="false">20_CASH_FLOW!H19+20_CASH_FLOW!H20+20_CASH_FLOW!H29</f>
        <v>0</v>
      </c>
      <c r="I22" s="34" t="n">
        <f aca="false">20_CASH_FLOW!I19+20_CASH_FLOW!I20+20_CASH_FLOW!I29</f>
        <v>0</v>
      </c>
      <c r="J22" s="34" t="n">
        <f aca="false">20_CASH_FLOW!J19+20_CASH_FLOW!J20+20_CASH_FLOW!J29</f>
        <v>47.2049990128955</v>
      </c>
      <c r="K22" s="34" t="n">
        <f aca="false">20_CASH_FLOW!K19+20_CASH_FLOW!K20+20_CASH_FLOW!K29</f>
        <v>58.3310273508018</v>
      </c>
      <c r="L22" s="34" t="n">
        <f aca="false">20_CASH_FLOW!L19+20_CASH_FLOW!L20+20_CASH_FLOW!L29</f>
        <v>59.064473345975</v>
      </c>
      <c r="M22" s="34" t="n">
        <f aca="false">20_CASH_FLOW!M19+20_CASH_FLOW!M20+20_CASH_FLOW!M29</f>
        <v>59.8125882610517</v>
      </c>
      <c r="N22" s="34" t="n">
        <f aca="false">20_CASH_FLOW!N19+20_CASH_FLOW!N20+20_CASH_FLOW!N29</f>
        <v>60.5756654744298</v>
      </c>
      <c r="O22" s="34" t="n">
        <f aca="false">20_CASH_FLOW!O19+20_CASH_FLOW!O20+20_CASH_FLOW!O29</f>
        <v>62.0054276962984</v>
      </c>
      <c r="P22" s="34" t="n">
        <f aca="false">20_CASH_FLOW!P19+20_CASH_FLOW!P20+20_CASH_FLOW!P29</f>
        <v>62.0167337369748</v>
      </c>
      <c r="Q22" s="34" t="n">
        <f aca="false">20_CASH_FLOW!Q19+20_CASH_FLOW!Q20+20_CASH_FLOW!Q29</f>
        <v>62.0940478958996</v>
      </c>
      <c r="R22" s="34" t="n">
        <f aca="false">20_CASH_FLOW!R19+20_CASH_FLOW!R20+20_CASH_FLOW!R29</f>
        <v>62.1198244039465</v>
      </c>
      <c r="S22" s="34" t="n">
        <f aca="false">20_CASH_FLOW!S19+20_CASH_FLOW!S20+20_CASH_FLOW!S29</f>
        <v>62.0888926357844</v>
      </c>
      <c r="T22" s="34" t="n">
        <f aca="false">20_CASH_FLOW!T19+20_CASH_FLOW!T20+20_CASH_FLOW!T29</f>
        <v>61.9956473637899</v>
      </c>
      <c r="U22" s="34" t="n">
        <f aca="false">20_CASH_FLOW!U19+20_CASH_FLOW!U20+20_CASH_FLOW!U29</f>
        <v>61.8340135708198</v>
      </c>
      <c r="V22" s="34" t="n">
        <f aca="false">20_CASH_FLOW!V19+20_CASH_FLOW!V20+20_CASH_FLOW!V29</f>
        <v>61.5974084396224</v>
      </c>
      <c r="W22" s="34" t="n">
        <f aca="false">20_CASH_FLOW!W19+20_CASH_FLOW!W20+20_CASH_FLOW!W29</f>
        <v>61.2787002928545</v>
      </c>
      <c r="X22" s="34" t="n">
        <f aca="false">20_CASH_FLOW!X19+20_CASH_FLOW!X20+20_CASH_FLOW!X29</f>
        <v>60.8701642395795</v>
      </c>
      <c r="Y22" s="34" t="n">
        <f aca="false">20_CASH_FLOW!Y19+20_CASH_FLOW!Y20+20_CASH_FLOW!Y29</f>
        <v>60.3634342645925</v>
      </c>
      <c r="Z22" s="34" t="n">
        <f aca="false">20_CASH_FLOW!Z19+20_CASH_FLOW!Z20+20_CASH_FLOW!Z29</f>
        <v>59.7494514758181</v>
      </c>
      <c r="AA22" s="34" t="n">
        <f aca="false">20_CASH_FLOW!AA19+20_CASH_FLOW!AA20+20_CASH_FLOW!AA29</f>
        <v>59.01840820225</v>
      </c>
      <c r="AB22" s="34" t="n">
        <f aca="false">20_CASH_FLOW!AB19+20_CASH_FLOW!AB20+20_CASH_FLOW!AB29</f>
        <v>127.423339257566</v>
      </c>
      <c r="AC22" s="34" t="n">
        <f aca="false">20_CASH_FLOW!AC19+20_CASH_FLOW!AC20+20_CASH_FLOW!AC29</f>
        <v>129.46262803275</v>
      </c>
      <c r="AD22" s="34" t="n">
        <f aca="false">20_CASH_FLOW!AD19+20_CASH_FLOW!AD20+20_CASH_FLOW!AD29</f>
        <v>113.174922178898</v>
      </c>
      <c r="AE22" s="34" t="n">
        <f aca="false">20_CASH_FLOW!AE19+20_CASH_FLOW!AE20+20_CASH_FLOW!AE29</f>
        <v>115.28247165139</v>
      </c>
      <c r="AF22" s="34" t="n">
        <f aca="false">20_CASH_FLOW!AF19+20_CASH_FLOW!AF20+20_CASH_FLOW!AF29</f>
        <v>117.425178762239</v>
      </c>
      <c r="AG22" s="34" t="n">
        <f aca="false">20_CASH_FLOW!AG19+20_CASH_FLOW!AG20+20_CASH_FLOW!AG29</f>
        <v>119.60374666421</v>
      </c>
      <c r="AH22" s="34" t="n">
        <f aca="false">20_CASH_FLOW!AH19+20_CASH_FLOW!AH20+20_CASH_FLOW!AH29</f>
        <v>121.818892573127</v>
      </c>
      <c r="AI22" s="34" t="n">
        <f aca="false">20_CASH_FLOW!AI19+20_CASH_FLOW!AI20+20_CASH_FLOW!AI29</f>
        <v>140.722183986819</v>
      </c>
      <c r="AJ22" s="34" t="n">
        <f aca="false">20_CASH_FLOW!AJ19+20_CASH_FLOW!AJ20+20_CASH_FLOW!AJ29</f>
        <v>142.663027666556</v>
      </c>
      <c r="AK22" s="34" t="n">
        <f aca="false">20_CASH_FLOW!AK19+20_CASH_FLOW!AK20+20_CASH_FLOW!AK29</f>
        <v>144.642688219887</v>
      </c>
      <c r="AL22" s="34" t="n">
        <f aca="false">20_CASH_FLOW!AL19+20_CASH_FLOW!AL20+20_CASH_FLOW!AL29</f>
        <v>146.661941984284</v>
      </c>
      <c r="AM22" s="34" t="n">
        <f aca="false">20_CASH_FLOW!AM19+20_CASH_FLOW!AM20+20_CASH_FLOW!AM29</f>
        <v>148.72158082397</v>
      </c>
      <c r="AN22" s="34" t="n">
        <f aca="false">20_CASH_FLOW!AN19+20_CASH_FLOW!AN20+20_CASH_FLOW!AN29</f>
        <v>0</v>
      </c>
      <c r="AO22" s="34" t="n">
        <f aca="false">20_CASH_FLOW!AO19+20_CASH_FLOW!AO20+20_CASH_FLOW!AO29</f>
        <v>0</v>
      </c>
      <c r="AP22" s="34" t="n">
        <f aca="false">20_CASH_FLOW!AP19+20_CASH_FLOW!AP20+20_CASH_FLOW!AP29</f>
        <v>0</v>
      </c>
      <c r="AQ22" s="34" t="n">
        <f aca="false">20_CASH_FLOW!AQ19+20_CASH_FLOW!AQ20+20_CASH_FLOW!AQ29</f>
        <v>0</v>
      </c>
      <c r="AR22" s="34" t="n">
        <f aca="false">20_CASH_FLOW!AR19+20_CASH_FLOW!AR20+20_CASH_FLOW!AR29</f>
        <v>0</v>
      </c>
    </row>
    <row r="23" customFormat="false" ht="15" hidden="false" customHeight="false" outlineLevel="0" collapsed="false">
      <c r="A23" s="8" t="s">
        <v>762</v>
      </c>
      <c r="B23" s="8" t="s">
        <v>84</v>
      </c>
      <c r="C23" s="34" t="n">
        <f aca="false">SUM(20_CASH_FLOW!$E$23:$AR$23)</f>
        <v>0</v>
      </c>
      <c r="E23" s="34" t="n">
        <f aca="false">06_CONSTRUCTION!E14*MIN(20_CASH_FLOW!D26,MAX(0,-20_CASH_FLOW!E22))</f>
        <v>-0</v>
      </c>
      <c r="F23" s="34" t="n">
        <f aca="false">06_CONSTRUCTION!F14*MIN(20_CASH_FLOW!E26,MAX(0,-20_CASH_FLOW!F22))</f>
        <v>-0</v>
      </c>
      <c r="G23" s="34" t="n">
        <f aca="false">06_CONSTRUCTION!G14*MIN(20_CASH_FLOW!F26,MAX(0,-20_CASH_FLOW!G22))</f>
        <v>-0</v>
      </c>
      <c r="H23" s="34" t="n">
        <f aca="false">06_CONSTRUCTION!H14*MIN(20_CASH_FLOW!G26,MAX(0,-20_CASH_FLOW!H22))</f>
        <v>-0</v>
      </c>
      <c r="I23" s="34" t="n">
        <f aca="false">06_CONSTRUCTION!I14*MIN(20_CASH_FLOW!H26,MAX(0,-20_CASH_FLOW!I22))</f>
        <v>-0</v>
      </c>
      <c r="J23" s="34" t="n">
        <f aca="false">06_CONSTRUCTION!J14*MIN(20_CASH_FLOW!I26,MAX(0,-20_CASH_FLOW!J22))</f>
        <v>0</v>
      </c>
      <c r="K23" s="34" t="n">
        <f aca="false">06_CONSTRUCTION!K14*MIN(20_CASH_FLOW!J26,MAX(0,-20_CASH_FLOW!K22))</f>
        <v>0</v>
      </c>
      <c r="L23" s="34" t="n">
        <f aca="false">06_CONSTRUCTION!L14*MIN(20_CASH_FLOW!K26,MAX(0,-20_CASH_FLOW!L22))</f>
        <v>0</v>
      </c>
      <c r="M23" s="34" t="n">
        <f aca="false">06_CONSTRUCTION!M14*MIN(20_CASH_FLOW!L26,MAX(0,-20_CASH_FLOW!M22))</f>
        <v>0</v>
      </c>
      <c r="N23" s="34" t="n">
        <f aca="false">06_CONSTRUCTION!N14*MIN(20_CASH_FLOW!M26,MAX(0,-20_CASH_FLOW!N22))</f>
        <v>0</v>
      </c>
      <c r="O23" s="34" t="n">
        <f aca="false">06_CONSTRUCTION!O14*MIN(20_CASH_FLOW!N26,MAX(0,-20_CASH_FLOW!O22))</f>
        <v>0</v>
      </c>
      <c r="P23" s="34" t="n">
        <f aca="false">06_CONSTRUCTION!P14*MIN(20_CASH_FLOW!O26,MAX(0,-20_CASH_FLOW!P22))</f>
        <v>0</v>
      </c>
      <c r="Q23" s="34" t="n">
        <f aca="false">06_CONSTRUCTION!Q14*MIN(20_CASH_FLOW!P26,MAX(0,-20_CASH_FLOW!Q22))</f>
        <v>0</v>
      </c>
      <c r="R23" s="34" t="n">
        <f aca="false">06_CONSTRUCTION!R14*MIN(20_CASH_FLOW!Q26,MAX(0,-20_CASH_FLOW!R22))</f>
        <v>0</v>
      </c>
      <c r="S23" s="34" t="n">
        <f aca="false">06_CONSTRUCTION!S14*MIN(20_CASH_FLOW!R26,MAX(0,-20_CASH_FLOW!S22))</f>
        <v>0</v>
      </c>
      <c r="T23" s="34" t="n">
        <f aca="false">06_CONSTRUCTION!T14*MIN(20_CASH_FLOW!S26,MAX(0,-20_CASH_FLOW!T22))</f>
        <v>0</v>
      </c>
      <c r="U23" s="34" t="n">
        <f aca="false">06_CONSTRUCTION!U14*MIN(20_CASH_FLOW!T26,MAX(0,-20_CASH_FLOW!U22))</f>
        <v>0</v>
      </c>
      <c r="V23" s="34" t="n">
        <f aca="false">06_CONSTRUCTION!V14*MIN(20_CASH_FLOW!U26,MAX(0,-20_CASH_FLOW!V22))</f>
        <v>0</v>
      </c>
      <c r="W23" s="34" t="n">
        <f aca="false">06_CONSTRUCTION!W14*MIN(20_CASH_FLOW!V26,MAX(0,-20_CASH_FLOW!W22))</f>
        <v>0</v>
      </c>
      <c r="X23" s="34" t="n">
        <f aca="false">06_CONSTRUCTION!X14*MIN(20_CASH_FLOW!W26,MAX(0,-20_CASH_FLOW!X22))</f>
        <v>0</v>
      </c>
      <c r="Y23" s="34" t="n">
        <f aca="false">06_CONSTRUCTION!Y14*MIN(20_CASH_FLOW!X26,MAX(0,-20_CASH_FLOW!Y22))</f>
        <v>0</v>
      </c>
      <c r="Z23" s="34" t="n">
        <f aca="false">06_CONSTRUCTION!Z14*MIN(20_CASH_FLOW!Y26,MAX(0,-20_CASH_FLOW!Z22))</f>
        <v>0</v>
      </c>
      <c r="AA23" s="34" t="n">
        <f aca="false">06_CONSTRUCTION!AA14*MIN(20_CASH_FLOW!Z26,MAX(0,-20_CASH_FLOW!AA22))</f>
        <v>0</v>
      </c>
      <c r="AB23" s="34" t="n">
        <f aca="false">06_CONSTRUCTION!AB14*MIN(20_CASH_FLOW!AA26,MAX(0,-20_CASH_FLOW!AB22))</f>
        <v>0</v>
      </c>
      <c r="AC23" s="34" t="n">
        <f aca="false">06_CONSTRUCTION!AC14*MIN(20_CASH_FLOW!AB26,MAX(0,-20_CASH_FLOW!AC22))</f>
        <v>0</v>
      </c>
      <c r="AD23" s="34" t="n">
        <f aca="false">06_CONSTRUCTION!AD14*MIN(20_CASH_FLOW!AC26,MAX(0,-20_CASH_FLOW!AD22))</f>
        <v>0</v>
      </c>
      <c r="AE23" s="34" t="n">
        <f aca="false">06_CONSTRUCTION!AE14*MIN(20_CASH_FLOW!AD26,MAX(0,-20_CASH_FLOW!AE22))</f>
        <v>0</v>
      </c>
      <c r="AF23" s="34" t="n">
        <f aca="false">06_CONSTRUCTION!AF14*MIN(20_CASH_FLOW!AE26,MAX(0,-20_CASH_FLOW!AF22))</f>
        <v>0</v>
      </c>
      <c r="AG23" s="34" t="n">
        <f aca="false">06_CONSTRUCTION!AG14*MIN(20_CASH_FLOW!AF26,MAX(0,-20_CASH_FLOW!AG22))</f>
        <v>0</v>
      </c>
      <c r="AH23" s="34" t="n">
        <f aca="false">06_CONSTRUCTION!AH14*MIN(20_CASH_FLOW!AG26,MAX(0,-20_CASH_FLOW!AH22))</f>
        <v>0</v>
      </c>
      <c r="AI23" s="34" t="n">
        <f aca="false">06_CONSTRUCTION!AI14*MIN(20_CASH_FLOW!AH26,MAX(0,-20_CASH_FLOW!AI22))</f>
        <v>0</v>
      </c>
      <c r="AJ23" s="34" t="n">
        <f aca="false">06_CONSTRUCTION!AJ14*MIN(20_CASH_FLOW!AI26,MAX(0,-20_CASH_FLOW!AJ22))</f>
        <v>0</v>
      </c>
      <c r="AK23" s="34" t="n">
        <f aca="false">06_CONSTRUCTION!AK14*MIN(20_CASH_FLOW!AJ26,MAX(0,-20_CASH_FLOW!AK22))</f>
        <v>0</v>
      </c>
      <c r="AL23" s="34" t="n">
        <f aca="false">06_CONSTRUCTION!AL14*MIN(20_CASH_FLOW!AK26,MAX(0,-20_CASH_FLOW!AL22))</f>
        <v>0</v>
      </c>
      <c r="AM23" s="34" t="n">
        <f aca="false">06_CONSTRUCTION!AM14*MIN(20_CASH_FLOW!AL26,MAX(0,-20_CASH_FLOW!AM22))</f>
        <v>0</v>
      </c>
      <c r="AN23" s="34" t="n">
        <f aca="false">06_CONSTRUCTION!AN14*MIN(20_CASH_FLOW!AM26,MAX(0,-20_CASH_FLOW!AN22))</f>
        <v>-0</v>
      </c>
      <c r="AO23" s="34" t="n">
        <f aca="false">06_CONSTRUCTION!AO14*MIN(20_CASH_FLOW!AN26,MAX(0,-20_CASH_FLOW!AO22))</f>
        <v>-0</v>
      </c>
      <c r="AP23" s="34" t="n">
        <f aca="false">06_CONSTRUCTION!AP14*MIN(20_CASH_FLOW!AO26,MAX(0,-20_CASH_FLOW!AP22))</f>
        <v>-0</v>
      </c>
      <c r="AQ23" s="34" t="n">
        <f aca="false">06_CONSTRUCTION!AQ14*MIN(20_CASH_FLOW!AP26,MAX(0,-20_CASH_FLOW!AQ22))</f>
        <v>-0</v>
      </c>
      <c r="AR23" s="34" t="n">
        <f aca="false">06_CONSTRUCTION!AR14*MIN(20_CASH_FLOW!AQ26,MAX(0,-20_CASH_FLOW!AR22))</f>
        <v>-0</v>
      </c>
    </row>
    <row r="24" customFormat="false" ht="15" hidden="false" customHeight="false" outlineLevel="0" collapsed="false">
      <c r="A24" s="8" t="s">
        <v>763</v>
      </c>
      <c r="B24" s="8" t="s">
        <v>84</v>
      </c>
      <c r="C24" s="34" t="n">
        <f aca="false">SUM(20_CASH_FLOW!$E$24:$AR$24)</f>
        <v>51.1049204893125</v>
      </c>
      <c r="E24" s="34" t="n">
        <f aca="false">06_CONSTRUCTION!E14*MAX(0,20_CASH_FLOW!D26-20_CASH_FLOW!E23-18_DEBT!E43)</f>
        <v>0</v>
      </c>
      <c r="F24" s="34" t="n">
        <f aca="false">06_CONSTRUCTION!F14*MAX(0,20_CASH_FLOW!E26-20_CASH_FLOW!F23-18_DEBT!F43)</f>
        <v>0</v>
      </c>
      <c r="G24" s="34" t="n">
        <f aca="false">06_CONSTRUCTION!G14*MAX(0,20_CASH_FLOW!F26-20_CASH_FLOW!G23-18_DEBT!G43)</f>
        <v>0</v>
      </c>
      <c r="H24" s="34" t="n">
        <f aca="false">06_CONSTRUCTION!H14*MAX(0,20_CASH_FLOW!G26-20_CASH_FLOW!H23-18_DEBT!H43)</f>
        <v>0</v>
      </c>
      <c r="I24" s="34" t="n">
        <f aca="false">06_CONSTRUCTION!I14*MAX(0,20_CASH_FLOW!H26-20_CASH_FLOW!I23-18_DEBT!I43)</f>
        <v>0</v>
      </c>
      <c r="J24" s="34" t="n">
        <f aca="false">06_CONSTRUCTION!J14*MAX(0,20_CASH_FLOW!I26-20_CASH_FLOW!J23-18_DEBT!J43)</f>
        <v>0</v>
      </c>
      <c r="K24" s="34" t="n">
        <f aca="false">06_CONSTRUCTION!K14*MAX(0,20_CASH_FLOW!J26-20_CASH_FLOW!K23-18_DEBT!K43)</f>
        <v>0</v>
      </c>
      <c r="L24" s="34" t="n">
        <f aca="false">06_CONSTRUCTION!L14*MAX(0,20_CASH_FLOW!K26-20_CASH_FLOW!L23-18_DEBT!L43)</f>
        <v>0</v>
      </c>
      <c r="M24" s="34" t="n">
        <f aca="false">06_CONSTRUCTION!M14*MAX(0,20_CASH_FLOW!L26-20_CASH_FLOW!M23-18_DEBT!M43)</f>
        <v>0</v>
      </c>
      <c r="N24" s="34" t="n">
        <f aca="false">06_CONSTRUCTION!N14*MAX(0,20_CASH_FLOW!M26-20_CASH_FLOW!N23-18_DEBT!N43)</f>
        <v>6.82748465272547</v>
      </c>
      <c r="O24" s="34" t="n">
        <f aca="false">06_CONSTRUCTION!O14*MAX(0,20_CASH_FLOW!N26-20_CASH_FLOW!O23-18_DEBT!O43)</f>
        <v>0</v>
      </c>
      <c r="P24" s="34" t="n">
        <f aca="false">06_CONSTRUCTION!P14*MAX(0,20_CASH_FLOW!O26-20_CASH_FLOW!P23-18_DEBT!P43)</f>
        <v>0</v>
      </c>
      <c r="Q24" s="34" t="n">
        <f aca="false">06_CONSTRUCTION!Q14*MAX(0,20_CASH_FLOW!P26-20_CASH_FLOW!Q23-18_DEBT!Q43)</f>
        <v>0</v>
      </c>
      <c r="R24" s="34" t="n">
        <f aca="false">06_CONSTRUCTION!R14*MAX(0,20_CASH_FLOW!Q26-20_CASH_FLOW!R23-18_DEBT!R43)</f>
        <v>0</v>
      </c>
      <c r="S24" s="34" t="n">
        <f aca="false">06_CONSTRUCTION!S14*MAX(0,20_CASH_FLOW!R26-20_CASH_FLOW!S23-18_DEBT!S43)</f>
        <v>0</v>
      </c>
      <c r="T24" s="34" t="n">
        <f aca="false">06_CONSTRUCTION!T14*MAX(0,20_CASH_FLOW!S26-20_CASH_FLOW!T23-18_DEBT!T43)</f>
        <v>0</v>
      </c>
      <c r="U24" s="34" t="n">
        <f aca="false">06_CONSTRUCTION!U14*MAX(0,20_CASH_FLOW!T26-20_CASH_FLOW!U23-18_DEBT!U43)</f>
        <v>0</v>
      </c>
      <c r="V24" s="34" t="n">
        <f aca="false">06_CONSTRUCTION!V14*MAX(0,20_CASH_FLOW!U26-20_CASH_FLOW!V23-18_DEBT!V43)</f>
        <v>0</v>
      </c>
      <c r="W24" s="34" t="n">
        <f aca="false">06_CONSTRUCTION!W14*MAX(0,20_CASH_FLOW!V26-20_CASH_FLOW!W23-18_DEBT!W43)</f>
        <v>0</v>
      </c>
      <c r="X24" s="34" t="n">
        <f aca="false">06_CONSTRUCTION!X14*MAX(0,20_CASH_FLOW!W26-20_CASH_FLOW!X23-18_DEBT!X43)</f>
        <v>0</v>
      </c>
      <c r="Y24" s="34" t="n">
        <f aca="false">06_CONSTRUCTION!Y14*MAX(0,20_CASH_FLOW!X26-20_CASH_FLOW!Y23-18_DEBT!Y43)</f>
        <v>0</v>
      </c>
      <c r="Z24" s="34" t="n">
        <f aca="false">06_CONSTRUCTION!Z14*MAX(0,20_CASH_FLOW!Y26-20_CASH_FLOW!Z23-18_DEBT!Z43)</f>
        <v>0</v>
      </c>
      <c r="AA24" s="34" t="n">
        <f aca="false">06_CONSTRUCTION!AA14*MAX(0,20_CASH_FLOW!Z26-20_CASH_FLOW!AA23-18_DEBT!AA43)</f>
        <v>34.2036800942846</v>
      </c>
      <c r="AB24" s="34" t="n">
        <f aca="false">06_CONSTRUCTION!AB14*MAX(0,20_CASH_FLOW!AA26-20_CASH_FLOW!AB23-18_DEBT!AB43)</f>
        <v>0.249762539065353</v>
      </c>
      <c r="AC24" s="34" t="n">
        <f aca="false">06_CONSTRUCTION!AC14*MAX(0,20_CASH_FLOW!AB26-20_CASH_FLOW!AC23-18_DEBT!AC43)</f>
        <v>0.249762539065351</v>
      </c>
      <c r="AD24" s="34" t="n">
        <f aca="false">06_CONSTRUCTION!AD14*MAX(0,20_CASH_FLOW!AC26-20_CASH_FLOW!AD23-18_DEBT!AD43)</f>
        <v>0.249762539065351</v>
      </c>
      <c r="AE24" s="34" t="n">
        <f aca="false">06_CONSTRUCTION!AE14*MAX(0,20_CASH_FLOW!AD26-20_CASH_FLOW!AE23-18_DEBT!AE43)</f>
        <v>0.249762539065351</v>
      </c>
      <c r="AF24" s="34" t="n">
        <f aca="false">06_CONSTRUCTION!AF14*MAX(0,20_CASH_FLOW!AE26-20_CASH_FLOW!AF23-18_DEBT!AF43)</f>
        <v>0.249762539065351</v>
      </c>
      <c r="AG24" s="34" t="n">
        <f aca="false">06_CONSTRUCTION!AG14*MAX(0,20_CASH_FLOW!AF26-20_CASH_FLOW!AG23-18_DEBT!AG43)</f>
        <v>0.249762539065353</v>
      </c>
      <c r="AH24" s="34" t="n">
        <f aca="false">06_CONSTRUCTION!AH14*MAX(0,20_CASH_FLOW!AG26-20_CASH_FLOW!AH23-18_DEBT!AH43)</f>
        <v>8.5751805079104</v>
      </c>
      <c r="AI24" s="34" t="n">
        <f aca="false">06_CONSTRUCTION!AI14*MAX(0,20_CASH_FLOW!AH26-20_CASH_FLOW!AI23-18_DEBT!AI43)</f>
        <v>0</v>
      </c>
      <c r="AJ24" s="34" t="n">
        <f aca="false">06_CONSTRUCTION!AJ14*MAX(0,20_CASH_FLOW!AI26-20_CASH_FLOW!AJ23-18_DEBT!AJ43)</f>
        <v>0</v>
      </c>
      <c r="AK24" s="34" t="n">
        <f aca="false">06_CONSTRUCTION!AK14*MAX(0,20_CASH_FLOW!AJ26-20_CASH_FLOW!AK23-18_DEBT!AK43)</f>
        <v>0</v>
      </c>
      <c r="AL24" s="34" t="n">
        <f aca="false">06_CONSTRUCTION!AL14*MAX(0,20_CASH_FLOW!AK26-20_CASH_FLOW!AL23-18_DEBT!AL43)</f>
        <v>0</v>
      </c>
      <c r="AM24" s="34" t="n">
        <f aca="false">06_CONSTRUCTION!AM14*MAX(0,20_CASH_FLOW!AL26-20_CASH_FLOW!AM23-18_DEBT!AM43)</f>
        <v>0</v>
      </c>
      <c r="AN24" s="34" t="n">
        <f aca="false">06_CONSTRUCTION!AN14*MAX(0,20_CASH_FLOW!AM26-20_CASH_FLOW!AN23-18_DEBT!AN43)</f>
        <v>0</v>
      </c>
      <c r="AO24" s="34" t="n">
        <f aca="false">06_CONSTRUCTION!AO14*MAX(0,20_CASH_FLOW!AN26-20_CASH_FLOW!AO23-18_DEBT!AO43)</f>
        <v>0</v>
      </c>
      <c r="AP24" s="34" t="n">
        <f aca="false">06_CONSTRUCTION!AP14*MAX(0,20_CASH_FLOW!AO26-20_CASH_FLOW!AP23-18_DEBT!AP43)</f>
        <v>0</v>
      </c>
      <c r="AQ24" s="34" t="n">
        <f aca="false">06_CONSTRUCTION!AQ14*MAX(0,20_CASH_FLOW!AP26-20_CASH_FLOW!AQ23-18_DEBT!AQ43)</f>
        <v>0</v>
      </c>
      <c r="AR24" s="34" t="n">
        <f aca="false">06_CONSTRUCTION!AR14*MAX(0,20_CASH_FLOW!AQ26-20_CASH_FLOW!AR23-18_DEBT!AR43)</f>
        <v>0</v>
      </c>
    </row>
    <row r="25" customFormat="false" ht="15" hidden="false" customHeight="false" outlineLevel="0" collapsed="false">
      <c r="A25" s="8" t="s">
        <v>764</v>
      </c>
      <c r="B25" s="8" t="s">
        <v>84</v>
      </c>
      <c r="C25" s="34" t="n">
        <f aca="false">SUM(20_CASH_FLOW!$E$25:$AR$25)</f>
        <v>14.2328304630765</v>
      </c>
      <c r="E25" s="34" t="n">
        <f aca="false">06_CONSTRUCTION!E14*MIN(MAX(0,18_DEBT!E43-20_CASH_FLOW!D26+20_CASH_FLOW!E23),MAX(0,20_CASH_FLOW!E22))</f>
        <v>0</v>
      </c>
      <c r="F25" s="34" t="n">
        <f aca="false">06_CONSTRUCTION!F14*MIN(MAX(0,18_DEBT!F43-20_CASH_FLOW!E26+20_CASH_FLOW!F23),MAX(0,20_CASH_FLOW!F22))</f>
        <v>0</v>
      </c>
      <c r="G25" s="34" t="n">
        <f aca="false">06_CONSTRUCTION!G14*MIN(MAX(0,18_DEBT!G43-20_CASH_FLOW!F26+20_CASH_FLOW!G23),MAX(0,20_CASH_FLOW!G22))</f>
        <v>0</v>
      </c>
      <c r="H25" s="34" t="n">
        <f aca="false">06_CONSTRUCTION!H14*MIN(MAX(0,18_DEBT!H43-20_CASH_FLOW!G26+20_CASH_FLOW!H23),MAX(0,20_CASH_FLOW!H22))</f>
        <v>0</v>
      </c>
      <c r="I25" s="34" t="n">
        <f aca="false">06_CONSTRUCTION!I14*MIN(MAX(0,18_DEBT!I43-20_CASH_FLOW!H26+20_CASH_FLOW!I23),MAX(0,20_CASH_FLOW!I22))</f>
        <v>0</v>
      </c>
      <c r="J25" s="34" t="n">
        <f aca="false">06_CONSTRUCTION!J14*MIN(MAX(0,18_DEBT!J43-20_CASH_FLOW!I26+20_CASH_FLOW!J23),MAX(0,20_CASH_FLOW!J22))</f>
        <v>8.25754702773474</v>
      </c>
      <c r="K25" s="34" t="n">
        <f aca="false">06_CONSTRUCTION!K14*MIN(MAX(0,18_DEBT!K43-20_CASH_FLOW!J26+20_CASH_FLOW!K23),MAX(0,20_CASH_FLOW!K22))</f>
        <v>0.495180017000827</v>
      </c>
      <c r="L25" s="34" t="n">
        <f aca="false">06_CONSTRUCTION!L14*MIN(MAX(0,18_DEBT!L43-20_CASH_FLOW!K26+20_CASH_FLOW!L23),MAX(0,20_CASH_FLOW!L22))</f>
        <v>0.505083617340851</v>
      </c>
      <c r="M25" s="34" t="n">
        <f aca="false">06_CONSTRUCTION!M14*MIN(MAX(0,18_DEBT!M43-20_CASH_FLOW!L26+20_CASH_FLOW!M23),MAX(0,20_CASH_FLOW!M22))</f>
        <v>0.515185289687679</v>
      </c>
      <c r="N25" s="34" t="n">
        <f aca="false">06_CONSTRUCTION!N14*MIN(MAX(0,18_DEBT!N43-20_CASH_FLOW!M26+20_CASH_FLOW!N23),MAX(0,20_CASH_FLOW!N22))</f>
        <v>0</v>
      </c>
      <c r="O25" s="34" t="n">
        <f aca="false">06_CONSTRUCTION!O14*MIN(MAX(0,18_DEBT!O43-20_CASH_FLOW!N26+20_CASH_FLOW!O23),MAX(0,20_CASH_FLOW!O22))</f>
        <v>0.327501637983367</v>
      </c>
      <c r="P25" s="34" t="n">
        <f aca="false">06_CONSTRUCTION!P14*MIN(MAX(0,18_DEBT!P43-20_CASH_FLOW!O26+20_CASH_FLOW!P23),MAX(0,20_CASH_FLOW!P22))</f>
        <v>0.335005620838821</v>
      </c>
      <c r="Q25" s="34" t="n">
        <f aca="false">06_CONSTRUCTION!Q14*MIN(MAX(0,18_DEBT!Q43-20_CASH_FLOW!P26+20_CASH_FLOW!Q23),MAX(0,20_CASH_FLOW!Q22))</f>
        <v>0.342659683351428</v>
      </c>
      <c r="R25" s="34" t="n">
        <f aca="false">06_CONSTRUCTION!R14*MIN(MAX(0,18_DEBT!R43-20_CASH_FLOW!Q26+20_CASH_FLOW!R23),MAX(0,20_CASH_FLOW!R22))</f>
        <v>0.350466827114246</v>
      </c>
      <c r="S25" s="34" t="n">
        <f aca="false">06_CONSTRUCTION!S14*MIN(MAX(0,18_DEBT!S43-20_CASH_FLOW!R26+20_CASH_FLOW!S23),MAX(0,20_CASH_FLOW!S22))</f>
        <v>0.358430113752334</v>
      </c>
      <c r="T25" s="34" t="n">
        <f aca="false">06_CONSTRUCTION!T14*MIN(MAX(0,18_DEBT!T43-20_CASH_FLOW!S26+20_CASH_FLOW!T23),MAX(0,20_CASH_FLOW!T22))</f>
        <v>0.366552666123212</v>
      </c>
      <c r="U25" s="34" t="n">
        <f aca="false">06_CONSTRUCTION!U14*MIN(MAX(0,18_DEBT!U43-20_CASH_FLOW!T26+20_CASH_FLOW!U23),MAX(0,20_CASH_FLOW!U22))</f>
        <v>0.374837669541463</v>
      </c>
      <c r="V25" s="34" t="n">
        <f aca="false">06_CONSTRUCTION!V14*MIN(MAX(0,18_DEBT!V43-20_CASH_FLOW!U26+20_CASH_FLOW!V23),MAX(0,20_CASH_FLOW!V22))</f>
        <v>0.383288373028101</v>
      </c>
      <c r="W25" s="34" t="n">
        <f aca="false">06_CONSTRUCTION!W14*MIN(MAX(0,18_DEBT!W43-20_CASH_FLOW!V26+20_CASH_FLOW!W23),MAX(0,20_CASH_FLOW!W22))</f>
        <v>0.391908090584494</v>
      </c>
      <c r="X25" s="34" t="n">
        <f aca="false">06_CONSTRUCTION!X14*MIN(MAX(0,18_DEBT!X43-20_CASH_FLOW!W26+20_CASH_FLOW!X23),MAX(0,20_CASH_FLOW!X22))</f>
        <v>0.400700202491962</v>
      </c>
      <c r="Y25" s="34" t="n">
        <f aca="false">06_CONSTRUCTION!Y14*MIN(MAX(0,18_DEBT!Y43-20_CASH_FLOW!X26+20_CASH_FLOW!Y23),MAX(0,20_CASH_FLOW!Y22))</f>
        <v>0.409668156637615</v>
      </c>
      <c r="Z25" s="34" t="n">
        <f aca="false">06_CONSTRUCTION!Z14*MIN(MAX(0,18_DEBT!Z43-20_CASH_FLOW!Y26+20_CASH_FLOW!Z23),MAX(0,20_CASH_FLOW!Z22))</f>
        <v>0.418815469865372</v>
      </c>
      <c r="AA25" s="34" t="n">
        <f aca="false">06_CONSTRUCTION!AA14*MIN(MAX(0,18_DEBT!AA43-20_CASH_FLOW!Z26+20_CASH_FLOW!AA23),MAX(0,20_CASH_FLOW!AA22))</f>
        <v>0</v>
      </c>
      <c r="AB25" s="34" t="n">
        <f aca="false">06_CONSTRUCTION!AB14*MIN(MAX(0,18_DEBT!AB43-20_CASH_FLOW!AA26+20_CASH_FLOW!AB23),MAX(0,20_CASH_FLOW!AB22))</f>
        <v>0</v>
      </c>
      <c r="AC25" s="34" t="n">
        <f aca="false">06_CONSTRUCTION!AC14*MIN(MAX(0,18_DEBT!AC43-20_CASH_FLOW!AB26+20_CASH_FLOW!AC23),MAX(0,20_CASH_FLOW!AC22))</f>
        <v>0</v>
      </c>
      <c r="AD25" s="34" t="n">
        <f aca="false">06_CONSTRUCTION!AD14*MIN(MAX(0,18_DEBT!AD43-20_CASH_FLOW!AC26+20_CASH_FLOW!AD23),MAX(0,20_CASH_FLOW!AD22))</f>
        <v>0</v>
      </c>
      <c r="AE25" s="34" t="n">
        <f aca="false">06_CONSTRUCTION!AE14*MIN(MAX(0,18_DEBT!AE43-20_CASH_FLOW!AD26+20_CASH_FLOW!AE23),MAX(0,20_CASH_FLOW!AE22))</f>
        <v>0</v>
      </c>
      <c r="AF25" s="34" t="n">
        <f aca="false">06_CONSTRUCTION!AF14*MIN(MAX(0,18_DEBT!AF43-20_CASH_FLOW!AE26+20_CASH_FLOW!AF23),MAX(0,20_CASH_FLOW!AF22))</f>
        <v>0</v>
      </c>
      <c r="AG25" s="34" t="n">
        <f aca="false">06_CONSTRUCTION!AG14*MIN(MAX(0,18_DEBT!AG43-20_CASH_FLOW!AF26+20_CASH_FLOW!AG23),MAX(0,20_CASH_FLOW!AG22))</f>
        <v>0</v>
      </c>
      <c r="AH25" s="34" t="n">
        <f aca="false">06_CONSTRUCTION!AH14*MIN(MAX(0,18_DEBT!AH43-20_CASH_FLOW!AG26+20_CASH_FLOW!AH23),MAX(0,20_CASH_FLOW!AH22))</f>
        <v>0</v>
      </c>
      <c r="AI25" s="34" t="n">
        <f aca="false">06_CONSTRUCTION!AI14*MIN(MAX(0,18_DEBT!AI43-20_CASH_FLOW!AH26+20_CASH_FLOW!AI23),MAX(0,20_CASH_FLOW!AI22))</f>
        <v>0</v>
      </c>
      <c r="AJ25" s="34" t="n">
        <f aca="false">06_CONSTRUCTION!AJ14*MIN(MAX(0,18_DEBT!AJ43-20_CASH_FLOW!AI26+20_CASH_FLOW!AJ23),MAX(0,20_CASH_FLOW!AJ22))</f>
        <v>0</v>
      </c>
      <c r="AK25" s="34" t="n">
        <f aca="false">06_CONSTRUCTION!AK14*MIN(MAX(0,18_DEBT!AK43-20_CASH_FLOW!AJ26+20_CASH_FLOW!AK23),MAX(0,20_CASH_FLOW!AK22))</f>
        <v>0</v>
      </c>
      <c r="AL25" s="34" t="n">
        <f aca="false">06_CONSTRUCTION!AL14*MIN(MAX(0,18_DEBT!AL43-20_CASH_FLOW!AK26+20_CASH_FLOW!AL23),MAX(0,20_CASH_FLOW!AL22))</f>
        <v>0</v>
      </c>
      <c r="AM25" s="34" t="n">
        <f aca="false">06_CONSTRUCTION!AM14*MIN(MAX(0,18_DEBT!AM43-20_CASH_FLOW!AL26+20_CASH_FLOW!AM23),MAX(0,20_CASH_FLOW!AM22))</f>
        <v>0</v>
      </c>
      <c r="AN25" s="34" t="n">
        <f aca="false">06_CONSTRUCTION!AN14*MIN(MAX(0,18_DEBT!AN43-20_CASH_FLOW!AM26+20_CASH_FLOW!AN23),MAX(0,20_CASH_FLOW!AN22))</f>
        <v>0</v>
      </c>
      <c r="AO25" s="34" t="n">
        <f aca="false">06_CONSTRUCTION!AO14*MIN(MAX(0,18_DEBT!AO43-20_CASH_FLOW!AN26+20_CASH_FLOW!AO23),MAX(0,20_CASH_FLOW!AO22))</f>
        <v>0</v>
      </c>
      <c r="AP25" s="34" t="n">
        <f aca="false">06_CONSTRUCTION!AP14*MIN(MAX(0,18_DEBT!AP43-20_CASH_FLOW!AO26+20_CASH_FLOW!AP23),MAX(0,20_CASH_FLOW!AP22))</f>
        <v>0</v>
      </c>
      <c r="AQ25" s="34" t="n">
        <f aca="false">06_CONSTRUCTION!AQ14*MIN(MAX(0,18_DEBT!AQ43-20_CASH_FLOW!AP26+20_CASH_FLOW!AQ23),MAX(0,20_CASH_FLOW!AQ22))</f>
        <v>0</v>
      </c>
      <c r="AR25" s="34" t="n">
        <f aca="false">06_CONSTRUCTION!AR14*MIN(MAX(0,18_DEBT!AR43-20_CASH_FLOW!AQ26+20_CASH_FLOW!AR23),MAX(0,20_CASH_FLOW!AR22))</f>
        <v>0</v>
      </c>
    </row>
    <row r="26" customFormat="false" ht="15" hidden="false" customHeight="false" outlineLevel="0" collapsed="false">
      <c r="A26" s="8" t="s">
        <v>765</v>
      </c>
      <c r="B26" s="8" t="s">
        <v>84</v>
      </c>
      <c r="E26" s="34" t="n">
        <f aca="false">20_CASH_FLOW!D26+18_DEBT!E44-20_CASH_FLOW!E23-20_CASH_FLOW!E24+20_CASH_FLOW!E25</f>
        <v>0</v>
      </c>
      <c r="F26" s="34" t="n">
        <f aca="false">20_CASH_FLOW!E26+18_DEBT!F44-20_CASH_FLOW!F23-20_CASH_FLOW!F24+20_CASH_FLOW!F25</f>
        <v>0</v>
      </c>
      <c r="G26" s="34" t="n">
        <f aca="false">20_CASH_FLOW!F26+18_DEBT!G44-20_CASH_FLOW!G23-20_CASH_FLOW!G24+20_CASH_FLOW!G25</f>
        <v>0</v>
      </c>
      <c r="H26" s="34" t="n">
        <f aca="false">20_CASH_FLOW!G26+18_DEBT!H44-20_CASH_FLOW!H23-20_CASH_FLOW!H24+20_CASH_FLOW!H25</f>
        <v>0</v>
      </c>
      <c r="I26" s="34" t="n">
        <f aca="false">20_CASH_FLOW!H26+18_DEBT!I44-20_CASH_FLOW!I23-20_CASH_FLOW!I24+20_CASH_FLOW!I25</f>
        <v>36.872090026236</v>
      </c>
      <c r="J26" s="34" t="n">
        <f aca="false">20_CASH_FLOW!I26+18_DEBT!J44-20_CASH_FLOW!J23-20_CASH_FLOW!J24+20_CASH_FLOW!J25</f>
        <v>45.1296370539708</v>
      </c>
      <c r="K26" s="34" t="n">
        <f aca="false">20_CASH_FLOW!J26+18_DEBT!K44-20_CASH_FLOW!K23-20_CASH_FLOW!K24+20_CASH_FLOW!K25</f>
        <v>45.6248170709716</v>
      </c>
      <c r="L26" s="34" t="n">
        <f aca="false">20_CASH_FLOW!K26+18_DEBT!L44-20_CASH_FLOW!L23-20_CASH_FLOW!L24+20_CASH_FLOW!L25</f>
        <v>46.1299006883124</v>
      </c>
      <c r="M26" s="34" t="n">
        <f aca="false">20_CASH_FLOW!L26+18_DEBT!M44-20_CASH_FLOW!M23-20_CASH_FLOW!M24+20_CASH_FLOW!M25</f>
        <v>46.6450859780001</v>
      </c>
      <c r="N26" s="34" t="n">
        <f aca="false">20_CASH_FLOW!M26+18_DEBT!N44-20_CASH_FLOW!N23-20_CASH_FLOW!N24+20_CASH_FLOW!N25</f>
        <v>39.8176013252746</v>
      </c>
      <c r="O26" s="34" t="n">
        <f aca="false">20_CASH_FLOW!N26+18_DEBT!O44-20_CASH_FLOW!O23-20_CASH_FLOW!O24+20_CASH_FLOW!O25</f>
        <v>40.145102963258</v>
      </c>
      <c r="P26" s="34" t="n">
        <f aca="false">20_CASH_FLOW!O26+18_DEBT!P44-20_CASH_FLOW!P23-20_CASH_FLOW!P24+20_CASH_FLOW!P25</f>
        <v>40.4801085840968</v>
      </c>
      <c r="Q26" s="34" t="n">
        <f aca="false">20_CASH_FLOW!P26+18_DEBT!Q44-20_CASH_FLOW!Q23-20_CASH_FLOW!Q24+20_CASH_FLOW!Q25</f>
        <v>40.8227682674483</v>
      </c>
      <c r="R26" s="34" t="n">
        <f aca="false">20_CASH_FLOW!Q26+18_DEBT!R44-20_CASH_FLOW!R23-20_CASH_FLOW!R24+20_CASH_FLOW!R25</f>
        <v>41.1732350945625</v>
      </c>
      <c r="S26" s="34" t="n">
        <f aca="false">20_CASH_FLOW!R26+18_DEBT!S44-20_CASH_FLOW!S23-20_CASH_FLOW!S24+20_CASH_FLOW!S25</f>
        <v>41.5316652083148</v>
      </c>
      <c r="T26" s="34" t="n">
        <f aca="false">20_CASH_FLOW!S26+18_DEBT!T44-20_CASH_FLOW!T23-20_CASH_FLOW!T24+20_CASH_FLOW!T25</f>
        <v>41.8982178744381</v>
      </c>
      <c r="U26" s="34" t="n">
        <f aca="false">20_CASH_FLOW!T26+18_DEBT!U44-20_CASH_FLOW!U23-20_CASH_FLOW!U24+20_CASH_FLOW!U25</f>
        <v>42.2730555439795</v>
      </c>
      <c r="V26" s="34" t="n">
        <f aca="false">20_CASH_FLOW!U26+18_DEBT!V44-20_CASH_FLOW!V23-20_CASH_FLOW!V24+20_CASH_FLOW!V25</f>
        <v>42.6563439170076</v>
      </c>
      <c r="W26" s="34" t="n">
        <f aca="false">20_CASH_FLOW!V26+18_DEBT!W44-20_CASH_FLOW!W23-20_CASH_FLOW!W24+20_CASH_FLOW!W25</f>
        <v>43.0482520075921</v>
      </c>
      <c r="X26" s="34" t="n">
        <f aca="false">20_CASH_FLOW!W26+18_DEBT!X44-20_CASH_FLOW!X23-20_CASH_FLOW!X24+20_CASH_FLOW!X25</f>
        <v>43.4489522100841</v>
      </c>
      <c r="Y26" s="34" t="n">
        <f aca="false">20_CASH_FLOW!X26+18_DEBT!Y44-20_CASH_FLOW!Y23-20_CASH_FLOW!Y24+20_CASH_FLOW!Y25</f>
        <v>43.8586203667217</v>
      </c>
      <c r="Z26" s="34" t="n">
        <f aca="false">20_CASH_FLOW!Y26+18_DEBT!Z44-20_CASH_FLOW!Z23-20_CASH_FLOW!Z24+20_CASH_FLOW!Z25</f>
        <v>44.2774358365871</v>
      </c>
      <c r="AA26" s="34" t="n">
        <f aca="false">20_CASH_FLOW!Z26+18_DEBT!AA44-20_CASH_FLOW!AA23-20_CASH_FLOW!AA24+20_CASH_FLOW!AA25</f>
        <v>10.0737557423025</v>
      </c>
      <c r="AB26" s="34" t="n">
        <f aca="false">20_CASH_FLOW!AA26+18_DEBT!AB44-20_CASH_FLOW!AB23-20_CASH_FLOW!AB24+20_CASH_FLOW!AB25</f>
        <v>9.82399320323716</v>
      </c>
      <c r="AC26" s="34" t="n">
        <f aca="false">20_CASH_FLOW!AB26+18_DEBT!AC44-20_CASH_FLOW!AC23-20_CASH_FLOW!AC24+20_CASH_FLOW!AC25</f>
        <v>9.57423066417181</v>
      </c>
      <c r="AD26" s="34" t="n">
        <f aca="false">20_CASH_FLOW!AC26+18_DEBT!AD44-20_CASH_FLOW!AD23-20_CASH_FLOW!AD24+20_CASH_FLOW!AD25</f>
        <v>9.32446812510646</v>
      </c>
      <c r="AE26" s="34" t="n">
        <f aca="false">20_CASH_FLOW!AD26+18_DEBT!AE44-20_CASH_FLOW!AE23-20_CASH_FLOW!AE24+20_CASH_FLOW!AE25</f>
        <v>9.0747055860411</v>
      </c>
      <c r="AF26" s="34" t="n">
        <f aca="false">20_CASH_FLOW!AE26+18_DEBT!AF44-20_CASH_FLOW!AF23-20_CASH_FLOW!AF24+20_CASH_FLOW!AF25</f>
        <v>8.82494304697575</v>
      </c>
      <c r="AG26" s="34" t="n">
        <f aca="false">20_CASH_FLOW!AF26+18_DEBT!AG44-20_CASH_FLOW!AG23-20_CASH_FLOW!AG24+20_CASH_FLOW!AG25</f>
        <v>8.5751805079104</v>
      </c>
      <c r="AH26" s="34" t="n">
        <f aca="false">20_CASH_FLOW!AG26+18_DEBT!AH44-20_CASH_FLOW!AH23-20_CASH_FLOW!AH24+20_CASH_FLOW!AH25</f>
        <v>0</v>
      </c>
      <c r="AI26" s="34" t="n">
        <f aca="false">20_CASH_FLOW!AH26+18_DEBT!AI44-20_CASH_FLOW!AI23-20_CASH_FLOW!AI24+20_CASH_FLOW!AI25</f>
        <v>0</v>
      </c>
      <c r="AJ26" s="34" t="n">
        <f aca="false">20_CASH_FLOW!AI26+18_DEBT!AJ44-20_CASH_FLOW!AJ23-20_CASH_FLOW!AJ24+20_CASH_FLOW!AJ25</f>
        <v>0</v>
      </c>
      <c r="AK26" s="34" t="n">
        <f aca="false">20_CASH_FLOW!AJ26+18_DEBT!AK44-20_CASH_FLOW!AK23-20_CASH_FLOW!AK24+20_CASH_FLOW!AK25</f>
        <v>0</v>
      </c>
      <c r="AL26" s="34" t="n">
        <f aca="false">20_CASH_FLOW!AK26+18_DEBT!AL44-20_CASH_FLOW!AL23-20_CASH_FLOW!AL24+20_CASH_FLOW!AL25</f>
        <v>0</v>
      </c>
      <c r="AM26" s="34" t="n">
        <f aca="false">20_CASH_FLOW!AL26+18_DEBT!AM44-20_CASH_FLOW!AM23-20_CASH_FLOW!AM24+20_CASH_FLOW!AM25</f>
        <v>0</v>
      </c>
      <c r="AN26" s="34" t="n">
        <f aca="false">20_CASH_FLOW!AM26+18_DEBT!AN44-20_CASH_FLOW!AN23-20_CASH_FLOW!AN24+20_CASH_FLOW!AN25</f>
        <v>0</v>
      </c>
      <c r="AO26" s="34" t="n">
        <f aca="false">20_CASH_FLOW!AN26+18_DEBT!AO44-20_CASH_FLOW!AO23-20_CASH_FLOW!AO24+20_CASH_FLOW!AO25</f>
        <v>0</v>
      </c>
      <c r="AP26" s="34" t="n">
        <f aca="false">20_CASH_FLOW!AO26+18_DEBT!AP44-20_CASH_FLOW!AP23-20_CASH_FLOW!AP24+20_CASH_FLOW!AP25</f>
        <v>0</v>
      </c>
      <c r="AQ26" s="34" t="n">
        <f aca="false">20_CASH_FLOW!AP26+18_DEBT!AQ44-20_CASH_FLOW!AQ23-20_CASH_FLOW!AQ24+20_CASH_FLOW!AQ25</f>
        <v>0</v>
      </c>
      <c r="AR26" s="34" t="n">
        <f aca="false">20_CASH_FLOW!AQ26+18_DEBT!AR44-20_CASH_FLOW!AR23-20_CASH_FLOW!AR24+20_CASH_FLOW!AR25</f>
        <v>0</v>
      </c>
    </row>
    <row r="27" customFormat="false" ht="15" hidden="false" customHeight="false" outlineLevel="0" collapsed="false">
      <c r="A27" s="8" t="s">
        <v>766</v>
      </c>
      <c r="B27" s="8" t="s">
        <v>84</v>
      </c>
      <c r="C27" s="34" t="n">
        <f aca="false">SUM(20_CASH_FLOW!$E$27:$AR$27)</f>
        <v>36.872090026236</v>
      </c>
      <c r="E27" s="34" t="n">
        <f aca="false">20_CASH_FLOW!E23+20_CASH_FLOW!E24-20_CASH_FLOW!E25</f>
        <v>0</v>
      </c>
      <c r="F27" s="34" t="n">
        <f aca="false">20_CASH_FLOW!F23+20_CASH_FLOW!F24-20_CASH_FLOW!F25</f>
        <v>0</v>
      </c>
      <c r="G27" s="34" t="n">
        <f aca="false">20_CASH_FLOW!G23+20_CASH_FLOW!G24-20_CASH_FLOW!G25</f>
        <v>0</v>
      </c>
      <c r="H27" s="34" t="n">
        <f aca="false">20_CASH_FLOW!H23+20_CASH_FLOW!H24-20_CASH_FLOW!H25</f>
        <v>0</v>
      </c>
      <c r="I27" s="34" t="n">
        <f aca="false">20_CASH_FLOW!I23+20_CASH_FLOW!I24-20_CASH_FLOW!I25</f>
        <v>0</v>
      </c>
      <c r="J27" s="34" t="n">
        <f aca="false">20_CASH_FLOW!J23+20_CASH_FLOW!J24-20_CASH_FLOW!J25</f>
        <v>-8.25754702773474</v>
      </c>
      <c r="K27" s="34" t="n">
        <f aca="false">20_CASH_FLOW!K23+20_CASH_FLOW!K24-20_CASH_FLOW!K25</f>
        <v>-0.495180017000827</v>
      </c>
      <c r="L27" s="34" t="n">
        <f aca="false">20_CASH_FLOW!L23+20_CASH_FLOW!L24-20_CASH_FLOW!L25</f>
        <v>-0.505083617340851</v>
      </c>
      <c r="M27" s="34" t="n">
        <f aca="false">20_CASH_FLOW!M23+20_CASH_FLOW!M24-20_CASH_FLOW!M25</f>
        <v>-0.515185289687679</v>
      </c>
      <c r="N27" s="34" t="n">
        <f aca="false">20_CASH_FLOW!N23+20_CASH_FLOW!N24-20_CASH_FLOW!N25</f>
        <v>6.82748465272547</v>
      </c>
      <c r="O27" s="34" t="n">
        <f aca="false">20_CASH_FLOW!O23+20_CASH_FLOW!O24-20_CASH_FLOW!O25</f>
        <v>-0.327501637983367</v>
      </c>
      <c r="P27" s="34" t="n">
        <f aca="false">20_CASH_FLOW!P23+20_CASH_FLOW!P24-20_CASH_FLOW!P25</f>
        <v>-0.335005620838821</v>
      </c>
      <c r="Q27" s="34" t="n">
        <f aca="false">20_CASH_FLOW!Q23+20_CASH_FLOW!Q24-20_CASH_FLOW!Q25</f>
        <v>-0.342659683351428</v>
      </c>
      <c r="R27" s="34" t="n">
        <f aca="false">20_CASH_FLOW!R23+20_CASH_FLOW!R24-20_CASH_FLOW!R25</f>
        <v>-0.350466827114246</v>
      </c>
      <c r="S27" s="34" t="n">
        <f aca="false">20_CASH_FLOW!S23+20_CASH_FLOW!S24-20_CASH_FLOW!S25</f>
        <v>-0.358430113752334</v>
      </c>
      <c r="T27" s="34" t="n">
        <f aca="false">20_CASH_FLOW!T23+20_CASH_FLOW!T24-20_CASH_FLOW!T25</f>
        <v>-0.366552666123212</v>
      </c>
      <c r="U27" s="34" t="n">
        <f aca="false">20_CASH_FLOW!U23+20_CASH_FLOW!U24-20_CASH_FLOW!U25</f>
        <v>-0.374837669541463</v>
      </c>
      <c r="V27" s="34" t="n">
        <f aca="false">20_CASH_FLOW!V23+20_CASH_FLOW!V24-20_CASH_FLOW!V25</f>
        <v>-0.383288373028101</v>
      </c>
      <c r="W27" s="34" t="n">
        <f aca="false">20_CASH_FLOW!W23+20_CASH_FLOW!W24-20_CASH_FLOW!W25</f>
        <v>-0.391908090584494</v>
      </c>
      <c r="X27" s="34" t="n">
        <f aca="false">20_CASH_FLOW!X23+20_CASH_FLOW!X24-20_CASH_FLOW!X25</f>
        <v>-0.400700202491962</v>
      </c>
      <c r="Y27" s="34" t="n">
        <f aca="false">20_CASH_FLOW!Y23+20_CASH_FLOW!Y24-20_CASH_FLOW!Y25</f>
        <v>-0.409668156637615</v>
      </c>
      <c r="Z27" s="34" t="n">
        <f aca="false">20_CASH_FLOW!Z23+20_CASH_FLOW!Z24-20_CASH_FLOW!Z25</f>
        <v>-0.418815469865372</v>
      </c>
      <c r="AA27" s="34" t="n">
        <f aca="false">20_CASH_FLOW!AA23+20_CASH_FLOW!AA24-20_CASH_FLOW!AA25</f>
        <v>34.2036800942846</v>
      </c>
      <c r="AB27" s="34" t="n">
        <f aca="false">20_CASH_FLOW!AB23+20_CASH_FLOW!AB24-20_CASH_FLOW!AB25</f>
        <v>0.249762539065353</v>
      </c>
      <c r="AC27" s="34" t="n">
        <f aca="false">20_CASH_FLOW!AC23+20_CASH_FLOW!AC24-20_CASH_FLOW!AC25</f>
        <v>0.249762539065351</v>
      </c>
      <c r="AD27" s="34" t="n">
        <f aca="false">20_CASH_FLOW!AD23+20_CASH_FLOW!AD24-20_CASH_FLOW!AD25</f>
        <v>0.249762539065351</v>
      </c>
      <c r="AE27" s="34" t="n">
        <f aca="false">20_CASH_FLOW!AE23+20_CASH_FLOW!AE24-20_CASH_FLOW!AE25</f>
        <v>0.249762539065351</v>
      </c>
      <c r="AF27" s="34" t="n">
        <f aca="false">20_CASH_FLOW!AF23+20_CASH_FLOW!AF24-20_CASH_FLOW!AF25</f>
        <v>0.249762539065351</v>
      </c>
      <c r="AG27" s="34" t="n">
        <f aca="false">20_CASH_FLOW!AG23+20_CASH_FLOW!AG24-20_CASH_FLOW!AG25</f>
        <v>0.249762539065353</v>
      </c>
      <c r="AH27" s="34" t="n">
        <f aca="false">20_CASH_FLOW!AH23+20_CASH_FLOW!AH24-20_CASH_FLOW!AH25</f>
        <v>8.5751805079104</v>
      </c>
      <c r="AI27" s="34" t="n">
        <f aca="false">20_CASH_FLOW!AI23+20_CASH_FLOW!AI24-20_CASH_FLOW!AI25</f>
        <v>0</v>
      </c>
      <c r="AJ27" s="34" t="n">
        <f aca="false">20_CASH_FLOW!AJ23+20_CASH_FLOW!AJ24-20_CASH_FLOW!AJ25</f>
        <v>0</v>
      </c>
      <c r="AK27" s="34" t="n">
        <f aca="false">20_CASH_FLOW!AK23+20_CASH_FLOW!AK24-20_CASH_FLOW!AK25</f>
        <v>0</v>
      </c>
      <c r="AL27" s="34" t="n">
        <f aca="false">20_CASH_FLOW!AL23+20_CASH_FLOW!AL24-20_CASH_FLOW!AL25</f>
        <v>0</v>
      </c>
      <c r="AM27" s="34" t="n">
        <f aca="false">20_CASH_FLOW!AM23+20_CASH_FLOW!AM24-20_CASH_FLOW!AM25</f>
        <v>0</v>
      </c>
      <c r="AN27" s="34" t="n">
        <f aca="false">20_CASH_FLOW!AN23+20_CASH_FLOW!AN24-20_CASH_FLOW!AN25</f>
        <v>0</v>
      </c>
      <c r="AO27" s="34" t="n">
        <f aca="false">20_CASH_FLOW!AO23+20_CASH_FLOW!AO24-20_CASH_FLOW!AO25</f>
        <v>0</v>
      </c>
      <c r="AP27" s="34" t="n">
        <f aca="false">20_CASH_FLOW!AP23+20_CASH_FLOW!AP24-20_CASH_FLOW!AP25</f>
        <v>0</v>
      </c>
      <c r="AQ27" s="34" t="n">
        <f aca="false">20_CASH_FLOW!AQ23+20_CASH_FLOW!AQ24-20_CASH_FLOW!AQ25</f>
        <v>0</v>
      </c>
      <c r="AR27" s="34" t="n">
        <f aca="false">20_CASH_FLOW!AR23+20_CASH_FLOW!AR24-20_CASH_FLOW!AR25</f>
        <v>0</v>
      </c>
    </row>
    <row r="28" customFormat="false" ht="15" hidden="false" customHeight="false" outlineLevel="0" collapsed="false">
      <c r="A28" s="8" t="s">
        <v>767</v>
      </c>
      <c r="B28" s="8" t="s">
        <v>84</v>
      </c>
      <c r="C28" s="34" t="n">
        <f aca="false">SUM(20_CASH_FLOW!$E$28:$AR$28)</f>
        <v>2686.49559949132</v>
      </c>
      <c r="E28" s="34" t="n">
        <f aca="false">20_CASH_FLOW!E19+20_CASH_FLOW!E20+20_CASH_FLOW!E27</f>
        <v>0</v>
      </c>
      <c r="F28" s="34" t="n">
        <f aca="false">20_CASH_FLOW!F19+20_CASH_FLOW!F20+20_CASH_FLOW!F27</f>
        <v>0</v>
      </c>
      <c r="G28" s="34" t="n">
        <f aca="false">20_CASH_FLOW!G19+20_CASH_FLOW!G20+20_CASH_FLOW!G27</f>
        <v>0</v>
      </c>
      <c r="H28" s="34" t="n">
        <f aca="false">20_CASH_FLOW!H19+20_CASH_FLOW!H20+20_CASH_FLOW!H27</f>
        <v>0</v>
      </c>
      <c r="I28" s="34" t="n">
        <f aca="false">20_CASH_FLOW!I19+20_CASH_FLOW!I20+20_CASH_FLOW!I27</f>
        <v>0</v>
      </c>
      <c r="J28" s="34" t="n">
        <f aca="false">20_CASH_FLOW!J19+20_CASH_FLOW!J20+20_CASH_FLOW!J27</f>
        <v>38.9474519851608</v>
      </c>
      <c r="K28" s="34" t="n">
        <f aca="false">20_CASH_FLOW!K19+20_CASH_FLOW!K20+20_CASH_FLOW!K27</f>
        <v>57.835847333801</v>
      </c>
      <c r="L28" s="34" t="n">
        <f aca="false">20_CASH_FLOW!L19+20_CASH_FLOW!L20+20_CASH_FLOW!L27</f>
        <v>58.5593897286342</v>
      </c>
      <c r="M28" s="34" t="n">
        <f aca="false">20_CASH_FLOW!M19+20_CASH_FLOW!M20+20_CASH_FLOW!M27</f>
        <v>59.297402971364</v>
      </c>
      <c r="N28" s="34" t="n">
        <f aca="false">20_CASH_FLOW!N19+20_CASH_FLOW!N20+20_CASH_FLOW!N27</f>
        <v>67.4031501271553</v>
      </c>
      <c r="O28" s="34" t="n">
        <f aca="false">20_CASH_FLOW!O19+20_CASH_FLOW!O20+20_CASH_FLOW!O27</f>
        <v>61.677926058315</v>
      </c>
      <c r="P28" s="34" t="n">
        <f aca="false">20_CASH_FLOW!P19+20_CASH_FLOW!P20+20_CASH_FLOW!P27</f>
        <v>61.681728116136</v>
      </c>
      <c r="Q28" s="34" t="n">
        <f aca="false">20_CASH_FLOW!Q19+20_CASH_FLOW!Q20+20_CASH_FLOW!Q27</f>
        <v>61.7513882125482</v>
      </c>
      <c r="R28" s="34" t="n">
        <f aca="false">20_CASH_FLOW!R19+20_CASH_FLOW!R20+20_CASH_FLOW!R27</f>
        <v>61.7693575768323</v>
      </c>
      <c r="S28" s="34" t="n">
        <f aca="false">20_CASH_FLOW!S19+20_CASH_FLOW!S20+20_CASH_FLOW!S27</f>
        <v>61.730462522032</v>
      </c>
      <c r="T28" s="34" t="n">
        <f aca="false">20_CASH_FLOW!T19+20_CASH_FLOW!T20+20_CASH_FLOW!T27</f>
        <v>61.6290946976667</v>
      </c>
      <c r="U28" s="34" t="n">
        <f aca="false">20_CASH_FLOW!U19+20_CASH_FLOW!U20+20_CASH_FLOW!U27</f>
        <v>61.4591759012783</v>
      </c>
      <c r="V28" s="34" t="n">
        <f aca="false">20_CASH_FLOW!V19+20_CASH_FLOW!V20+20_CASH_FLOW!V27</f>
        <v>61.2141200665943</v>
      </c>
      <c r="W28" s="34" t="n">
        <f aca="false">20_CASH_FLOW!W19+20_CASH_FLOW!W20+20_CASH_FLOW!W27</f>
        <v>60.88679220227</v>
      </c>
      <c r="X28" s="34" t="n">
        <f aca="false">20_CASH_FLOW!X19+20_CASH_FLOW!X20+20_CASH_FLOW!X27</f>
        <v>60.4694640370876</v>
      </c>
      <c r="Y28" s="34" t="n">
        <f aca="false">20_CASH_FLOW!Y19+20_CASH_FLOW!Y20+20_CASH_FLOW!Y27</f>
        <v>59.9537661079549</v>
      </c>
      <c r="Z28" s="34" t="n">
        <f aca="false">20_CASH_FLOW!Z19+20_CASH_FLOW!Z20+20_CASH_FLOW!Z27</f>
        <v>59.3306360059528</v>
      </c>
      <c r="AA28" s="34" t="n">
        <f aca="false">20_CASH_FLOW!AA19+20_CASH_FLOW!AA20+20_CASH_FLOW!AA27</f>
        <v>93.2220882965346</v>
      </c>
      <c r="AB28" s="34" t="n">
        <f aca="false">20_CASH_FLOW!AB19+20_CASH_FLOW!AB20+20_CASH_FLOW!AB27</f>
        <v>127.673101796631</v>
      </c>
      <c r="AC28" s="34" t="n">
        <f aca="false">20_CASH_FLOW!AC19+20_CASH_FLOW!AC20+20_CASH_FLOW!AC27</f>
        <v>129.712390571816</v>
      </c>
      <c r="AD28" s="34" t="n">
        <f aca="false">20_CASH_FLOW!AD19+20_CASH_FLOW!AD20+20_CASH_FLOW!AD27</f>
        <v>113.424684717963</v>
      </c>
      <c r="AE28" s="34" t="n">
        <f aca="false">20_CASH_FLOW!AE19+20_CASH_FLOW!AE20+20_CASH_FLOW!AE27</f>
        <v>115.532234190456</v>
      </c>
      <c r="AF28" s="34" t="n">
        <f aca="false">20_CASH_FLOW!AF19+20_CASH_FLOW!AF20+20_CASH_FLOW!AF27</f>
        <v>117.674941301304</v>
      </c>
      <c r="AG28" s="34" t="n">
        <f aca="false">20_CASH_FLOW!AG19+20_CASH_FLOW!AG20+20_CASH_FLOW!AG27</f>
        <v>119.853509203276</v>
      </c>
      <c r="AH28" s="34" t="n">
        <f aca="false">20_CASH_FLOW!AH19+20_CASH_FLOW!AH20+20_CASH_FLOW!AH27</f>
        <v>130.394073081038</v>
      </c>
      <c r="AI28" s="34" t="n">
        <f aca="false">20_CASH_FLOW!AI19+20_CASH_FLOW!AI20+20_CASH_FLOW!AI27</f>
        <v>140.722183986819</v>
      </c>
      <c r="AJ28" s="34" t="n">
        <f aca="false">20_CASH_FLOW!AJ19+20_CASH_FLOW!AJ20+20_CASH_FLOW!AJ27</f>
        <v>142.663027666556</v>
      </c>
      <c r="AK28" s="34" t="n">
        <f aca="false">20_CASH_FLOW!AK19+20_CASH_FLOW!AK20+20_CASH_FLOW!AK27</f>
        <v>144.642688219887</v>
      </c>
      <c r="AL28" s="34" t="n">
        <f aca="false">20_CASH_FLOW!AL19+20_CASH_FLOW!AL20+20_CASH_FLOW!AL27</f>
        <v>146.661941984284</v>
      </c>
      <c r="AM28" s="34" t="n">
        <f aca="false">20_CASH_FLOW!AM19+20_CASH_FLOW!AM20+20_CASH_FLOW!AM27</f>
        <v>148.72158082397</v>
      </c>
      <c r="AN28" s="34" t="n">
        <f aca="false">20_CASH_FLOW!AN19+20_CASH_FLOW!AN20+20_CASH_FLOW!AN27</f>
        <v>0</v>
      </c>
      <c r="AO28" s="34" t="n">
        <f aca="false">20_CASH_FLOW!AO19+20_CASH_FLOW!AO20+20_CASH_FLOW!AO27</f>
        <v>0</v>
      </c>
      <c r="AP28" s="34" t="n">
        <f aca="false">20_CASH_FLOW!AP19+20_CASH_FLOW!AP20+20_CASH_FLOW!AP27</f>
        <v>0</v>
      </c>
      <c r="AQ28" s="34" t="n">
        <f aca="false">20_CASH_FLOW!AQ19+20_CASH_FLOW!AQ20+20_CASH_FLOW!AQ27</f>
        <v>0</v>
      </c>
      <c r="AR28" s="34" t="n">
        <f aca="false">20_CASH_FLOW!AR19+20_CASH_FLOW!AR20+20_CASH_FLOW!AR27</f>
        <v>0</v>
      </c>
    </row>
    <row r="29" customFormat="false" ht="15" hidden="false" customHeight="false" outlineLevel="0" collapsed="false">
      <c r="A29" s="8" t="s">
        <v>768</v>
      </c>
      <c r="B29" s="8" t="s">
        <v>84</v>
      </c>
      <c r="E29" s="34" t="n">
        <f aca="false">20_CASH_FLOW!D35</f>
        <v>0</v>
      </c>
      <c r="F29" s="34" t="n">
        <f aca="false">20_CASH_FLOW!E35</f>
        <v>0</v>
      </c>
      <c r="G29" s="34" t="n">
        <f aca="false">20_CASH_FLOW!F35</f>
        <v>0</v>
      </c>
      <c r="H29" s="34" t="n">
        <f aca="false">20_CASH_FLOW!G35</f>
        <v>0</v>
      </c>
      <c r="I29" s="34" t="n">
        <f aca="false">20_CASH_FLOW!H35</f>
        <v>0</v>
      </c>
      <c r="J29" s="34" t="n">
        <f aca="false">20_CASH_FLOW!I35</f>
        <v>0</v>
      </c>
      <c r="K29" s="34" t="n">
        <f aca="false">20_CASH_FLOW!J35</f>
        <v>0</v>
      </c>
      <c r="L29" s="34" t="n">
        <f aca="false">20_CASH_FLOW!K35</f>
        <v>0</v>
      </c>
      <c r="M29" s="34" t="n">
        <f aca="false">20_CASH_FLOW!L35</f>
        <v>0</v>
      </c>
      <c r="N29" s="34" t="n">
        <f aca="false">20_CASH_FLOW!M35</f>
        <v>0</v>
      </c>
      <c r="O29" s="34" t="n">
        <f aca="false">20_CASH_FLOW!N35</f>
        <v>0</v>
      </c>
      <c r="P29" s="34" t="n">
        <f aca="false">20_CASH_FLOW!O35</f>
        <v>0</v>
      </c>
      <c r="Q29" s="34" t="n">
        <f aca="false">20_CASH_FLOW!P35</f>
        <v>0</v>
      </c>
      <c r="R29" s="34" t="n">
        <f aca="false">20_CASH_FLOW!Q35</f>
        <v>0</v>
      </c>
      <c r="S29" s="34" t="n">
        <f aca="false">20_CASH_FLOW!R35</f>
        <v>0</v>
      </c>
      <c r="T29" s="34" t="n">
        <f aca="false">20_CASH_FLOW!S35</f>
        <v>0</v>
      </c>
      <c r="U29" s="34" t="n">
        <f aca="false">20_CASH_FLOW!T35</f>
        <v>0</v>
      </c>
      <c r="V29" s="34" t="n">
        <f aca="false">20_CASH_FLOW!U35</f>
        <v>0</v>
      </c>
      <c r="W29" s="34" t="n">
        <f aca="false">20_CASH_FLOW!V35</f>
        <v>0</v>
      </c>
      <c r="X29" s="34" t="n">
        <f aca="false">20_CASH_FLOW!W35</f>
        <v>0</v>
      </c>
      <c r="Y29" s="34" t="n">
        <f aca="false">20_CASH_FLOW!X35</f>
        <v>0</v>
      </c>
      <c r="Z29" s="34" t="n">
        <f aca="false">20_CASH_FLOW!Y35</f>
        <v>0</v>
      </c>
      <c r="AA29" s="34" t="n">
        <f aca="false">20_CASH_FLOW!Z35</f>
        <v>0</v>
      </c>
      <c r="AB29" s="34" t="n">
        <f aca="false">20_CASH_FLOW!AA35</f>
        <v>0</v>
      </c>
      <c r="AC29" s="34" t="n">
        <f aca="false">20_CASH_FLOW!AB35</f>
        <v>0</v>
      </c>
      <c r="AD29" s="34" t="n">
        <f aca="false">20_CASH_FLOW!AC35</f>
        <v>0</v>
      </c>
      <c r="AE29" s="34" t="n">
        <f aca="false">20_CASH_FLOW!AD35</f>
        <v>0</v>
      </c>
      <c r="AF29" s="34" t="n">
        <f aca="false">20_CASH_FLOW!AE35</f>
        <v>0</v>
      </c>
      <c r="AG29" s="34" t="n">
        <f aca="false">20_CASH_FLOW!AF35</f>
        <v>0</v>
      </c>
      <c r="AH29" s="34" t="n">
        <f aca="false">20_CASH_FLOW!AG35</f>
        <v>0</v>
      </c>
      <c r="AI29" s="34" t="n">
        <f aca="false">20_CASH_FLOW!AH35</f>
        <v>0</v>
      </c>
      <c r="AJ29" s="34" t="n">
        <f aca="false">20_CASH_FLOW!AI35</f>
        <v>0</v>
      </c>
      <c r="AK29" s="34" t="n">
        <f aca="false">20_CASH_FLOW!AJ35</f>
        <v>0</v>
      </c>
      <c r="AL29" s="34" t="n">
        <f aca="false">20_CASH_FLOW!AK35</f>
        <v>0</v>
      </c>
      <c r="AM29" s="34" t="n">
        <f aca="false">20_CASH_FLOW!AL35</f>
        <v>0</v>
      </c>
      <c r="AN29" s="34" t="n">
        <f aca="false">20_CASH_FLOW!AM35</f>
        <v>0</v>
      </c>
      <c r="AO29" s="34" t="n">
        <f aca="false">20_CASH_FLOW!AN35</f>
        <v>0</v>
      </c>
      <c r="AP29" s="34" t="n">
        <f aca="false">20_CASH_FLOW!AO35</f>
        <v>0</v>
      </c>
      <c r="AQ29" s="34" t="n">
        <f aca="false">20_CASH_FLOW!AP35</f>
        <v>0</v>
      </c>
      <c r="AR29" s="34" t="n">
        <f aca="false">20_CASH_FLOW!AQ35</f>
        <v>0</v>
      </c>
    </row>
    <row r="30" customFormat="false" ht="15" hidden="false" customHeight="false" outlineLevel="0" collapsed="false">
      <c r="A30" s="8" t="s">
        <v>769</v>
      </c>
      <c r="B30" s="8" t="s">
        <v>84</v>
      </c>
      <c r="C30" s="34" t="n">
        <f aca="false">SUM(20_CASH_FLOW!$E$30:$AR$30)</f>
        <v>0</v>
      </c>
      <c r="E30" s="34" t="n">
        <f aca="false">MAX(0,-(20_CASH_FLOW!E28+20_CASH_FLOW!E29))</f>
        <v>-0</v>
      </c>
      <c r="F30" s="34" t="n">
        <f aca="false">MAX(0,-(20_CASH_FLOW!F28+20_CASH_FLOW!F29))</f>
        <v>-0</v>
      </c>
      <c r="G30" s="34" t="n">
        <f aca="false">MAX(0,-(20_CASH_FLOW!G28+20_CASH_FLOW!G29))</f>
        <v>-0</v>
      </c>
      <c r="H30" s="34" t="n">
        <f aca="false">MAX(0,-(20_CASH_FLOW!H28+20_CASH_FLOW!H29))</f>
        <v>-0</v>
      </c>
      <c r="I30" s="34" t="n">
        <f aca="false">MAX(0,-(20_CASH_FLOW!I28+20_CASH_FLOW!I29))</f>
        <v>-0</v>
      </c>
      <c r="J30" s="34" t="n">
        <f aca="false">MAX(0,-(20_CASH_FLOW!J28+20_CASH_FLOW!J29))</f>
        <v>0</v>
      </c>
      <c r="K30" s="34" t="n">
        <f aca="false">MAX(0,-(20_CASH_FLOW!K28+20_CASH_FLOW!K29))</f>
        <v>0</v>
      </c>
      <c r="L30" s="34" t="n">
        <f aca="false">MAX(0,-(20_CASH_FLOW!L28+20_CASH_FLOW!L29))</f>
        <v>0</v>
      </c>
      <c r="M30" s="34" t="n">
        <f aca="false">MAX(0,-(20_CASH_FLOW!M28+20_CASH_FLOW!M29))</f>
        <v>0</v>
      </c>
      <c r="N30" s="34" t="n">
        <f aca="false">MAX(0,-(20_CASH_FLOW!N28+20_CASH_FLOW!N29))</f>
        <v>0</v>
      </c>
      <c r="O30" s="34" t="n">
        <f aca="false">MAX(0,-(20_CASH_FLOW!O28+20_CASH_FLOW!O29))</f>
        <v>0</v>
      </c>
      <c r="P30" s="34" t="n">
        <f aca="false">MAX(0,-(20_CASH_FLOW!P28+20_CASH_FLOW!P29))</f>
        <v>0</v>
      </c>
      <c r="Q30" s="34" t="n">
        <f aca="false">MAX(0,-(20_CASH_FLOW!Q28+20_CASH_FLOW!Q29))</f>
        <v>0</v>
      </c>
      <c r="R30" s="34" t="n">
        <f aca="false">MAX(0,-(20_CASH_FLOW!R28+20_CASH_FLOW!R29))</f>
        <v>0</v>
      </c>
      <c r="S30" s="34" t="n">
        <f aca="false">MAX(0,-(20_CASH_FLOW!S28+20_CASH_FLOW!S29))</f>
        <v>0</v>
      </c>
      <c r="T30" s="34" t="n">
        <f aca="false">MAX(0,-(20_CASH_FLOW!T28+20_CASH_FLOW!T29))</f>
        <v>0</v>
      </c>
      <c r="U30" s="34" t="n">
        <f aca="false">MAX(0,-(20_CASH_FLOW!U28+20_CASH_FLOW!U29))</f>
        <v>0</v>
      </c>
      <c r="V30" s="34" t="n">
        <f aca="false">MAX(0,-(20_CASH_FLOW!V28+20_CASH_FLOW!V29))</f>
        <v>0</v>
      </c>
      <c r="W30" s="34" t="n">
        <f aca="false">MAX(0,-(20_CASH_FLOW!W28+20_CASH_FLOW!W29))</f>
        <v>0</v>
      </c>
      <c r="X30" s="34" t="n">
        <f aca="false">MAX(0,-(20_CASH_FLOW!X28+20_CASH_FLOW!X29))</f>
        <v>0</v>
      </c>
      <c r="Y30" s="34" t="n">
        <f aca="false">MAX(0,-(20_CASH_FLOW!Y28+20_CASH_FLOW!Y29))</f>
        <v>0</v>
      </c>
      <c r="Z30" s="34" t="n">
        <f aca="false">MAX(0,-(20_CASH_FLOW!Z28+20_CASH_FLOW!Z29))</f>
        <v>0</v>
      </c>
      <c r="AA30" s="34" t="n">
        <f aca="false">MAX(0,-(20_CASH_FLOW!AA28+20_CASH_FLOW!AA29))</f>
        <v>0</v>
      </c>
      <c r="AB30" s="34" t="n">
        <f aca="false">MAX(0,-(20_CASH_FLOW!AB28+20_CASH_FLOW!AB29))</f>
        <v>0</v>
      </c>
      <c r="AC30" s="34" t="n">
        <f aca="false">MAX(0,-(20_CASH_FLOW!AC28+20_CASH_FLOW!AC29))</f>
        <v>0</v>
      </c>
      <c r="AD30" s="34" t="n">
        <f aca="false">MAX(0,-(20_CASH_FLOW!AD28+20_CASH_FLOW!AD29))</f>
        <v>0</v>
      </c>
      <c r="AE30" s="34" t="n">
        <f aca="false">MAX(0,-(20_CASH_FLOW!AE28+20_CASH_FLOW!AE29))</f>
        <v>0</v>
      </c>
      <c r="AF30" s="34" t="n">
        <f aca="false">MAX(0,-(20_CASH_FLOW!AF28+20_CASH_FLOW!AF29))</f>
        <v>0</v>
      </c>
      <c r="AG30" s="34" t="n">
        <f aca="false">MAX(0,-(20_CASH_FLOW!AG28+20_CASH_FLOW!AG29))</f>
        <v>0</v>
      </c>
      <c r="AH30" s="34" t="n">
        <f aca="false">MAX(0,-(20_CASH_FLOW!AH28+20_CASH_FLOW!AH29))</f>
        <v>0</v>
      </c>
      <c r="AI30" s="34" t="n">
        <f aca="false">MAX(0,-(20_CASH_FLOW!AI28+20_CASH_FLOW!AI29))</f>
        <v>0</v>
      </c>
      <c r="AJ30" s="34" t="n">
        <f aca="false">MAX(0,-(20_CASH_FLOW!AJ28+20_CASH_FLOW!AJ29))</f>
        <v>0</v>
      </c>
      <c r="AK30" s="34" t="n">
        <f aca="false">MAX(0,-(20_CASH_FLOW!AK28+20_CASH_FLOW!AK29))</f>
        <v>0</v>
      </c>
      <c r="AL30" s="34" t="n">
        <f aca="false">MAX(0,-(20_CASH_FLOW!AL28+20_CASH_FLOW!AL29))</f>
        <v>0</v>
      </c>
      <c r="AM30" s="34" t="n">
        <f aca="false">MAX(0,-(20_CASH_FLOW!AM28+20_CASH_FLOW!AM29))</f>
        <v>0</v>
      </c>
      <c r="AN30" s="34" t="n">
        <f aca="false">MAX(0,-(20_CASH_FLOW!AN28+20_CASH_FLOW!AN29))</f>
        <v>-0</v>
      </c>
      <c r="AO30" s="34" t="n">
        <f aca="false">MAX(0,-(20_CASH_FLOW!AO28+20_CASH_FLOW!AO29))</f>
        <v>-0</v>
      </c>
      <c r="AP30" s="34" t="n">
        <f aca="false">MAX(0,-(20_CASH_FLOW!AP28+20_CASH_FLOW!AP29))</f>
        <v>-0</v>
      </c>
      <c r="AQ30" s="34" t="n">
        <f aca="false">MAX(0,-(20_CASH_FLOW!AQ28+20_CASH_FLOW!AQ29))</f>
        <v>-0</v>
      </c>
      <c r="AR30" s="34" t="n">
        <f aca="false">MAX(0,-(20_CASH_FLOW!AR28+20_CASH_FLOW!AR29))</f>
        <v>-0</v>
      </c>
    </row>
    <row r="31" customFormat="false" ht="15" hidden="false" customHeight="false" outlineLevel="0" collapsed="false">
      <c r="A31" s="8" t="s">
        <v>770</v>
      </c>
      <c r="B31" s="8" t="s">
        <v>249</v>
      </c>
      <c r="E31" s="47" t="n">
        <f aca="false">IF(06_CONSTRUCTION!E14=1,IF(18_DEBT!E40&gt;0.001,IF(20_CASH_FLOW!E21&gt;=17A_STRUCTURES!$C$25,1,0),1),0)</f>
        <v>0</v>
      </c>
      <c r="F31" s="47" t="n">
        <f aca="false">IF(06_CONSTRUCTION!F14=1,IF(18_DEBT!F40&gt;0.001,IF(20_CASH_FLOW!F21&gt;=17A_STRUCTURES!$C$25,1,0),1),0)</f>
        <v>0</v>
      </c>
      <c r="G31" s="47" t="n">
        <f aca="false">IF(06_CONSTRUCTION!G14=1,IF(18_DEBT!G40&gt;0.001,IF(20_CASH_FLOW!G21&gt;=17A_STRUCTURES!$C$25,1,0),1),0)</f>
        <v>0</v>
      </c>
      <c r="H31" s="47" t="n">
        <f aca="false">IF(06_CONSTRUCTION!H14=1,IF(18_DEBT!H40&gt;0.001,IF(20_CASH_FLOW!H21&gt;=17A_STRUCTURES!$C$25,1,0),1),0)</f>
        <v>0</v>
      </c>
      <c r="I31" s="47" t="n">
        <f aca="false">IF(06_CONSTRUCTION!I14=1,IF(18_DEBT!I40&gt;0.001,IF(20_CASH_FLOW!I21&gt;=17A_STRUCTURES!$C$25,1,0),1),0)</f>
        <v>0</v>
      </c>
      <c r="J31" s="47" t="n">
        <f aca="false">IF(06_CONSTRUCTION!J14=1,IF(18_DEBT!J40&gt;0.001,IF(20_CASH_FLOW!J21&gt;=17A_STRUCTURES!$C$25,1,0),1),0)</f>
        <v>1</v>
      </c>
      <c r="K31" s="47" t="n">
        <f aca="false">IF(06_CONSTRUCTION!K14=1,IF(18_DEBT!K40&gt;0.001,IF(20_CASH_FLOW!K21&gt;=17A_STRUCTURES!$C$25,1,0),1),0)</f>
        <v>1</v>
      </c>
      <c r="L31" s="47" t="n">
        <f aca="false">IF(06_CONSTRUCTION!L14=1,IF(18_DEBT!L40&gt;0.001,IF(20_CASH_FLOW!L21&gt;=17A_STRUCTURES!$C$25,1,0),1),0)</f>
        <v>1</v>
      </c>
      <c r="M31" s="47" t="n">
        <f aca="false">IF(06_CONSTRUCTION!M14=1,IF(18_DEBT!M40&gt;0.001,IF(20_CASH_FLOW!M21&gt;=17A_STRUCTURES!$C$25,1,0),1),0)</f>
        <v>1</v>
      </c>
      <c r="N31" s="47" t="n">
        <f aca="false">IF(06_CONSTRUCTION!N14=1,IF(18_DEBT!N40&gt;0.001,IF(20_CASH_FLOW!N21&gt;=17A_STRUCTURES!$C$25,1,0),1),0)</f>
        <v>1</v>
      </c>
      <c r="O31" s="47" t="n">
        <f aca="false">IF(06_CONSTRUCTION!O14=1,IF(18_DEBT!O40&gt;0.001,IF(20_CASH_FLOW!O21&gt;=17A_STRUCTURES!$C$25,1,0),1),0)</f>
        <v>1</v>
      </c>
      <c r="P31" s="47" t="n">
        <f aca="false">IF(06_CONSTRUCTION!P14=1,IF(18_DEBT!P40&gt;0.001,IF(20_CASH_FLOW!P21&gt;=17A_STRUCTURES!$C$25,1,0),1),0)</f>
        <v>1</v>
      </c>
      <c r="Q31" s="47" t="n">
        <f aca="false">IF(06_CONSTRUCTION!Q14=1,IF(18_DEBT!Q40&gt;0.001,IF(20_CASH_FLOW!Q21&gt;=17A_STRUCTURES!$C$25,1,0),1),0)</f>
        <v>1</v>
      </c>
      <c r="R31" s="47" t="n">
        <f aca="false">IF(06_CONSTRUCTION!R14=1,IF(18_DEBT!R40&gt;0.001,IF(20_CASH_FLOW!R21&gt;=17A_STRUCTURES!$C$25,1,0),1),0)</f>
        <v>1</v>
      </c>
      <c r="S31" s="47" t="n">
        <f aca="false">IF(06_CONSTRUCTION!S14=1,IF(18_DEBT!S40&gt;0.001,IF(20_CASH_FLOW!S21&gt;=17A_STRUCTURES!$C$25,1,0),1),0)</f>
        <v>1</v>
      </c>
      <c r="T31" s="47" t="n">
        <f aca="false">IF(06_CONSTRUCTION!T14=1,IF(18_DEBT!T40&gt;0.001,IF(20_CASH_FLOW!T21&gt;=17A_STRUCTURES!$C$25,1,0),1),0)</f>
        <v>1</v>
      </c>
      <c r="U31" s="47" t="n">
        <f aca="false">IF(06_CONSTRUCTION!U14=1,IF(18_DEBT!U40&gt;0.001,IF(20_CASH_FLOW!U21&gt;=17A_STRUCTURES!$C$25,1,0),1),0)</f>
        <v>1</v>
      </c>
      <c r="V31" s="47" t="n">
        <f aca="false">IF(06_CONSTRUCTION!V14=1,IF(18_DEBT!V40&gt;0.001,IF(20_CASH_FLOW!V21&gt;=17A_STRUCTURES!$C$25,1,0),1),0)</f>
        <v>1</v>
      </c>
      <c r="W31" s="47" t="n">
        <f aca="false">IF(06_CONSTRUCTION!W14=1,IF(18_DEBT!W40&gt;0.001,IF(20_CASH_FLOW!W21&gt;=17A_STRUCTURES!$C$25,1,0),1),0)</f>
        <v>1</v>
      </c>
      <c r="X31" s="47" t="n">
        <f aca="false">IF(06_CONSTRUCTION!X14=1,IF(18_DEBT!X40&gt;0.001,IF(20_CASH_FLOW!X21&gt;=17A_STRUCTURES!$C$25,1,0),1),0)</f>
        <v>1</v>
      </c>
      <c r="Y31" s="47" t="n">
        <f aca="false">IF(06_CONSTRUCTION!Y14=1,IF(18_DEBT!Y40&gt;0.001,IF(20_CASH_FLOW!Y21&gt;=17A_STRUCTURES!$C$25,1,0),1),0)</f>
        <v>1</v>
      </c>
      <c r="Z31" s="47" t="n">
        <f aca="false">IF(06_CONSTRUCTION!Z14=1,IF(18_DEBT!Z40&gt;0.001,IF(20_CASH_FLOW!Z21&gt;=17A_STRUCTURES!$C$25,1,0),1),0)</f>
        <v>1</v>
      </c>
      <c r="AA31" s="47" t="n">
        <f aca="false">IF(06_CONSTRUCTION!AA14=1,IF(18_DEBT!AA40&gt;0.001,IF(20_CASH_FLOW!AA21&gt;=17A_STRUCTURES!$C$25,1,0),1),0)</f>
        <v>1</v>
      </c>
      <c r="AB31" s="47" t="n">
        <f aca="false">IF(06_CONSTRUCTION!AB14=1,IF(18_DEBT!AB40&gt;0.001,IF(20_CASH_FLOW!AB21&gt;=17A_STRUCTURES!$C$25,1,0),1),0)</f>
        <v>1</v>
      </c>
      <c r="AC31" s="47" t="n">
        <f aca="false">IF(06_CONSTRUCTION!AC14=1,IF(18_DEBT!AC40&gt;0.001,IF(20_CASH_FLOW!AC21&gt;=17A_STRUCTURES!$C$25,1,0),1),0)</f>
        <v>1</v>
      </c>
      <c r="AD31" s="47" t="n">
        <f aca="false">IF(06_CONSTRUCTION!AD14=1,IF(18_DEBT!AD40&gt;0.001,IF(20_CASH_FLOW!AD21&gt;=17A_STRUCTURES!$C$25,1,0),1),0)</f>
        <v>1</v>
      </c>
      <c r="AE31" s="47" t="n">
        <f aca="false">IF(06_CONSTRUCTION!AE14=1,IF(18_DEBT!AE40&gt;0.001,IF(20_CASH_FLOW!AE21&gt;=17A_STRUCTURES!$C$25,1,0),1),0)</f>
        <v>1</v>
      </c>
      <c r="AF31" s="47" t="n">
        <f aca="false">IF(06_CONSTRUCTION!AF14=1,IF(18_DEBT!AF40&gt;0.001,IF(20_CASH_FLOW!AF21&gt;=17A_STRUCTURES!$C$25,1,0),1),0)</f>
        <v>1</v>
      </c>
      <c r="AG31" s="47" t="n">
        <f aca="false">IF(06_CONSTRUCTION!AG14=1,IF(18_DEBT!AG40&gt;0.001,IF(20_CASH_FLOW!AG21&gt;=17A_STRUCTURES!$C$25,1,0),1),0)</f>
        <v>1</v>
      </c>
      <c r="AH31" s="47" t="n">
        <f aca="false">IF(06_CONSTRUCTION!AH14=1,IF(18_DEBT!AH40&gt;0.001,IF(20_CASH_FLOW!AH21&gt;=17A_STRUCTURES!$C$25,1,0),1),0)</f>
        <v>1</v>
      </c>
      <c r="AI31" s="47" t="n">
        <f aca="false">IF(06_CONSTRUCTION!AI14=1,IF(18_DEBT!AI40&gt;0.001,IF(20_CASH_FLOW!AI21&gt;=17A_STRUCTURES!$C$25,1,0),1),0)</f>
        <v>1</v>
      </c>
      <c r="AJ31" s="47" t="n">
        <f aca="false">IF(06_CONSTRUCTION!AJ14=1,IF(18_DEBT!AJ40&gt;0.001,IF(20_CASH_FLOW!AJ21&gt;=17A_STRUCTURES!$C$25,1,0),1),0)</f>
        <v>1</v>
      </c>
      <c r="AK31" s="47" t="n">
        <f aca="false">IF(06_CONSTRUCTION!AK14=1,IF(18_DEBT!AK40&gt;0.001,IF(20_CASH_FLOW!AK21&gt;=17A_STRUCTURES!$C$25,1,0),1),0)</f>
        <v>1</v>
      </c>
      <c r="AL31" s="47" t="n">
        <f aca="false">IF(06_CONSTRUCTION!AL14=1,IF(18_DEBT!AL40&gt;0.001,IF(20_CASH_FLOW!AL21&gt;=17A_STRUCTURES!$C$25,1,0),1),0)</f>
        <v>1</v>
      </c>
      <c r="AM31" s="47" t="n">
        <f aca="false">IF(06_CONSTRUCTION!AM14=1,IF(18_DEBT!AM40&gt;0.001,IF(20_CASH_FLOW!AM21&gt;=17A_STRUCTURES!$C$25,1,0),1),0)</f>
        <v>1</v>
      </c>
      <c r="AN31" s="47" t="n">
        <f aca="false">IF(06_CONSTRUCTION!AN14=1,IF(18_DEBT!AN40&gt;0.001,IF(20_CASH_FLOW!AN21&gt;=17A_STRUCTURES!$C$25,1,0),1),0)</f>
        <v>0</v>
      </c>
      <c r="AO31" s="47" t="n">
        <f aca="false">IF(06_CONSTRUCTION!AO14=1,IF(18_DEBT!AO40&gt;0.001,IF(20_CASH_FLOW!AO21&gt;=17A_STRUCTURES!$C$25,1,0),1),0)</f>
        <v>0</v>
      </c>
      <c r="AP31" s="47" t="n">
        <f aca="false">IF(06_CONSTRUCTION!AP14=1,IF(18_DEBT!AP40&gt;0.001,IF(20_CASH_FLOW!AP21&gt;=17A_STRUCTURES!$C$25,1,0),1),0)</f>
        <v>0</v>
      </c>
      <c r="AQ31" s="47" t="n">
        <f aca="false">IF(06_CONSTRUCTION!AQ14=1,IF(18_DEBT!AQ40&gt;0.001,IF(20_CASH_FLOW!AQ21&gt;=17A_STRUCTURES!$C$25,1,0),1),0)</f>
        <v>0</v>
      </c>
      <c r="AR31" s="47" t="n">
        <f aca="false">IF(06_CONSTRUCTION!AR14=1,IF(18_DEBT!AR40&gt;0.001,IF(20_CASH_FLOW!AR21&gt;=17A_STRUCTURES!$C$25,1,0),1),0)</f>
        <v>0</v>
      </c>
    </row>
    <row r="32" customFormat="false" ht="15" hidden="false" customHeight="false" outlineLevel="0" collapsed="false">
      <c r="A32" s="8" t="s">
        <v>771</v>
      </c>
      <c r="B32" s="8" t="s">
        <v>84</v>
      </c>
      <c r="E32" s="34" t="n">
        <f aca="false">20_CASH_FLOW!E28+20_CASH_FLOW!E29+20_CASH_FLOW!E30</f>
        <v>0</v>
      </c>
      <c r="F32" s="34" t="n">
        <f aca="false">20_CASH_FLOW!F28+20_CASH_FLOW!F29+20_CASH_FLOW!F30</f>
        <v>0</v>
      </c>
      <c r="G32" s="34" t="n">
        <f aca="false">20_CASH_FLOW!G28+20_CASH_FLOW!G29+20_CASH_FLOW!G30</f>
        <v>0</v>
      </c>
      <c r="H32" s="34" t="n">
        <f aca="false">20_CASH_FLOW!H28+20_CASH_FLOW!H29+20_CASH_FLOW!H30</f>
        <v>0</v>
      </c>
      <c r="I32" s="34" t="n">
        <f aca="false">20_CASH_FLOW!I28+20_CASH_FLOW!I29+20_CASH_FLOW!I30</f>
        <v>0</v>
      </c>
      <c r="J32" s="34" t="n">
        <f aca="false">20_CASH_FLOW!J28+20_CASH_FLOW!J29+20_CASH_FLOW!J30</f>
        <v>38.9474519851608</v>
      </c>
      <c r="K32" s="34" t="n">
        <f aca="false">20_CASH_FLOW!K28+20_CASH_FLOW!K29+20_CASH_FLOW!K30</f>
        <v>57.835847333801</v>
      </c>
      <c r="L32" s="34" t="n">
        <f aca="false">20_CASH_FLOW!L28+20_CASH_FLOW!L29+20_CASH_FLOW!L30</f>
        <v>58.5593897286342</v>
      </c>
      <c r="M32" s="34" t="n">
        <f aca="false">20_CASH_FLOW!M28+20_CASH_FLOW!M29+20_CASH_FLOW!M30</f>
        <v>59.297402971364</v>
      </c>
      <c r="N32" s="34" t="n">
        <f aca="false">20_CASH_FLOW!N28+20_CASH_FLOW!N29+20_CASH_FLOW!N30</f>
        <v>67.4031501271553</v>
      </c>
      <c r="O32" s="34" t="n">
        <f aca="false">20_CASH_FLOW!O28+20_CASH_FLOW!O29+20_CASH_FLOW!O30</f>
        <v>61.677926058315</v>
      </c>
      <c r="P32" s="34" t="n">
        <f aca="false">20_CASH_FLOW!P28+20_CASH_FLOW!P29+20_CASH_FLOW!P30</f>
        <v>61.681728116136</v>
      </c>
      <c r="Q32" s="34" t="n">
        <f aca="false">20_CASH_FLOW!Q28+20_CASH_FLOW!Q29+20_CASH_FLOW!Q30</f>
        <v>61.7513882125482</v>
      </c>
      <c r="R32" s="34" t="n">
        <f aca="false">20_CASH_FLOW!R28+20_CASH_FLOW!R29+20_CASH_FLOW!R30</f>
        <v>61.7693575768323</v>
      </c>
      <c r="S32" s="34" t="n">
        <f aca="false">20_CASH_FLOW!S28+20_CASH_FLOW!S29+20_CASH_FLOW!S30</f>
        <v>61.730462522032</v>
      </c>
      <c r="T32" s="34" t="n">
        <f aca="false">20_CASH_FLOW!T28+20_CASH_FLOW!T29+20_CASH_FLOW!T30</f>
        <v>61.6290946976667</v>
      </c>
      <c r="U32" s="34" t="n">
        <f aca="false">20_CASH_FLOW!U28+20_CASH_FLOW!U29+20_CASH_FLOW!U30</f>
        <v>61.4591759012783</v>
      </c>
      <c r="V32" s="34" t="n">
        <f aca="false">20_CASH_FLOW!V28+20_CASH_FLOW!V29+20_CASH_FLOW!V30</f>
        <v>61.2141200665943</v>
      </c>
      <c r="W32" s="34" t="n">
        <f aca="false">20_CASH_FLOW!W28+20_CASH_FLOW!W29+20_CASH_FLOW!W30</f>
        <v>60.88679220227</v>
      </c>
      <c r="X32" s="34" t="n">
        <f aca="false">20_CASH_FLOW!X28+20_CASH_FLOW!X29+20_CASH_FLOW!X30</f>
        <v>60.4694640370876</v>
      </c>
      <c r="Y32" s="34" t="n">
        <f aca="false">20_CASH_FLOW!Y28+20_CASH_FLOW!Y29+20_CASH_FLOW!Y30</f>
        <v>59.9537661079549</v>
      </c>
      <c r="Z32" s="34" t="n">
        <f aca="false">20_CASH_FLOW!Z28+20_CASH_FLOW!Z29+20_CASH_FLOW!Z30</f>
        <v>59.3306360059528</v>
      </c>
      <c r="AA32" s="34" t="n">
        <f aca="false">20_CASH_FLOW!AA28+20_CASH_FLOW!AA29+20_CASH_FLOW!AA30</f>
        <v>93.2220882965346</v>
      </c>
      <c r="AB32" s="34" t="n">
        <f aca="false">20_CASH_FLOW!AB28+20_CASH_FLOW!AB29+20_CASH_FLOW!AB30</f>
        <v>127.673101796631</v>
      </c>
      <c r="AC32" s="34" t="n">
        <f aca="false">20_CASH_FLOW!AC28+20_CASH_FLOW!AC29+20_CASH_FLOW!AC30</f>
        <v>129.712390571816</v>
      </c>
      <c r="AD32" s="34" t="n">
        <f aca="false">20_CASH_FLOW!AD28+20_CASH_FLOW!AD29+20_CASH_FLOW!AD30</f>
        <v>113.424684717963</v>
      </c>
      <c r="AE32" s="34" t="n">
        <f aca="false">20_CASH_FLOW!AE28+20_CASH_FLOW!AE29+20_CASH_FLOW!AE30</f>
        <v>115.532234190456</v>
      </c>
      <c r="AF32" s="34" t="n">
        <f aca="false">20_CASH_FLOW!AF28+20_CASH_FLOW!AF29+20_CASH_FLOW!AF30</f>
        <v>117.674941301304</v>
      </c>
      <c r="AG32" s="34" t="n">
        <f aca="false">20_CASH_FLOW!AG28+20_CASH_FLOW!AG29+20_CASH_FLOW!AG30</f>
        <v>119.853509203276</v>
      </c>
      <c r="AH32" s="34" t="n">
        <f aca="false">20_CASH_FLOW!AH28+20_CASH_FLOW!AH29+20_CASH_FLOW!AH30</f>
        <v>130.394073081038</v>
      </c>
      <c r="AI32" s="34" t="n">
        <f aca="false">20_CASH_FLOW!AI28+20_CASH_FLOW!AI29+20_CASH_FLOW!AI30</f>
        <v>140.722183986819</v>
      </c>
      <c r="AJ32" s="34" t="n">
        <f aca="false">20_CASH_FLOW!AJ28+20_CASH_FLOW!AJ29+20_CASH_FLOW!AJ30</f>
        <v>142.663027666556</v>
      </c>
      <c r="AK32" s="34" t="n">
        <f aca="false">20_CASH_FLOW!AK28+20_CASH_FLOW!AK29+20_CASH_FLOW!AK30</f>
        <v>144.642688219887</v>
      </c>
      <c r="AL32" s="34" t="n">
        <f aca="false">20_CASH_FLOW!AL28+20_CASH_FLOW!AL29+20_CASH_FLOW!AL30</f>
        <v>146.661941984284</v>
      </c>
      <c r="AM32" s="34" t="n">
        <f aca="false">20_CASH_FLOW!AM28+20_CASH_FLOW!AM29+20_CASH_FLOW!AM30</f>
        <v>148.72158082397</v>
      </c>
      <c r="AN32" s="34" t="n">
        <f aca="false">20_CASH_FLOW!AN28+20_CASH_FLOW!AN29+20_CASH_FLOW!AN30</f>
        <v>0</v>
      </c>
      <c r="AO32" s="34" t="n">
        <f aca="false">20_CASH_FLOW!AO28+20_CASH_FLOW!AO29+20_CASH_FLOW!AO30</f>
        <v>0</v>
      </c>
      <c r="AP32" s="34" t="n">
        <f aca="false">20_CASH_FLOW!AP28+20_CASH_FLOW!AP29+20_CASH_FLOW!AP30</f>
        <v>0</v>
      </c>
      <c r="AQ32" s="34" t="n">
        <f aca="false">20_CASH_FLOW!AQ28+20_CASH_FLOW!AQ29+20_CASH_FLOW!AQ30</f>
        <v>0</v>
      </c>
      <c r="AR32" s="34" t="n">
        <f aca="false">20_CASH_FLOW!AR28+20_CASH_FLOW!AR29+20_CASH_FLOW!AR30</f>
        <v>0</v>
      </c>
    </row>
    <row r="33" customFormat="false" ht="15" hidden="false" customHeight="false" outlineLevel="0" collapsed="false">
      <c r="A33" s="8" t="s">
        <v>772</v>
      </c>
      <c r="B33" s="8" t="s">
        <v>84</v>
      </c>
      <c r="C33" s="34" t="n">
        <f aca="false">SUM(20_CASH_FLOW!$E$33:$AR$33)</f>
        <v>0</v>
      </c>
      <c r="E33" s="34" t="n">
        <f aca="false">IF(OR(20_CASH_FLOW!E31=1,06_CONSTRUCTION!E5=02_PROJECT_INPUTS!$C$13),MIN(20_CASH_FLOW!D39,MAX(0,20_CASH_FLOW!E32)),0)</f>
        <v>0</v>
      </c>
      <c r="F33" s="34" t="n">
        <f aca="false">IF(OR(20_CASH_FLOW!F31=1,06_CONSTRUCTION!F5=02_PROJECT_INPUTS!$C$13),MIN(20_CASH_FLOW!E39,MAX(0,20_CASH_FLOW!F32)),0)</f>
        <v>0</v>
      </c>
      <c r="G33" s="34" t="n">
        <f aca="false">IF(OR(20_CASH_FLOW!G31=1,06_CONSTRUCTION!G5=02_PROJECT_INPUTS!$C$13),MIN(20_CASH_FLOW!F39,MAX(0,20_CASH_FLOW!G32)),0)</f>
        <v>0</v>
      </c>
      <c r="H33" s="34" t="n">
        <f aca="false">IF(OR(20_CASH_FLOW!H31=1,06_CONSTRUCTION!H5=02_PROJECT_INPUTS!$C$13),MIN(20_CASH_FLOW!G39,MAX(0,20_CASH_FLOW!H32)),0)</f>
        <v>0</v>
      </c>
      <c r="I33" s="34" t="n">
        <f aca="false">IF(OR(20_CASH_FLOW!I31=1,06_CONSTRUCTION!I5=02_PROJECT_INPUTS!$C$13),MIN(20_CASH_FLOW!H39,MAX(0,20_CASH_FLOW!I32)),0)</f>
        <v>0</v>
      </c>
      <c r="J33" s="34" t="n">
        <f aca="false">IF(OR(20_CASH_FLOW!J31=1,06_CONSTRUCTION!J5=02_PROJECT_INPUTS!$C$13),MIN(20_CASH_FLOW!I39,MAX(0,20_CASH_FLOW!J32)),0)</f>
        <v>0</v>
      </c>
      <c r="K33" s="34" t="n">
        <f aca="false">IF(OR(20_CASH_FLOW!K31=1,06_CONSTRUCTION!K5=02_PROJECT_INPUTS!$C$13),MIN(20_CASH_FLOW!J39,MAX(0,20_CASH_FLOW!K32)),0)</f>
        <v>0</v>
      </c>
      <c r="L33" s="34" t="n">
        <f aca="false">IF(OR(20_CASH_FLOW!L31=1,06_CONSTRUCTION!L5=02_PROJECT_INPUTS!$C$13),MIN(20_CASH_FLOW!K39,MAX(0,20_CASH_FLOW!L32)),0)</f>
        <v>0</v>
      </c>
      <c r="M33" s="34" t="n">
        <f aca="false">IF(OR(20_CASH_FLOW!M31=1,06_CONSTRUCTION!M5=02_PROJECT_INPUTS!$C$13),MIN(20_CASH_FLOW!L39,MAX(0,20_CASH_FLOW!M32)),0)</f>
        <v>0</v>
      </c>
      <c r="N33" s="34" t="n">
        <f aca="false">IF(OR(20_CASH_FLOW!N31=1,06_CONSTRUCTION!N5=02_PROJECT_INPUTS!$C$13),MIN(20_CASH_FLOW!M39,MAX(0,20_CASH_FLOW!N32)),0)</f>
        <v>0</v>
      </c>
      <c r="O33" s="34" t="n">
        <f aca="false">IF(OR(20_CASH_FLOW!O31=1,06_CONSTRUCTION!O5=02_PROJECT_INPUTS!$C$13),MIN(20_CASH_FLOW!N39,MAX(0,20_CASH_FLOW!O32)),0)</f>
        <v>0</v>
      </c>
      <c r="P33" s="34" t="n">
        <f aca="false">IF(OR(20_CASH_FLOW!P31=1,06_CONSTRUCTION!P5=02_PROJECT_INPUTS!$C$13),MIN(20_CASH_FLOW!O39,MAX(0,20_CASH_FLOW!P32)),0)</f>
        <v>0</v>
      </c>
      <c r="Q33" s="34" t="n">
        <f aca="false">IF(OR(20_CASH_FLOW!Q31=1,06_CONSTRUCTION!Q5=02_PROJECT_INPUTS!$C$13),MIN(20_CASH_FLOW!P39,MAX(0,20_CASH_FLOW!Q32)),0)</f>
        <v>0</v>
      </c>
      <c r="R33" s="34" t="n">
        <f aca="false">IF(OR(20_CASH_FLOW!R31=1,06_CONSTRUCTION!R5=02_PROJECT_INPUTS!$C$13),MIN(20_CASH_FLOW!Q39,MAX(0,20_CASH_FLOW!R32)),0)</f>
        <v>0</v>
      </c>
      <c r="S33" s="34" t="n">
        <f aca="false">IF(OR(20_CASH_FLOW!S31=1,06_CONSTRUCTION!S5=02_PROJECT_INPUTS!$C$13),MIN(20_CASH_FLOW!R39,MAX(0,20_CASH_FLOW!S32)),0)</f>
        <v>0</v>
      </c>
      <c r="T33" s="34" t="n">
        <f aca="false">IF(OR(20_CASH_FLOW!T31=1,06_CONSTRUCTION!T5=02_PROJECT_INPUTS!$C$13),MIN(20_CASH_FLOW!S39,MAX(0,20_CASH_FLOW!T32)),0)</f>
        <v>0</v>
      </c>
      <c r="U33" s="34" t="n">
        <f aca="false">IF(OR(20_CASH_FLOW!U31=1,06_CONSTRUCTION!U5=02_PROJECT_INPUTS!$C$13),MIN(20_CASH_FLOW!T39,MAX(0,20_CASH_FLOW!U32)),0)</f>
        <v>0</v>
      </c>
      <c r="V33" s="34" t="n">
        <f aca="false">IF(OR(20_CASH_FLOW!V31=1,06_CONSTRUCTION!V5=02_PROJECT_INPUTS!$C$13),MIN(20_CASH_FLOW!U39,MAX(0,20_CASH_FLOW!V32)),0)</f>
        <v>0</v>
      </c>
      <c r="W33" s="34" t="n">
        <f aca="false">IF(OR(20_CASH_FLOW!W31=1,06_CONSTRUCTION!W5=02_PROJECT_INPUTS!$C$13),MIN(20_CASH_FLOW!V39,MAX(0,20_CASH_FLOW!W32)),0)</f>
        <v>0</v>
      </c>
      <c r="X33" s="34" t="n">
        <f aca="false">IF(OR(20_CASH_FLOW!X31=1,06_CONSTRUCTION!X5=02_PROJECT_INPUTS!$C$13),MIN(20_CASH_FLOW!W39,MAX(0,20_CASH_FLOW!X32)),0)</f>
        <v>0</v>
      </c>
      <c r="Y33" s="34" t="n">
        <f aca="false">IF(OR(20_CASH_FLOW!Y31=1,06_CONSTRUCTION!Y5=02_PROJECT_INPUTS!$C$13),MIN(20_CASH_FLOW!X39,MAX(0,20_CASH_FLOW!Y32)),0)</f>
        <v>0</v>
      </c>
      <c r="Z33" s="34" t="n">
        <f aca="false">IF(OR(20_CASH_FLOW!Z31=1,06_CONSTRUCTION!Z5=02_PROJECT_INPUTS!$C$13),MIN(20_CASH_FLOW!Y39,MAX(0,20_CASH_FLOW!Z32)),0)</f>
        <v>0</v>
      </c>
      <c r="AA33" s="34" t="n">
        <f aca="false">IF(OR(20_CASH_FLOW!AA31=1,06_CONSTRUCTION!AA5=02_PROJECT_INPUTS!$C$13),MIN(20_CASH_FLOW!Z39,MAX(0,20_CASH_FLOW!AA32)),0)</f>
        <v>0</v>
      </c>
      <c r="AB33" s="34" t="n">
        <f aca="false">IF(OR(20_CASH_FLOW!AB31=1,06_CONSTRUCTION!AB5=02_PROJECT_INPUTS!$C$13),MIN(20_CASH_FLOW!AA39,MAX(0,20_CASH_FLOW!AB32)),0)</f>
        <v>0</v>
      </c>
      <c r="AC33" s="34" t="n">
        <f aca="false">IF(OR(20_CASH_FLOW!AC31=1,06_CONSTRUCTION!AC5=02_PROJECT_INPUTS!$C$13),MIN(20_CASH_FLOW!AB39,MAX(0,20_CASH_FLOW!AC32)),0)</f>
        <v>0</v>
      </c>
      <c r="AD33" s="34" t="n">
        <f aca="false">IF(OR(20_CASH_FLOW!AD31=1,06_CONSTRUCTION!AD5=02_PROJECT_INPUTS!$C$13),MIN(20_CASH_FLOW!AC39,MAX(0,20_CASH_FLOW!AD32)),0)</f>
        <v>0</v>
      </c>
      <c r="AE33" s="34" t="n">
        <f aca="false">IF(OR(20_CASH_FLOW!AE31=1,06_CONSTRUCTION!AE5=02_PROJECT_INPUTS!$C$13),MIN(20_CASH_FLOW!AD39,MAX(0,20_CASH_FLOW!AE32)),0)</f>
        <v>0</v>
      </c>
      <c r="AF33" s="34" t="n">
        <f aca="false">IF(OR(20_CASH_FLOW!AF31=1,06_CONSTRUCTION!AF5=02_PROJECT_INPUTS!$C$13),MIN(20_CASH_FLOW!AE39,MAX(0,20_CASH_FLOW!AF32)),0)</f>
        <v>0</v>
      </c>
      <c r="AG33" s="34" t="n">
        <f aca="false">IF(OR(20_CASH_FLOW!AG31=1,06_CONSTRUCTION!AG5=02_PROJECT_INPUTS!$C$13),MIN(20_CASH_FLOW!AF39,MAX(0,20_CASH_FLOW!AG32)),0)</f>
        <v>0</v>
      </c>
      <c r="AH33" s="34" t="n">
        <f aca="false">IF(OR(20_CASH_FLOW!AH31=1,06_CONSTRUCTION!AH5=02_PROJECT_INPUTS!$C$13),MIN(20_CASH_FLOW!AG39,MAX(0,20_CASH_FLOW!AH32)),0)</f>
        <v>0</v>
      </c>
      <c r="AI33" s="34" t="n">
        <f aca="false">IF(OR(20_CASH_FLOW!AI31=1,06_CONSTRUCTION!AI5=02_PROJECT_INPUTS!$C$13),MIN(20_CASH_FLOW!AH39,MAX(0,20_CASH_FLOW!AI32)),0)</f>
        <v>0</v>
      </c>
      <c r="AJ33" s="34" t="n">
        <f aca="false">IF(OR(20_CASH_FLOW!AJ31=1,06_CONSTRUCTION!AJ5=02_PROJECT_INPUTS!$C$13),MIN(20_CASH_FLOW!AI39,MAX(0,20_CASH_FLOW!AJ32)),0)</f>
        <v>0</v>
      </c>
      <c r="AK33" s="34" t="n">
        <f aca="false">IF(OR(20_CASH_FLOW!AK31=1,06_CONSTRUCTION!AK5=02_PROJECT_INPUTS!$C$13),MIN(20_CASH_FLOW!AJ39,MAX(0,20_CASH_FLOW!AK32)),0)</f>
        <v>0</v>
      </c>
      <c r="AL33" s="34" t="n">
        <f aca="false">IF(OR(20_CASH_FLOW!AL31=1,06_CONSTRUCTION!AL5=02_PROJECT_INPUTS!$C$13),MIN(20_CASH_FLOW!AK39,MAX(0,20_CASH_FLOW!AL32)),0)</f>
        <v>0</v>
      </c>
      <c r="AM33" s="34" t="n">
        <f aca="false">IF(OR(20_CASH_FLOW!AM31=1,06_CONSTRUCTION!AM5=02_PROJECT_INPUTS!$C$13),MIN(20_CASH_FLOW!AL39,MAX(0,20_CASH_FLOW!AM32)),0)</f>
        <v>0</v>
      </c>
      <c r="AN33" s="34" t="n">
        <f aca="false">IF(OR(20_CASH_FLOW!AN31=1,06_CONSTRUCTION!AN5=02_PROJECT_INPUTS!$C$13),MIN(20_CASH_FLOW!AM39,MAX(0,20_CASH_FLOW!AN32)),0)</f>
        <v>0</v>
      </c>
      <c r="AO33" s="34" t="n">
        <f aca="false">IF(OR(20_CASH_FLOW!AO31=1,06_CONSTRUCTION!AO5=02_PROJECT_INPUTS!$C$13),MIN(20_CASH_FLOW!AN39,MAX(0,20_CASH_FLOW!AO32)),0)</f>
        <v>0</v>
      </c>
      <c r="AP33" s="34" t="n">
        <f aca="false">IF(OR(20_CASH_FLOW!AP31=1,06_CONSTRUCTION!AP5=02_PROJECT_INPUTS!$C$13),MIN(20_CASH_FLOW!AO39,MAX(0,20_CASH_FLOW!AP32)),0)</f>
        <v>0</v>
      </c>
      <c r="AQ33" s="34" t="n">
        <f aca="false">IF(OR(20_CASH_FLOW!AQ31=1,06_CONSTRUCTION!AQ5=02_PROJECT_INPUTS!$C$13),MIN(20_CASH_FLOW!AP39,MAX(0,20_CASH_FLOW!AQ32)),0)</f>
        <v>0</v>
      </c>
      <c r="AR33" s="34" t="n">
        <f aca="false">IF(OR(20_CASH_FLOW!AR31=1,06_CONSTRUCTION!AR5=02_PROJECT_INPUTS!$C$13),MIN(20_CASH_FLOW!AQ39,MAX(0,20_CASH_FLOW!AR32)),0)</f>
        <v>0</v>
      </c>
    </row>
    <row r="34" customFormat="false" ht="15" hidden="false" customHeight="false" outlineLevel="0" collapsed="false">
      <c r="A34" s="8" t="s">
        <v>773</v>
      </c>
      <c r="B34" s="8" t="s">
        <v>84</v>
      </c>
      <c r="C34" s="34" t="n">
        <f aca="false">SUM(20_CASH_FLOW!$E$34:$AR$34)</f>
        <v>2686.49559949132</v>
      </c>
      <c r="E34" s="34" t="n">
        <f aca="false">IF(OR(20_CASH_FLOW!E31=1,06_CONSTRUCTION!E5=02_PROJECT_INPUTS!$C$13),MAX(0,20_CASH_FLOW!E32-20_CASH_FLOW!E33),0)</f>
        <v>0</v>
      </c>
      <c r="F34" s="34" t="n">
        <f aca="false">IF(OR(20_CASH_FLOW!F31=1,06_CONSTRUCTION!F5=02_PROJECT_INPUTS!$C$13),MAX(0,20_CASH_FLOW!F32-20_CASH_FLOW!F33),0)</f>
        <v>0</v>
      </c>
      <c r="G34" s="34" t="n">
        <f aca="false">IF(OR(20_CASH_FLOW!G31=1,06_CONSTRUCTION!G5=02_PROJECT_INPUTS!$C$13),MAX(0,20_CASH_FLOW!G32-20_CASH_FLOW!G33),0)</f>
        <v>0</v>
      </c>
      <c r="H34" s="34" t="n">
        <f aca="false">IF(OR(20_CASH_FLOW!H31=1,06_CONSTRUCTION!H5=02_PROJECT_INPUTS!$C$13),MAX(0,20_CASH_FLOW!H32-20_CASH_FLOW!H33),0)</f>
        <v>0</v>
      </c>
      <c r="I34" s="34" t="n">
        <f aca="false">IF(OR(20_CASH_FLOW!I31=1,06_CONSTRUCTION!I5=02_PROJECT_INPUTS!$C$13),MAX(0,20_CASH_FLOW!I32-20_CASH_FLOW!I33),0)</f>
        <v>0</v>
      </c>
      <c r="J34" s="34" t="n">
        <f aca="false">IF(OR(20_CASH_FLOW!J31=1,06_CONSTRUCTION!J5=02_PROJECT_INPUTS!$C$13),MAX(0,20_CASH_FLOW!J32-20_CASH_FLOW!J33),0)</f>
        <v>38.9474519851608</v>
      </c>
      <c r="K34" s="34" t="n">
        <f aca="false">IF(OR(20_CASH_FLOW!K31=1,06_CONSTRUCTION!K5=02_PROJECT_INPUTS!$C$13),MAX(0,20_CASH_FLOW!K32-20_CASH_FLOW!K33),0)</f>
        <v>57.835847333801</v>
      </c>
      <c r="L34" s="34" t="n">
        <f aca="false">IF(OR(20_CASH_FLOW!L31=1,06_CONSTRUCTION!L5=02_PROJECT_INPUTS!$C$13),MAX(0,20_CASH_FLOW!L32-20_CASH_FLOW!L33),0)</f>
        <v>58.5593897286342</v>
      </c>
      <c r="M34" s="34" t="n">
        <f aca="false">IF(OR(20_CASH_FLOW!M31=1,06_CONSTRUCTION!M5=02_PROJECT_INPUTS!$C$13),MAX(0,20_CASH_FLOW!M32-20_CASH_FLOW!M33),0)</f>
        <v>59.297402971364</v>
      </c>
      <c r="N34" s="34" t="n">
        <f aca="false">IF(OR(20_CASH_FLOW!N31=1,06_CONSTRUCTION!N5=02_PROJECT_INPUTS!$C$13),MAX(0,20_CASH_FLOW!N32-20_CASH_FLOW!N33),0)</f>
        <v>67.4031501271553</v>
      </c>
      <c r="O34" s="34" t="n">
        <f aca="false">IF(OR(20_CASH_FLOW!O31=1,06_CONSTRUCTION!O5=02_PROJECT_INPUTS!$C$13),MAX(0,20_CASH_FLOW!O32-20_CASH_FLOW!O33),0)</f>
        <v>61.677926058315</v>
      </c>
      <c r="P34" s="34" t="n">
        <f aca="false">IF(OR(20_CASH_FLOW!P31=1,06_CONSTRUCTION!P5=02_PROJECT_INPUTS!$C$13),MAX(0,20_CASH_FLOW!P32-20_CASH_FLOW!P33),0)</f>
        <v>61.681728116136</v>
      </c>
      <c r="Q34" s="34" t="n">
        <f aca="false">IF(OR(20_CASH_FLOW!Q31=1,06_CONSTRUCTION!Q5=02_PROJECT_INPUTS!$C$13),MAX(0,20_CASH_FLOW!Q32-20_CASH_FLOW!Q33),0)</f>
        <v>61.7513882125482</v>
      </c>
      <c r="R34" s="34" t="n">
        <f aca="false">IF(OR(20_CASH_FLOW!R31=1,06_CONSTRUCTION!R5=02_PROJECT_INPUTS!$C$13),MAX(0,20_CASH_FLOW!R32-20_CASH_FLOW!R33),0)</f>
        <v>61.7693575768323</v>
      </c>
      <c r="S34" s="34" t="n">
        <f aca="false">IF(OR(20_CASH_FLOW!S31=1,06_CONSTRUCTION!S5=02_PROJECT_INPUTS!$C$13),MAX(0,20_CASH_FLOW!S32-20_CASH_FLOW!S33),0)</f>
        <v>61.730462522032</v>
      </c>
      <c r="T34" s="34" t="n">
        <f aca="false">IF(OR(20_CASH_FLOW!T31=1,06_CONSTRUCTION!T5=02_PROJECT_INPUTS!$C$13),MAX(0,20_CASH_FLOW!T32-20_CASH_FLOW!T33),0)</f>
        <v>61.6290946976667</v>
      </c>
      <c r="U34" s="34" t="n">
        <f aca="false">IF(OR(20_CASH_FLOW!U31=1,06_CONSTRUCTION!U5=02_PROJECT_INPUTS!$C$13),MAX(0,20_CASH_FLOW!U32-20_CASH_FLOW!U33),0)</f>
        <v>61.4591759012783</v>
      </c>
      <c r="V34" s="34" t="n">
        <f aca="false">IF(OR(20_CASH_FLOW!V31=1,06_CONSTRUCTION!V5=02_PROJECT_INPUTS!$C$13),MAX(0,20_CASH_FLOW!V32-20_CASH_FLOW!V33),0)</f>
        <v>61.2141200665943</v>
      </c>
      <c r="W34" s="34" t="n">
        <f aca="false">IF(OR(20_CASH_FLOW!W31=1,06_CONSTRUCTION!W5=02_PROJECT_INPUTS!$C$13),MAX(0,20_CASH_FLOW!W32-20_CASH_FLOW!W33),0)</f>
        <v>60.88679220227</v>
      </c>
      <c r="X34" s="34" t="n">
        <f aca="false">IF(OR(20_CASH_FLOW!X31=1,06_CONSTRUCTION!X5=02_PROJECT_INPUTS!$C$13),MAX(0,20_CASH_FLOW!X32-20_CASH_FLOW!X33),0)</f>
        <v>60.4694640370876</v>
      </c>
      <c r="Y34" s="34" t="n">
        <f aca="false">IF(OR(20_CASH_FLOW!Y31=1,06_CONSTRUCTION!Y5=02_PROJECT_INPUTS!$C$13),MAX(0,20_CASH_FLOW!Y32-20_CASH_FLOW!Y33),0)</f>
        <v>59.9537661079549</v>
      </c>
      <c r="Z34" s="34" t="n">
        <f aca="false">IF(OR(20_CASH_FLOW!Z31=1,06_CONSTRUCTION!Z5=02_PROJECT_INPUTS!$C$13),MAX(0,20_CASH_FLOW!Z32-20_CASH_FLOW!Z33),0)</f>
        <v>59.3306360059528</v>
      </c>
      <c r="AA34" s="34" t="n">
        <f aca="false">IF(OR(20_CASH_FLOW!AA31=1,06_CONSTRUCTION!AA5=02_PROJECT_INPUTS!$C$13),MAX(0,20_CASH_FLOW!AA32-20_CASH_FLOW!AA33),0)</f>
        <v>93.2220882965346</v>
      </c>
      <c r="AB34" s="34" t="n">
        <f aca="false">IF(OR(20_CASH_FLOW!AB31=1,06_CONSTRUCTION!AB5=02_PROJECT_INPUTS!$C$13),MAX(0,20_CASH_FLOW!AB32-20_CASH_FLOW!AB33),0)</f>
        <v>127.673101796631</v>
      </c>
      <c r="AC34" s="34" t="n">
        <f aca="false">IF(OR(20_CASH_FLOW!AC31=1,06_CONSTRUCTION!AC5=02_PROJECT_INPUTS!$C$13),MAX(0,20_CASH_FLOW!AC32-20_CASH_FLOW!AC33),0)</f>
        <v>129.712390571816</v>
      </c>
      <c r="AD34" s="34" t="n">
        <f aca="false">IF(OR(20_CASH_FLOW!AD31=1,06_CONSTRUCTION!AD5=02_PROJECT_INPUTS!$C$13),MAX(0,20_CASH_FLOW!AD32-20_CASH_FLOW!AD33),0)</f>
        <v>113.424684717963</v>
      </c>
      <c r="AE34" s="34" t="n">
        <f aca="false">IF(OR(20_CASH_FLOW!AE31=1,06_CONSTRUCTION!AE5=02_PROJECT_INPUTS!$C$13),MAX(0,20_CASH_FLOW!AE32-20_CASH_FLOW!AE33),0)</f>
        <v>115.532234190456</v>
      </c>
      <c r="AF34" s="34" t="n">
        <f aca="false">IF(OR(20_CASH_FLOW!AF31=1,06_CONSTRUCTION!AF5=02_PROJECT_INPUTS!$C$13),MAX(0,20_CASH_FLOW!AF32-20_CASH_FLOW!AF33),0)</f>
        <v>117.674941301304</v>
      </c>
      <c r="AG34" s="34" t="n">
        <f aca="false">IF(OR(20_CASH_FLOW!AG31=1,06_CONSTRUCTION!AG5=02_PROJECT_INPUTS!$C$13),MAX(0,20_CASH_FLOW!AG32-20_CASH_FLOW!AG33),0)</f>
        <v>119.853509203276</v>
      </c>
      <c r="AH34" s="34" t="n">
        <f aca="false">IF(OR(20_CASH_FLOW!AH31=1,06_CONSTRUCTION!AH5=02_PROJECT_INPUTS!$C$13),MAX(0,20_CASH_FLOW!AH32-20_CASH_FLOW!AH33),0)</f>
        <v>130.394073081038</v>
      </c>
      <c r="AI34" s="34" t="n">
        <f aca="false">IF(OR(20_CASH_FLOW!AI31=1,06_CONSTRUCTION!AI5=02_PROJECT_INPUTS!$C$13),MAX(0,20_CASH_FLOW!AI32-20_CASH_FLOW!AI33),0)</f>
        <v>140.722183986819</v>
      </c>
      <c r="AJ34" s="34" t="n">
        <f aca="false">IF(OR(20_CASH_FLOW!AJ31=1,06_CONSTRUCTION!AJ5=02_PROJECT_INPUTS!$C$13),MAX(0,20_CASH_FLOW!AJ32-20_CASH_FLOW!AJ33),0)</f>
        <v>142.663027666556</v>
      </c>
      <c r="AK34" s="34" t="n">
        <f aca="false">IF(OR(20_CASH_FLOW!AK31=1,06_CONSTRUCTION!AK5=02_PROJECT_INPUTS!$C$13),MAX(0,20_CASH_FLOW!AK32-20_CASH_FLOW!AK33),0)</f>
        <v>144.642688219887</v>
      </c>
      <c r="AL34" s="34" t="n">
        <f aca="false">IF(OR(20_CASH_FLOW!AL31=1,06_CONSTRUCTION!AL5=02_PROJECT_INPUTS!$C$13),MAX(0,20_CASH_FLOW!AL32-20_CASH_FLOW!AL33),0)</f>
        <v>146.661941984284</v>
      </c>
      <c r="AM34" s="34" t="n">
        <f aca="false">IF(OR(20_CASH_FLOW!AM31=1,06_CONSTRUCTION!AM5=02_PROJECT_INPUTS!$C$13),MAX(0,20_CASH_FLOW!AM32-20_CASH_FLOW!AM33),0)</f>
        <v>148.72158082397</v>
      </c>
      <c r="AN34" s="34" t="n">
        <f aca="false">IF(OR(20_CASH_FLOW!AN31=1,06_CONSTRUCTION!AN5=02_PROJECT_INPUTS!$C$13),MAX(0,20_CASH_FLOW!AN32-20_CASH_FLOW!AN33),0)</f>
        <v>0</v>
      </c>
      <c r="AO34" s="34" t="n">
        <f aca="false">IF(OR(20_CASH_FLOW!AO31=1,06_CONSTRUCTION!AO5=02_PROJECT_INPUTS!$C$13),MAX(0,20_CASH_FLOW!AO32-20_CASH_FLOW!AO33),0)</f>
        <v>0</v>
      </c>
      <c r="AP34" s="34" t="n">
        <f aca="false">IF(OR(20_CASH_FLOW!AP31=1,06_CONSTRUCTION!AP5=02_PROJECT_INPUTS!$C$13),MAX(0,20_CASH_FLOW!AP32-20_CASH_FLOW!AP33),0)</f>
        <v>0</v>
      </c>
      <c r="AQ34" s="34" t="n">
        <f aca="false">IF(OR(20_CASH_FLOW!AQ31=1,06_CONSTRUCTION!AQ5=02_PROJECT_INPUTS!$C$13),MAX(0,20_CASH_FLOW!AQ32-20_CASH_FLOW!AQ33),0)</f>
        <v>0</v>
      </c>
      <c r="AR34" s="34" t="n">
        <f aca="false">IF(OR(20_CASH_FLOW!AR31=1,06_CONSTRUCTION!AR5=02_PROJECT_INPUTS!$C$13),MAX(0,20_CASH_FLOW!AR32-20_CASH_FLOW!AR33),0)</f>
        <v>0</v>
      </c>
    </row>
    <row r="35" customFormat="false" ht="15" hidden="false" customHeight="false" outlineLevel="0" collapsed="false">
      <c r="A35" s="8" t="s">
        <v>774</v>
      </c>
      <c r="B35" s="8" t="s">
        <v>84</v>
      </c>
      <c r="E35" s="34" t="n">
        <f aca="false">20_CASH_FLOW!E32-20_CASH_FLOW!E33-20_CASH_FLOW!E34</f>
        <v>0</v>
      </c>
      <c r="F35" s="34" t="n">
        <f aca="false">20_CASH_FLOW!F32-20_CASH_FLOW!F33-20_CASH_FLOW!F34</f>
        <v>0</v>
      </c>
      <c r="G35" s="34" t="n">
        <f aca="false">20_CASH_FLOW!G32-20_CASH_FLOW!G33-20_CASH_FLOW!G34</f>
        <v>0</v>
      </c>
      <c r="H35" s="34" t="n">
        <f aca="false">20_CASH_FLOW!H32-20_CASH_FLOW!H33-20_CASH_FLOW!H34</f>
        <v>0</v>
      </c>
      <c r="I35" s="34" t="n">
        <f aca="false">20_CASH_FLOW!I32-20_CASH_FLOW!I33-20_CASH_FLOW!I34</f>
        <v>0</v>
      </c>
      <c r="J35" s="34" t="n">
        <f aca="false">20_CASH_FLOW!J32-20_CASH_FLOW!J33-20_CASH_FLOW!J34</f>
        <v>0</v>
      </c>
      <c r="K35" s="34" t="n">
        <f aca="false">20_CASH_FLOW!K32-20_CASH_FLOW!K33-20_CASH_FLOW!K34</f>
        <v>0</v>
      </c>
      <c r="L35" s="34" t="n">
        <f aca="false">20_CASH_FLOW!L32-20_CASH_FLOW!L33-20_CASH_FLOW!L34</f>
        <v>0</v>
      </c>
      <c r="M35" s="34" t="n">
        <f aca="false">20_CASH_FLOW!M32-20_CASH_FLOW!M33-20_CASH_FLOW!M34</f>
        <v>0</v>
      </c>
      <c r="N35" s="34" t="n">
        <f aca="false">20_CASH_FLOW!N32-20_CASH_FLOW!N33-20_CASH_FLOW!N34</f>
        <v>0</v>
      </c>
      <c r="O35" s="34" t="n">
        <f aca="false">20_CASH_FLOW!O32-20_CASH_FLOW!O33-20_CASH_FLOW!O34</f>
        <v>0</v>
      </c>
      <c r="P35" s="34" t="n">
        <f aca="false">20_CASH_FLOW!P32-20_CASH_FLOW!P33-20_CASH_FLOW!P34</f>
        <v>0</v>
      </c>
      <c r="Q35" s="34" t="n">
        <f aca="false">20_CASH_FLOW!Q32-20_CASH_FLOW!Q33-20_CASH_FLOW!Q34</f>
        <v>0</v>
      </c>
      <c r="R35" s="34" t="n">
        <f aca="false">20_CASH_FLOW!R32-20_CASH_FLOW!R33-20_CASH_FLOW!R34</f>
        <v>0</v>
      </c>
      <c r="S35" s="34" t="n">
        <f aca="false">20_CASH_FLOW!S32-20_CASH_FLOW!S33-20_CASH_FLOW!S34</f>
        <v>0</v>
      </c>
      <c r="T35" s="34" t="n">
        <f aca="false">20_CASH_FLOW!T32-20_CASH_FLOW!T33-20_CASH_FLOW!T34</f>
        <v>0</v>
      </c>
      <c r="U35" s="34" t="n">
        <f aca="false">20_CASH_FLOW!U32-20_CASH_FLOW!U33-20_CASH_FLOW!U34</f>
        <v>0</v>
      </c>
      <c r="V35" s="34" t="n">
        <f aca="false">20_CASH_FLOW!V32-20_CASH_FLOW!V33-20_CASH_FLOW!V34</f>
        <v>0</v>
      </c>
      <c r="W35" s="34" t="n">
        <f aca="false">20_CASH_FLOW!W32-20_CASH_FLOW!W33-20_CASH_FLOW!W34</f>
        <v>0</v>
      </c>
      <c r="X35" s="34" t="n">
        <f aca="false">20_CASH_FLOW!X32-20_CASH_FLOW!X33-20_CASH_FLOW!X34</f>
        <v>0</v>
      </c>
      <c r="Y35" s="34" t="n">
        <f aca="false">20_CASH_FLOW!Y32-20_CASH_FLOW!Y33-20_CASH_FLOW!Y34</f>
        <v>0</v>
      </c>
      <c r="Z35" s="34" t="n">
        <f aca="false">20_CASH_FLOW!Z32-20_CASH_FLOW!Z33-20_CASH_FLOW!Z34</f>
        <v>0</v>
      </c>
      <c r="AA35" s="34" t="n">
        <f aca="false">20_CASH_FLOW!AA32-20_CASH_FLOW!AA33-20_CASH_FLOW!AA34</f>
        <v>0</v>
      </c>
      <c r="AB35" s="34" t="n">
        <f aca="false">20_CASH_FLOW!AB32-20_CASH_FLOW!AB33-20_CASH_FLOW!AB34</f>
        <v>0</v>
      </c>
      <c r="AC35" s="34" t="n">
        <f aca="false">20_CASH_FLOW!AC32-20_CASH_FLOW!AC33-20_CASH_FLOW!AC34</f>
        <v>0</v>
      </c>
      <c r="AD35" s="34" t="n">
        <f aca="false">20_CASH_FLOW!AD32-20_CASH_FLOW!AD33-20_CASH_FLOW!AD34</f>
        <v>0</v>
      </c>
      <c r="AE35" s="34" t="n">
        <f aca="false">20_CASH_FLOW!AE32-20_CASH_FLOW!AE33-20_CASH_FLOW!AE34</f>
        <v>0</v>
      </c>
      <c r="AF35" s="34" t="n">
        <f aca="false">20_CASH_FLOW!AF32-20_CASH_FLOW!AF33-20_CASH_FLOW!AF34</f>
        <v>0</v>
      </c>
      <c r="AG35" s="34" t="n">
        <f aca="false">20_CASH_FLOW!AG32-20_CASH_FLOW!AG33-20_CASH_FLOW!AG34</f>
        <v>0</v>
      </c>
      <c r="AH35" s="34" t="n">
        <f aca="false">20_CASH_FLOW!AH32-20_CASH_FLOW!AH33-20_CASH_FLOW!AH34</f>
        <v>0</v>
      </c>
      <c r="AI35" s="34" t="n">
        <f aca="false">20_CASH_FLOW!AI32-20_CASH_FLOW!AI33-20_CASH_FLOW!AI34</f>
        <v>0</v>
      </c>
      <c r="AJ35" s="34" t="n">
        <f aca="false">20_CASH_FLOW!AJ32-20_CASH_FLOW!AJ33-20_CASH_FLOW!AJ34</f>
        <v>0</v>
      </c>
      <c r="AK35" s="34" t="n">
        <f aca="false">20_CASH_FLOW!AK32-20_CASH_FLOW!AK33-20_CASH_FLOW!AK34</f>
        <v>0</v>
      </c>
      <c r="AL35" s="34" t="n">
        <f aca="false">20_CASH_FLOW!AL32-20_CASH_FLOW!AL33-20_CASH_FLOW!AL34</f>
        <v>0</v>
      </c>
      <c r="AM35" s="34" t="n">
        <f aca="false">20_CASH_FLOW!AM32-20_CASH_FLOW!AM33-20_CASH_FLOW!AM34</f>
        <v>0</v>
      </c>
      <c r="AN35" s="34" t="n">
        <f aca="false">20_CASH_FLOW!AN32-20_CASH_FLOW!AN33-20_CASH_FLOW!AN34</f>
        <v>0</v>
      </c>
      <c r="AO35" s="34" t="n">
        <f aca="false">20_CASH_FLOW!AO32-20_CASH_FLOW!AO33-20_CASH_FLOW!AO34</f>
        <v>0</v>
      </c>
      <c r="AP35" s="34" t="n">
        <f aca="false">20_CASH_FLOW!AP32-20_CASH_FLOW!AP33-20_CASH_FLOW!AP34</f>
        <v>0</v>
      </c>
      <c r="AQ35" s="34" t="n">
        <f aca="false">20_CASH_FLOW!AQ32-20_CASH_FLOW!AQ33-20_CASH_FLOW!AQ34</f>
        <v>0</v>
      </c>
      <c r="AR35" s="34" t="n">
        <f aca="false">20_CASH_FLOW!AR32-20_CASH_FLOW!AR33-20_CASH_FLOW!AR34</f>
        <v>0</v>
      </c>
    </row>
    <row r="36" customFormat="false" ht="15" hidden="false" customHeight="false" outlineLevel="0" collapsed="false">
      <c r="A36" s="6" t="s">
        <v>775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</row>
    <row r="37" customFormat="false" ht="15" hidden="false" customHeight="false" outlineLevel="0" collapsed="false">
      <c r="A37" s="8" t="s">
        <v>776</v>
      </c>
      <c r="B37" s="8" t="s">
        <v>84</v>
      </c>
      <c r="C37" s="34" t="n">
        <f aca="false">SUM(20_CASH_FLOW!$E$37:$AR$37)</f>
        <v>0</v>
      </c>
      <c r="E37" s="34" t="n">
        <f aca="false">20_CASH_FLOW!E30*17A_STRUCTURES!$C$12</f>
        <v>-0</v>
      </c>
      <c r="F37" s="34" t="n">
        <f aca="false">20_CASH_FLOW!F30*17A_STRUCTURES!$C$12</f>
        <v>-0</v>
      </c>
      <c r="G37" s="34" t="n">
        <f aca="false">20_CASH_FLOW!G30*17A_STRUCTURES!$C$12</f>
        <v>-0</v>
      </c>
      <c r="H37" s="34" t="n">
        <f aca="false">20_CASH_FLOW!H30*17A_STRUCTURES!$C$12</f>
        <v>-0</v>
      </c>
      <c r="I37" s="34" t="n">
        <f aca="false">20_CASH_FLOW!I30*17A_STRUCTURES!$C$12</f>
        <v>-0</v>
      </c>
      <c r="J37" s="34" t="n">
        <f aca="false">20_CASH_FLOW!J30*17A_STRUCTURES!$C$12</f>
        <v>0</v>
      </c>
      <c r="K37" s="34" t="n">
        <f aca="false">20_CASH_FLOW!K30*17A_STRUCTURES!$C$12</f>
        <v>0</v>
      </c>
      <c r="L37" s="34" t="n">
        <f aca="false">20_CASH_FLOW!L30*17A_STRUCTURES!$C$12</f>
        <v>0</v>
      </c>
      <c r="M37" s="34" t="n">
        <f aca="false">20_CASH_FLOW!M30*17A_STRUCTURES!$C$12</f>
        <v>0</v>
      </c>
      <c r="N37" s="34" t="n">
        <f aca="false">20_CASH_FLOW!N30*17A_STRUCTURES!$C$12</f>
        <v>0</v>
      </c>
      <c r="O37" s="34" t="n">
        <f aca="false">20_CASH_FLOW!O30*17A_STRUCTURES!$C$12</f>
        <v>0</v>
      </c>
      <c r="P37" s="34" t="n">
        <f aca="false">20_CASH_FLOW!P30*17A_STRUCTURES!$C$12</f>
        <v>0</v>
      </c>
      <c r="Q37" s="34" t="n">
        <f aca="false">20_CASH_FLOW!Q30*17A_STRUCTURES!$C$12</f>
        <v>0</v>
      </c>
      <c r="R37" s="34" t="n">
        <f aca="false">20_CASH_FLOW!R30*17A_STRUCTURES!$C$12</f>
        <v>0</v>
      </c>
      <c r="S37" s="34" t="n">
        <f aca="false">20_CASH_FLOW!S30*17A_STRUCTURES!$C$12</f>
        <v>0</v>
      </c>
      <c r="T37" s="34" t="n">
        <f aca="false">20_CASH_FLOW!T30*17A_STRUCTURES!$C$12</f>
        <v>0</v>
      </c>
      <c r="U37" s="34" t="n">
        <f aca="false">20_CASH_FLOW!U30*17A_STRUCTURES!$C$12</f>
        <v>0</v>
      </c>
      <c r="V37" s="34" t="n">
        <f aca="false">20_CASH_FLOW!V30*17A_STRUCTURES!$C$12</f>
        <v>0</v>
      </c>
      <c r="W37" s="34" t="n">
        <f aca="false">20_CASH_FLOW!W30*17A_STRUCTURES!$C$12</f>
        <v>0</v>
      </c>
      <c r="X37" s="34" t="n">
        <f aca="false">20_CASH_FLOW!X30*17A_STRUCTURES!$C$12</f>
        <v>0</v>
      </c>
      <c r="Y37" s="34" t="n">
        <f aca="false">20_CASH_FLOW!Y30*17A_STRUCTURES!$C$12</f>
        <v>0</v>
      </c>
      <c r="Z37" s="34" t="n">
        <f aca="false">20_CASH_FLOW!Z30*17A_STRUCTURES!$C$12</f>
        <v>0</v>
      </c>
      <c r="AA37" s="34" t="n">
        <f aca="false">20_CASH_FLOW!AA30*17A_STRUCTURES!$C$12</f>
        <v>0</v>
      </c>
      <c r="AB37" s="34" t="n">
        <f aca="false">20_CASH_FLOW!AB30*17A_STRUCTURES!$C$12</f>
        <v>0</v>
      </c>
      <c r="AC37" s="34" t="n">
        <f aca="false">20_CASH_FLOW!AC30*17A_STRUCTURES!$C$12</f>
        <v>0</v>
      </c>
      <c r="AD37" s="34" t="n">
        <f aca="false">20_CASH_FLOW!AD30*17A_STRUCTURES!$C$12</f>
        <v>0</v>
      </c>
      <c r="AE37" s="34" t="n">
        <f aca="false">20_CASH_FLOW!AE30*17A_STRUCTURES!$C$12</f>
        <v>0</v>
      </c>
      <c r="AF37" s="34" t="n">
        <f aca="false">20_CASH_FLOW!AF30*17A_STRUCTURES!$C$12</f>
        <v>0</v>
      </c>
      <c r="AG37" s="34" t="n">
        <f aca="false">20_CASH_FLOW!AG30*17A_STRUCTURES!$C$12</f>
        <v>0</v>
      </c>
      <c r="AH37" s="34" t="n">
        <f aca="false">20_CASH_FLOW!AH30*17A_STRUCTURES!$C$12</f>
        <v>0</v>
      </c>
      <c r="AI37" s="34" t="n">
        <f aca="false">20_CASH_FLOW!AI30*17A_STRUCTURES!$C$12</f>
        <v>0</v>
      </c>
      <c r="AJ37" s="34" t="n">
        <f aca="false">20_CASH_FLOW!AJ30*17A_STRUCTURES!$C$12</f>
        <v>0</v>
      </c>
      <c r="AK37" s="34" t="n">
        <f aca="false">20_CASH_FLOW!AK30*17A_STRUCTURES!$C$12</f>
        <v>0</v>
      </c>
      <c r="AL37" s="34" t="n">
        <f aca="false">20_CASH_FLOW!AL30*17A_STRUCTURES!$C$12</f>
        <v>0</v>
      </c>
      <c r="AM37" s="34" t="n">
        <f aca="false">20_CASH_FLOW!AM30*17A_STRUCTURES!$C$12</f>
        <v>0</v>
      </c>
      <c r="AN37" s="34" t="n">
        <f aca="false">20_CASH_FLOW!AN30*17A_STRUCTURES!$C$12</f>
        <v>-0</v>
      </c>
      <c r="AO37" s="34" t="n">
        <f aca="false">20_CASH_FLOW!AO30*17A_STRUCTURES!$C$12</f>
        <v>-0</v>
      </c>
      <c r="AP37" s="34" t="n">
        <f aca="false">20_CASH_FLOW!AP30*17A_STRUCTURES!$C$12</f>
        <v>-0</v>
      </c>
      <c r="AQ37" s="34" t="n">
        <f aca="false">20_CASH_FLOW!AQ30*17A_STRUCTURES!$C$12</f>
        <v>-0</v>
      </c>
      <c r="AR37" s="34" t="n">
        <f aca="false">20_CASH_FLOW!AR30*17A_STRUCTURES!$C$12</f>
        <v>-0</v>
      </c>
    </row>
    <row r="38" customFormat="false" ht="15" hidden="false" customHeight="false" outlineLevel="0" collapsed="false">
      <c r="A38" s="8" t="s">
        <v>777</v>
      </c>
      <c r="B38" s="8" t="s">
        <v>84</v>
      </c>
      <c r="C38" s="34" t="n">
        <f aca="false">SUM(20_CASH_FLOW!$E$38:$AR$38)</f>
        <v>0</v>
      </c>
      <c r="E38" s="34" t="n">
        <f aca="false">20_CASH_FLOW!E30-20_CASH_FLOW!E37</f>
        <v>0</v>
      </c>
      <c r="F38" s="34" t="n">
        <f aca="false">20_CASH_FLOW!F30-20_CASH_FLOW!F37</f>
        <v>0</v>
      </c>
      <c r="G38" s="34" t="n">
        <f aca="false">20_CASH_FLOW!G30-20_CASH_FLOW!G37</f>
        <v>0</v>
      </c>
      <c r="H38" s="34" t="n">
        <f aca="false">20_CASH_FLOW!H30-20_CASH_FLOW!H37</f>
        <v>0</v>
      </c>
      <c r="I38" s="34" t="n">
        <f aca="false">20_CASH_FLOW!I30-20_CASH_FLOW!I37</f>
        <v>0</v>
      </c>
      <c r="J38" s="34" t="n">
        <f aca="false">20_CASH_FLOW!J30-20_CASH_FLOW!J37</f>
        <v>0</v>
      </c>
      <c r="K38" s="34" t="n">
        <f aca="false">20_CASH_FLOW!K30-20_CASH_FLOW!K37</f>
        <v>0</v>
      </c>
      <c r="L38" s="34" t="n">
        <f aca="false">20_CASH_FLOW!L30-20_CASH_FLOW!L37</f>
        <v>0</v>
      </c>
      <c r="M38" s="34" t="n">
        <f aca="false">20_CASH_FLOW!M30-20_CASH_FLOW!M37</f>
        <v>0</v>
      </c>
      <c r="N38" s="34" t="n">
        <f aca="false">20_CASH_FLOW!N30-20_CASH_FLOW!N37</f>
        <v>0</v>
      </c>
      <c r="O38" s="34" t="n">
        <f aca="false">20_CASH_FLOW!O30-20_CASH_FLOW!O37</f>
        <v>0</v>
      </c>
      <c r="P38" s="34" t="n">
        <f aca="false">20_CASH_FLOW!P30-20_CASH_FLOW!P37</f>
        <v>0</v>
      </c>
      <c r="Q38" s="34" t="n">
        <f aca="false">20_CASH_FLOW!Q30-20_CASH_FLOW!Q37</f>
        <v>0</v>
      </c>
      <c r="R38" s="34" t="n">
        <f aca="false">20_CASH_FLOW!R30-20_CASH_FLOW!R37</f>
        <v>0</v>
      </c>
      <c r="S38" s="34" t="n">
        <f aca="false">20_CASH_FLOW!S30-20_CASH_FLOW!S37</f>
        <v>0</v>
      </c>
      <c r="T38" s="34" t="n">
        <f aca="false">20_CASH_FLOW!T30-20_CASH_FLOW!T37</f>
        <v>0</v>
      </c>
      <c r="U38" s="34" t="n">
        <f aca="false">20_CASH_FLOW!U30-20_CASH_FLOW!U37</f>
        <v>0</v>
      </c>
      <c r="V38" s="34" t="n">
        <f aca="false">20_CASH_FLOW!V30-20_CASH_FLOW!V37</f>
        <v>0</v>
      </c>
      <c r="W38" s="34" t="n">
        <f aca="false">20_CASH_FLOW!W30-20_CASH_FLOW!W37</f>
        <v>0</v>
      </c>
      <c r="X38" s="34" t="n">
        <f aca="false">20_CASH_FLOW!X30-20_CASH_FLOW!X37</f>
        <v>0</v>
      </c>
      <c r="Y38" s="34" t="n">
        <f aca="false">20_CASH_FLOW!Y30-20_CASH_FLOW!Y37</f>
        <v>0</v>
      </c>
      <c r="Z38" s="34" t="n">
        <f aca="false">20_CASH_FLOW!Z30-20_CASH_FLOW!Z37</f>
        <v>0</v>
      </c>
      <c r="AA38" s="34" t="n">
        <f aca="false">20_CASH_FLOW!AA30-20_CASH_FLOW!AA37</f>
        <v>0</v>
      </c>
      <c r="AB38" s="34" t="n">
        <f aca="false">20_CASH_FLOW!AB30-20_CASH_FLOW!AB37</f>
        <v>0</v>
      </c>
      <c r="AC38" s="34" t="n">
        <f aca="false">20_CASH_FLOW!AC30-20_CASH_FLOW!AC37</f>
        <v>0</v>
      </c>
      <c r="AD38" s="34" t="n">
        <f aca="false">20_CASH_FLOW!AD30-20_CASH_FLOW!AD37</f>
        <v>0</v>
      </c>
      <c r="AE38" s="34" t="n">
        <f aca="false">20_CASH_FLOW!AE30-20_CASH_FLOW!AE37</f>
        <v>0</v>
      </c>
      <c r="AF38" s="34" t="n">
        <f aca="false">20_CASH_FLOW!AF30-20_CASH_FLOW!AF37</f>
        <v>0</v>
      </c>
      <c r="AG38" s="34" t="n">
        <f aca="false">20_CASH_FLOW!AG30-20_CASH_FLOW!AG37</f>
        <v>0</v>
      </c>
      <c r="AH38" s="34" t="n">
        <f aca="false">20_CASH_FLOW!AH30-20_CASH_FLOW!AH37</f>
        <v>0</v>
      </c>
      <c r="AI38" s="34" t="n">
        <f aca="false">20_CASH_FLOW!AI30-20_CASH_FLOW!AI37</f>
        <v>0</v>
      </c>
      <c r="AJ38" s="34" t="n">
        <f aca="false">20_CASH_FLOW!AJ30-20_CASH_FLOW!AJ37</f>
        <v>0</v>
      </c>
      <c r="AK38" s="34" t="n">
        <f aca="false">20_CASH_FLOW!AK30-20_CASH_FLOW!AK37</f>
        <v>0</v>
      </c>
      <c r="AL38" s="34" t="n">
        <f aca="false">20_CASH_FLOW!AL30-20_CASH_FLOW!AL37</f>
        <v>0</v>
      </c>
      <c r="AM38" s="34" t="n">
        <f aca="false">20_CASH_FLOW!AM30-20_CASH_FLOW!AM37</f>
        <v>0</v>
      </c>
      <c r="AN38" s="34" t="n">
        <f aca="false">20_CASH_FLOW!AN30-20_CASH_FLOW!AN37</f>
        <v>0</v>
      </c>
      <c r="AO38" s="34" t="n">
        <f aca="false">20_CASH_FLOW!AO30-20_CASH_FLOW!AO37</f>
        <v>0</v>
      </c>
      <c r="AP38" s="34" t="n">
        <f aca="false">20_CASH_FLOW!AP30-20_CASH_FLOW!AP37</f>
        <v>0</v>
      </c>
      <c r="AQ38" s="34" t="n">
        <f aca="false">20_CASH_FLOW!AQ30-20_CASH_FLOW!AQ37</f>
        <v>0</v>
      </c>
      <c r="AR38" s="34" t="n">
        <f aca="false">20_CASH_FLOW!AR30-20_CASH_FLOW!AR37</f>
        <v>0</v>
      </c>
    </row>
    <row r="39" customFormat="false" ht="15" hidden="false" customHeight="false" outlineLevel="0" collapsed="false">
      <c r="A39" s="8" t="s">
        <v>778</v>
      </c>
      <c r="B39" s="8" t="s">
        <v>84</v>
      </c>
      <c r="E39" s="34" t="n">
        <f aca="false">20_CASH_FLOW!D39+20_CASH_FLOW!E37-20_CASH_FLOW!E33</f>
        <v>0</v>
      </c>
      <c r="F39" s="34" t="n">
        <f aca="false">20_CASH_FLOW!E39+20_CASH_FLOW!F37-20_CASH_FLOW!F33</f>
        <v>0</v>
      </c>
      <c r="G39" s="34" t="n">
        <f aca="false">20_CASH_FLOW!F39+20_CASH_FLOW!G37-20_CASH_FLOW!G33</f>
        <v>0</v>
      </c>
      <c r="H39" s="34" t="n">
        <f aca="false">20_CASH_FLOW!G39+20_CASH_FLOW!H37-20_CASH_FLOW!H33</f>
        <v>0</v>
      </c>
      <c r="I39" s="34" t="n">
        <f aca="false">20_CASH_FLOW!H39+20_CASH_FLOW!I37-20_CASH_FLOW!I33</f>
        <v>0</v>
      </c>
      <c r="J39" s="34" t="n">
        <f aca="false">20_CASH_FLOW!I39+20_CASH_FLOW!J37-20_CASH_FLOW!J33</f>
        <v>0</v>
      </c>
      <c r="K39" s="34" t="n">
        <f aca="false">20_CASH_FLOW!J39+20_CASH_FLOW!K37-20_CASH_FLOW!K33</f>
        <v>0</v>
      </c>
      <c r="L39" s="34" t="n">
        <f aca="false">20_CASH_FLOW!K39+20_CASH_FLOW!L37-20_CASH_FLOW!L33</f>
        <v>0</v>
      </c>
      <c r="M39" s="34" t="n">
        <f aca="false">20_CASH_FLOW!L39+20_CASH_FLOW!M37-20_CASH_FLOW!M33</f>
        <v>0</v>
      </c>
      <c r="N39" s="34" t="n">
        <f aca="false">20_CASH_FLOW!M39+20_CASH_FLOW!N37-20_CASH_FLOW!N33</f>
        <v>0</v>
      </c>
      <c r="O39" s="34" t="n">
        <f aca="false">20_CASH_FLOW!N39+20_CASH_FLOW!O37-20_CASH_FLOW!O33</f>
        <v>0</v>
      </c>
      <c r="P39" s="34" t="n">
        <f aca="false">20_CASH_FLOW!O39+20_CASH_FLOW!P37-20_CASH_FLOW!P33</f>
        <v>0</v>
      </c>
      <c r="Q39" s="34" t="n">
        <f aca="false">20_CASH_FLOW!P39+20_CASH_FLOW!Q37-20_CASH_FLOW!Q33</f>
        <v>0</v>
      </c>
      <c r="R39" s="34" t="n">
        <f aca="false">20_CASH_FLOW!Q39+20_CASH_FLOW!R37-20_CASH_FLOW!R33</f>
        <v>0</v>
      </c>
      <c r="S39" s="34" t="n">
        <f aca="false">20_CASH_FLOW!R39+20_CASH_FLOW!S37-20_CASH_FLOW!S33</f>
        <v>0</v>
      </c>
      <c r="T39" s="34" t="n">
        <f aca="false">20_CASH_FLOW!S39+20_CASH_FLOW!T37-20_CASH_FLOW!T33</f>
        <v>0</v>
      </c>
      <c r="U39" s="34" t="n">
        <f aca="false">20_CASH_FLOW!T39+20_CASH_FLOW!U37-20_CASH_FLOW!U33</f>
        <v>0</v>
      </c>
      <c r="V39" s="34" t="n">
        <f aca="false">20_CASH_FLOW!U39+20_CASH_FLOW!V37-20_CASH_FLOW!V33</f>
        <v>0</v>
      </c>
      <c r="W39" s="34" t="n">
        <f aca="false">20_CASH_FLOW!V39+20_CASH_FLOW!W37-20_CASH_FLOW!W33</f>
        <v>0</v>
      </c>
      <c r="X39" s="34" t="n">
        <f aca="false">20_CASH_FLOW!W39+20_CASH_FLOW!X37-20_CASH_FLOW!X33</f>
        <v>0</v>
      </c>
      <c r="Y39" s="34" t="n">
        <f aca="false">20_CASH_FLOW!X39+20_CASH_FLOW!Y37-20_CASH_FLOW!Y33</f>
        <v>0</v>
      </c>
      <c r="Z39" s="34" t="n">
        <f aca="false">20_CASH_FLOW!Y39+20_CASH_FLOW!Z37-20_CASH_FLOW!Z33</f>
        <v>0</v>
      </c>
      <c r="AA39" s="34" t="n">
        <f aca="false">20_CASH_FLOW!Z39+20_CASH_FLOW!AA37-20_CASH_FLOW!AA33</f>
        <v>0</v>
      </c>
      <c r="AB39" s="34" t="n">
        <f aca="false">20_CASH_FLOW!AA39+20_CASH_FLOW!AB37-20_CASH_FLOW!AB33</f>
        <v>0</v>
      </c>
      <c r="AC39" s="34" t="n">
        <f aca="false">20_CASH_FLOW!AB39+20_CASH_FLOW!AC37-20_CASH_FLOW!AC33</f>
        <v>0</v>
      </c>
      <c r="AD39" s="34" t="n">
        <f aca="false">20_CASH_FLOW!AC39+20_CASH_FLOW!AD37-20_CASH_FLOW!AD33</f>
        <v>0</v>
      </c>
      <c r="AE39" s="34" t="n">
        <f aca="false">20_CASH_FLOW!AD39+20_CASH_FLOW!AE37-20_CASH_FLOW!AE33</f>
        <v>0</v>
      </c>
      <c r="AF39" s="34" t="n">
        <f aca="false">20_CASH_FLOW!AE39+20_CASH_FLOW!AF37-20_CASH_FLOW!AF33</f>
        <v>0</v>
      </c>
      <c r="AG39" s="34" t="n">
        <f aca="false">20_CASH_FLOW!AF39+20_CASH_FLOW!AG37-20_CASH_FLOW!AG33</f>
        <v>0</v>
      </c>
      <c r="AH39" s="34" t="n">
        <f aca="false">20_CASH_FLOW!AG39+20_CASH_FLOW!AH37-20_CASH_FLOW!AH33</f>
        <v>0</v>
      </c>
      <c r="AI39" s="34" t="n">
        <f aca="false">20_CASH_FLOW!AH39+20_CASH_FLOW!AI37-20_CASH_FLOW!AI33</f>
        <v>0</v>
      </c>
      <c r="AJ39" s="34" t="n">
        <f aca="false">20_CASH_FLOW!AI39+20_CASH_FLOW!AJ37-20_CASH_FLOW!AJ33</f>
        <v>0</v>
      </c>
      <c r="AK39" s="34" t="n">
        <f aca="false">20_CASH_FLOW!AJ39+20_CASH_FLOW!AK37-20_CASH_FLOW!AK33</f>
        <v>0</v>
      </c>
      <c r="AL39" s="34" t="n">
        <f aca="false">20_CASH_FLOW!AK39+20_CASH_FLOW!AL37-20_CASH_FLOW!AL33</f>
        <v>0</v>
      </c>
      <c r="AM39" s="34" t="n">
        <f aca="false">20_CASH_FLOW!AL39+20_CASH_FLOW!AM37-20_CASH_FLOW!AM33</f>
        <v>0</v>
      </c>
      <c r="AN39" s="34" t="n">
        <f aca="false">20_CASH_FLOW!AM39+20_CASH_FLOW!AN37-20_CASH_FLOW!AN33</f>
        <v>0</v>
      </c>
      <c r="AO39" s="34" t="n">
        <f aca="false">20_CASH_FLOW!AN39+20_CASH_FLOW!AO37-20_CASH_FLOW!AO33</f>
        <v>0</v>
      </c>
      <c r="AP39" s="34" t="n">
        <f aca="false">20_CASH_FLOW!AO39+20_CASH_FLOW!AP37-20_CASH_FLOW!AP33</f>
        <v>0</v>
      </c>
      <c r="AQ39" s="34" t="n">
        <f aca="false">20_CASH_FLOW!AP39+20_CASH_FLOW!AQ37-20_CASH_FLOW!AQ33</f>
        <v>0</v>
      </c>
      <c r="AR39" s="34" t="n">
        <f aca="false">20_CASH_FLOW!AQ39+20_CASH_FLOW!AR37-20_CASH_FLOW!AR33</f>
        <v>0</v>
      </c>
    </row>
    <row r="40" customFormat="false" ht="15" hidden="false" customHeight="false" outlineLevel="0" collapsed="false">
      <c r="A40" s="8" t="s">
        <v>779</v>
      </c>
      <c r="B40" s="8" t="s">
        <v>84</v>
      </c>
      <c r="C40" s="34" t="n">
        <f aca="false">SUM(20_CASH_FLOW!$E$40:$AR$40)</f>
        <v>878.896327156181</v>
      </c>
      <c r="E40" s="34" t="n">
        <f aca="false">-20_CASH_FLOW!E11+(20_CASH_FLOW!E34-20_CASH_FLOW!E38)*19_EQUITY!$C$7</f>
        <v>-9.57227019470778</v>
      </c>
      <c r="F40" s="34" t="n">
        <f aca="false">-20_CASH_FLOW!F11+(20_CASH_FLOW!F34-20_CASH_FLOW!F38)*19_EQUITY!$C$7</f>
        <v>-11.0929582049869</v>
      </c>
      <c r="G40" s="34" t="n">
        <f aca="false">-20_CASH_FLOW!G11+(20_CASH_FLOW!G34-20_CASH_FLOW!G38)*19_EQUITY!$C$7</f>
        <v>-21.8322774526266</v>
      </c>
      <c r="H40" s="34" t="n">
        <f aca="false">-20_CASH_FLOW!H11+(20_CASH_FLOW!H34-20_CASH_FLOW!H38)*19_EQUITY!$C$7</f>
        <v>-28.5256837002688</v>
      </c>
      <c r="I40" s="34" t="n">
        <f aca="false">-20_CASH_FLOW!I11+(20_CASH_FLOW!I34-20_CASH_FLOW!I38)*19_EQUITY!$C$7</f>
        <v>-39.9823833653438</v>
      </c>
      <c r="J40" s="34" t="n">
        <f aca="false">-20_CASH_FLOW!J11+(20_CASH_FLOW!J34-20_CASH_FLOW!J38)*19_EQUITY!$C$7</f>
        <v>14.351096175425</v>
      </c>
      <c r="K40" s="34" t="n">
        <f aca="false">-20_CASH_FLOW!K11+(20_CASH_FLOW!K34-20_CASH_FLOW!K38)*19_EQUITY!$C$7</f>
        <v>21.3109655489354</v>
      </c>
      <c r="L40" s="34" t="n">
        <f aca="false">-20_CASH_FLOW!L11+(20_CASH_FLOW!L34-20_CASH_FLOW!L38)*19_EQUITY!$C$7</f>
        <v>21.5775716031442</v>
      </c>
      <c r="M40" s="34" t="n">
        <f aca="false">-20_CASH_FLOW!M11+(20_CASH_FLOW!M34-20_CASH_FLOW!M38)*19_EQUITY!$C$7</f>
        <v>21.8495097784371</v>
      </c>
      <c r="N40" s="34" t="n">
        <f aca="false">-20_CASH_FLOW!N11+(20_CASH_FLOW!N34-20_CASH_FLOW!N38)*19_EQUITY!$C$7</f>
        <v>24.8362611851982</v>
      </c>
      <c r="O40" s="34" t="n">
        <f aca="false">-20_CASH_FLOW!O11+(20_CASH_FLOW!O34-20_CASH_FLOW!O38)*19_EQUITY!$C$7</f>
        <v>22.7266689769816</v>
      </c>
      <c r="P40" s="34" t="n">
        <f aca="false">-20_CASH_FLOW!P11+(20_CASH_FLOW!P34-20_CASH_FLOW!P38)*19_EQUITY!$C$7</f>
        <v>22.7280699337752</v>
      </c>
      <c r="Q40" s="34" t="n">
        <f aca="false">-20_CASH_FLOW!Q11+(20_CASH_FLOW!Q34-20_CASH_FLOW!Q38)*19_EQUITY!$C$7</f>
        <v>22.7537378194069</v>
      </c>
      <c r="R40" s="34" t="n">
        <f aca="false">-20_CASH_FLOW!R11+(20_CASH_FLOW!R34-20_CASH_FLOW!R38)*19_EQUITY!$C$7</f>
        <v>22.7603590503709</v>
      </c>
      <c r="S40" s="34" t="n">
        <f aca="false">-20_CASH_FLOW!S11+(20_CASH_FLOW!S34-20_CASH_FLOW!S38)*19_EQUITY!$C$7</f>
        <v>22.7460272611591</v>
      </c>
      <c r="T40" s="34" t="n">
        <f aca="false">-20_CASH_FLOW!T11+(20_CASH_FLOW!T34-20_CASH_FLOW!T38)*19_EQUITY!$C$7</f>
        <v>22.7086759243601</v>
      </c>
      <c r="U40" s="34" t="n">
        <f aca="false">-20_CASH_FLOW!U11+(20_CASH_FLOW!U34-20_CASH_FLOW!U38)*19_EQUITY!$C$7</f>
        <v>22.6460653846537</v>
      </c>
      <c r="V40" s="34" t="n">
        <f aca="false">-20_CASH_FLOW!V11+(20_CASH_FLOW!V34-20_CASH_FLOW!V38)*19_EQUITY!$C$7</f>
        <v>22.5557688524636</v>
      </c>
      <c r="W40" s="34" t="n">
        <f aca="false">-20_CASH_FLOW!W11+(20_CASH_FLOW!W34-20_CASH_FLOW!W38)*19_EQUITY!$C$7</f>
        <v>22.4351572739807</v>
      </c>
      <c r="X40" s="34" t="n">
        <f aca="false">-20_CASH_FLOW!X11+(20_CASH_FLOW!X34-20_CASH_FLOW!X38)*19_EQUITY!$C$7</f>
        <v>22.2813829876031</v>
      </c>
      <c r="Y40" s="34" t="n">
        <f aca="false">-20_CASH_FLOW!Y11+(20_CASH_FLOW!Y34-20_CASH_FLOW!Y38)*19_EQUITY!$C$7</f>
        <v>22.0913620696424</v>
      </c>
      <c r="Z40" s="34" t="n">
        <f aca="false">-20_CASH_FLOW!Z11+(20_CASH_FLOW!Z34-20_CASH_FLOW!Z38)*19_EQUITY!$C$7</f>
        <v>21.8617552643746</v>
      </c>
      <c r="AA40" s="34" t="n">
        <f aca="false">-20_CASH_FLOW!AA11+(20_CASH_FLOW!AA34-20_CASH_FLOW!AA38)*19_EQUITY!$C$7</f>
        <v>34.34985054548</v>
      </c>
      <c r="AB40" s="34" t="n">
        <f aca="false">-20_CASH_FLOW!AB11+(20_CASH_FLOW!AB34-20_CASH_FLOW!AB38)*19_EQUITY!$C$7</f>
        <v>47.0441291922354</v>
      </c>
      <c r="AC40" s="34" t="n">
        <f aca="false">-20_CASH_FLOW!AC11+(20_CASH_FLOW!AC34-20_CASH_FLOW!AC38)*19_EQUITY!$C$7</f>
        <v>47.795552657711</v>
      </c>
      <c r="AD40" s="34" t="n">
        <f aca="false">-20_CASH_FLOW!AD11+(20_CASH_FLOW!AD34-20_CASH_FLOW!AD38)*19_EQUITY!$C$7</f>
        <v>41.7939679256795</v>
      </c>
      <c r="AE40" s="34" t="n">
        <f aca="false">-20_CASH_FLOW!AE11+(20_CASH_FLOW!AE34-20_CASH_FLOW!AE38)*19_EQUITY!$C$7</f>
        <v>42.5705436355803</v>
      </c>
      <c r="AF40" s="34" t="n">
        <f aca="false">-20_CASH_FLOW!AF11+(20_CASH_FLOW!AF34-20_CASH_FLOW!AF38)*19_EQUITY!$C$7</f>
        <v>43.3600739965208</v>
      </c>
      <c r="AG40" s="34" t="n">
        <f aca="false">-20_CASH_FLOW!AG11+(20_CASH_FLOW!AG34-20_CASH_FLOW!AG38)*19_EQUITY!$C$7</f>
        <v>44.1628181015215</v>
      </c>
      <c r="AH40" s="34" t="n">
        <f aca="false">-20_CASH_FLOW!AH11+(20_CASH_FLOW!AH34-20_CASH_FLOW!AH38)*19_EQUITY!$C$7</f>
        <v>48.046734461714</v>
      </c>
      <c r="AI40" s="34" t="n">
        <f aca="false">-20_CASH_FLOW!AI11+(20_CASH_FLOW!AI34-20_CASH_FLOW!AI38)*19_EQUITY!$C$7</f>
        <v>51.8523675741393</v>
      </c>
      <c r="AJ40" s="34" t="n">
        <f aca="false">-20_CASH_FLOW!AJ11+(20_CASH_FLOW!AJ34-20_CASH_FLOW!AJ38)*19_EQUITY!$C$7</f>
        <v>52.5675166503863</v>
      </c>
      <c r="AK40" s="34" t="n">
        <f aca="false">-20_CASH_FLOW!AK11+(20_CASH_FLOW!AK34-20_CASH_FLOW!AK38)*19_EQUITY!$C$7</f>
        <v>53.2969687081583</v>
      </c>
      <c r="AL40" s="34" t="n">
        <f aca="false">-20_CASH_FLOW!AL11+(20_CASH_FLOW!AL34-20_CASH_FLOW!AL38)*19_EQUITY!$C$7</f>
        <v>54.0410098070857</v>
      </c>
      <c r="AM40" s="34" t="n">
        <f aca="false">-20_CASH_FLOW!AM11+(20_CASH_FLOW!AM34-20_CASH_FLOW!AM38)*19_EQUITY!$C$7</f>
        <v>54.7999317279916</v>
      </c>
      <c r="AN40" s="34" t="n">
        <f aca="false">-20_CASH_FLOW!AN11+(20_CASH_FLOW!AN34-20_CASH_FLOW!AN38)*19_EQUITY!$C$7</f>
        <v>0</v>
      </c>
      <c r="AO40" s="34" t="n">
        <f aca="false">-20_CASH_FLOW!AO11+(20_CASH_FLOW!AO34-20_CASH_FLOW!AO38)*19_EQUITY!$C$7</f>
        <v>0</v>
      </c>
      <c r="AP40" s="34" t="n">
        <f aca="false">-20_CASH_FLOW!AP11+(20_CASH_FLOW!AP34-20_CASH_FLOW!AP38)*19_EQUITY!$C$7</f>
        <v>0</v>
      </c>
      <c r="AQ40" s="34" t="n">
        <f aca="false">-20_CASH_FLOW!AQ11+(20_CASH_FLOW!AQ34-20_CASH_FLOW!AQ38)*19_EQUITY!$C$7</f>
        <v>0</v>
      </c>
      <c r="AR40" s="34" t="n">
        <f aca="false">-20_CASH_FLOW!AR11+(20_CASH_FLOW!AR34-20_CASH_FLOW!AR38)*19_EQUITY!$C$7</f>
        <v>0</v>
      </c>
    </row>
    <row r="41" customFormat="false" ht="15" hidden="false" customHeight="false" outlineLevel="0" collapsed="false">
      <c r="A41" s="4" t="s">
        <v>780</v>
      </c>
      <c r="B41" s="8" t="s">
        <v>84</v>
      </c>
      <c r="C41" s="34" t="n">
        <f aca="false">SUM(20_CASH_FLOW!$E$41:$AR$41)</f>
        <v>1506.34115459568</v>
      </c>
      <c r="E41" s="50" t="n">
        <f aca="false">-20_CASH_FLOW!E12+(20_CASH_FLOW!E34-20_CASH_FLOW!E38)*(1-19_EQUITY!$C$7)</f>
        <v>-16.4059219405927</v>
      </c>
      <c r="F41" s="50" t="n">
        <f aca="false">-20_CASH_FLOW!F12+(20_CASH_FLOW!F34-20_CASH_FLOW!F38)*(1-19_EQUITY!$C$7)</f>
        <v>-19.0122304008811</v>
      </c>
      <c r="G41" s="50" t="n">
        <f aca="false">-20_CASH_FLOW!G12+(20_CASH_FLOW!G34-20_CASH_FLOW!G38)*(1-19_EQUITY!$C$7)</f>
        <v>-37.4183586952215</v>
      </c>
      <c r="H41" s="50" t="n">
        <f aca="false">-20_CASH_FLOW!H12+(20_CASH_FLOW!H34-20_CASH_FLOW!H38)*(1-19_EQUITY!$C$7)</f>
        <v>-48.8901932947301</v>
      </c>
      <c r="I41" s="50" t="n">
        <f aca="false">-20_CASH_FLOW!I12+(20_CASH_FLOW!I34-20_CASH_FLOW!I38)*(1-19_EQUITY!$C$7)</f>
        <v>-68.5258404900997</v>
      </c>
      <c r="J41" s="50" t="n">
        <f aca="false">-20_CASH_FLOW!J12+(20_CASH_FLOW!J34-20_CASH_FLOW!J38)*(1-19_EQUITY!$C$7)</f>
        <v>24.5963558097357</v>
      </c>
      <c r="K41" s="50" t="n">
        <f aca="false">-20_CASH_FLOW!K12+(20_CASH_FLOW!K34-20_CASH_FLOW!K38)*(1-19_EQUITY!$C$7)</f>
        <v>36.5248817848656</v>
      </c>
      <c r="L41" s="50" t="n">
        <f aca="false">-20_CASH_FLOW!L12+(20_CASH_FLOW!L34-20_CASH_FLOW!L38)*(1-19_EQUITY!$C$7)</f>
        <v>36.98181812549</v>
      </c>
      <c r="M41" s="50" t="n">
        <f aca="false">-20_CASH_FLOW!M12+(20_CASH_FLOW!M34-20_CASH_FLOW!M38)*(1-19_EQUITY!$C$7)</f>
        <v>37.4478931929269</v>
      </c>
      <c r="N41" s="50" t="n">
        <f aca="false">-20_CASH_FLOW!N12+(20_CASH_FLOW!N34-20_CASH_FLOW!N38)*(1-19_EQUITY!$C$7)</f>
        <v>42.5668889419571</v>
      </c>
      <c r="O41" s="50" t="n">
        <f aca="false">-20_CASH_FLOW!O12+(20_CASH_FLOW!O34-20_CASH_FLOW!O38)*(1-19_EQUITY!$C$7)</f>
        <v>38.9512570813334</v>
      </c>
      <c r="P41" s="50" t="n">
        <f aca="false">-20_CASH_FLOW!P12+(20_CASH_FLOW!P34-20_CASH_FLOW!P38)*(1-19_EQUITY!$C$7)</f>
        <v>38.9536581823608</v>
      </c>
      <c r="Q41" s="50" t="n">
        <f aca="false">-20_CASH_FLOW!Q12+(20_CASH_FLOW!Q34-20_CASH_FLOW!Q38)*(1-19_EQUITY!$C$7)</f>
        <v>38.9976503931413</v>
      </c>
      <c r="R41" s="50" t="n">
        <f aca="false">-20_CASH_FLOW!R12+(20_CASH_FLOW!R34-20_CASH_FLOW!R38)*(1-19_EQUITY!$C$7)</f>
        <v>39.0089985264614</v>
      </c>
      <c r="S41" s="50" t="n">
        <f aca="false">-20_CASH_FLOW!S12+(20_CASH_FLOW!S34-20_CASH_FLOW!S38)*(1-19_EQUITY!$C$7)</f>
        <v>38.9844352608729</v>
      </c>
      <c r="T41" s="50" t="n">
        <f aca="false">-20_CASH_FLOW!T12+(20_CASH_FLOW!T34-20_CASH_FLOW!T38)*(1-19_EQUITY!$C$7)</f>
        <v>38.9204187733066</v>
      </c>
      <c r="U41" s="50" t="n">
        <f aca="false">-20_CASH_FLOW!U12+(20_CASH_FLOW!U34-20_CASH_FLOW!U38)*(1-19_EQUITY!$C$7)</f>
        <v>38.8131105166247</v>
      </c>
      <c r="V41" s="50" t="n">
        <f aca="false">-20_CASH_FLOW!V12+(20_CASH_FLOW!V34-20_CASH_FLOW!V38)*(1-19_EQUITY!$C$7)</f>
        <v>38.6583512141307</v>
      </c>
      <c r="W41" s="50" t="n">
        <f aca="false">-20_CASH_FLOW!W12+(20_CASH_FLOW!W34-20_CASH_FLOW!W38)*(1-19_EQUITY!$C$7)</f>
        <v>38.4516349282892</v>
      </c>
      <c r="X41" s="50" t="n">
        <f aca="false">-20_CASH_FLOW!X12+(20_CASH_FLOW!X34-20_CASH_FLOW!X38)*(1-19_EQUITY!$C$7)</f>
        <v>38.1880810494845</v>
      </c>
      <c r="Y41" s="50" t="n">
        <f aca="false">-20_CASH_FLOW!Y12+(20_CASH_FLOW!Y34-20_CASH_FLOW!Y38)*(1-19_EQUITY!$C$7)</f>
        <v>37.8624040383125</v>
      </c>
      <c r="Z41" s="50" t="n">
        <f aca="false">-20_CASH_FLOW!Z12+(20_CASH_FLOW!Z34-20_CASH_FLOW!Z38)*(1-19_EQUITY!$C$7)</f>
        <v>37.4688807415782</v>
      </c>
      <c r="AA41" s="50" t="n">
        <f aca="false">-20_CASH_FLOW!AA12+(20_CASH_FLOW!AA34-20_CASH_FLOW!AA38)*(1-19_EQUITY!$C$7)</f>
        <v>58.8722377510545</v>
      </c>
      <c r="AB41" s="50" t="n">
        <f aca="false">-20_CASH_FLOW!AB12+(20_CASH_FLOW!AB34-20_CASH_FLOW!AB38)*(1-19_EQUITY!$C$7)</f>
        <v>80.628972604396</v>
      </c>
      <c r="AC41" s="50" t="n">
        <f aca="false">-20_CASH_FLOW!AC12+(20_CASH_FLOW!AC34-20_CASH_FLOW!AC38)*(1-19_EQUITY!$C$7)</f>
        <v>81.9168379141048</v>
      </c>
      <c r="AD41" s="50" t="n">
        <f aca="false">-20_CASH_FLOW!AD12+(20_CASH_FLOW!AD34-20_CASH_FLOW!AD38)*(1-19_EQUITY!$C$7)</f>
        <v>71.6307167922837</v>
      </c>
      <c r="AE41" s="50" t="n">
        <f aca="false">-20_CASH_FLOW!AE12+(20_CASH_FLOW!AE34-20_CASH_FLOW!AE38)*(1-19_EQUITY!$C$7)</f>
        <v>72.9616905548753</v>
      </c>
      <c r="AF41" s="50" t="n">
        <f aca="false">-20_CASH_FLOW!AF12+(20_CASH_FLOW!AF34-20_CASH_FLOW!AF38)*(1-19_EQUITY!$C$7)</f>
        <v>74.3148673047833</v>
      </c>
      <c r="AG41" s="50" t="n">
        <f aca="false">-20_CASH_FLOW!AG12+(20_CASH_FLOW!AG34-20_CASH_FLOW!AG38)*(1-19_EQUITY!$C$7)</f>
        <v>75.6906911017541</v>
      </c>
      <c r="AH41" s="50" t="n">
        <f aca="false">-20_CASH_FLOW!AH12+(20_CASH_FLOW!AH34-20_CASH_FLOW!AH38)*(1-19_EQUITY!$C$7)</f>
        <v>82.3473386193239</v>
      </c>
      <c r="AI41" s="50" t="n">
        <f aca="false">-20_CASH_FLOW!AI12+(20_CASH_FLOW!AI34-20_CASH_FLOW!AI38)*(1-19_EQUITY!$C$7)</f>
        <v>88.8698164126799</v>
      </c>
      <c r="AJ41" s="50" t="n">
        <f aca="false">-20_CASH_FLOW!AJ12+(20_CASH_FLOW!AJ34-20_CASH_FLOW!AJ38)*(1-19_EQUITY!$C$7)</f>
        <v>90.0955110161692</v>
      </c>
      <c r="AK41" s="50" t="n">
        <f aca="false">-20_CASH_FLOW!AK12+(20_CASH_FLOW!AK34-20_CASH_FLOW!AK38)*(1-19_EQUITY!$C$7)</f>
        <v>91.3457195117284</v>
      </c>
      <c r="AL41" s="50" t="n">
        <f aca="false">-20_CASH_FLOW!AL12+(20_CASH_FLOW!AL34-20_CASH_FLOW!AL38)*(1-19_EQUITY!$C$7)</f>
        <v>92.6209321771988</v>
      </c>
      <c r="AM41" s="50" t="n">
        <f aca="false">-20_CASH_FLOW!AM12+(20_CASH_FLOW!AM34-20_CASH_FLOW!AM38)*(1-19_EQUITY!$C$7)</f>
        <v>93.9216490959785</v>
      </c>
      <c r="AN41" s="50" t="n">
        <f aca="false">-20_CASH_FLOW!AN12+(20_CASH_FLOW!AN34-20_CASH_FLOW!AN38)*(1-19_EQUITY!$C$7)</f>
        <v>0</v>
      </c>
      <c r="AO41" s="50" t="n">
        <f aca="false">-20_CASH_FLOW!AO12+(20_CASH_FLOW!AO34-20_CASH_FLOW!AO38)*(1-19_EQUITY!$C$7)</f>
        <v>0</v>
      </c>
      <c r="AP41" s="50" t="n">
        <f aca="false">-20_CASH_FLOW!AP12+(20_CASH_FLOW!AP34-20_CASH_FLOW!AP38)*(1-19_EQUITY!$C$7)</f>
        <v>0</v>
      </c>
      <c r="AQ41" s="50" t="n">
        <f aca="false">-20_CASH_FLOW!AQ12+(20_CASH_FLOW!AQ34-20_CASH_FLOW!AQ38)*(1-19_EQUITY!$C$7)</f>
        <v>0</v>
      </c>
      <c r="AR41" s="50" t="n">
        <f aca="false">-20_CASH_FLOW!AR12+(20_CASH_FLOW!AR34-20_CASH_FLOW!AR38)*(1-19_EQUITY!$C$7)</f>
        <v>0</v>
      </c>
    </row>
    <row r="42" customFormat="false" ht="15" hidden="false" customHeight="false" outlineLevel="0" collapsed="false">
      <c r="A42" s="8" t="s">
        <v>781</v>
      </c>
      <c r="B42" s="8" t="s">
        <v>84</v>
      </c>
      <c r="E42" s="34" t="n">
        <f aca="false">20_CASH_FLOW!D42+20_CASH_FLOW!E41</f>
        <v>-16.4059219405927</v>
      </c>
      <c r="F42" s="34" t="n">
        <f aca="false">20_CASH_FLOW!E42+20_CASH_FLOW!F41</f>
        <v>-35.4181523414738</v>
      </c>
      <c r="G42" s="34" t="n">
        <f aca="false">20_CASH_FLOW!F42+20_CASH_FLOW!G41</f>
        <v>-72.8365110366953</v>
      </c>
      <c r="H42" s="34" t="n">
        <f aca="false">20_CASH_FLOW!G42+20_CASH_FLOW!H41</f>
        <v>-121.726704331425</v>
      </c>
      <c r="I42" s="34" t="n">
        <f aca="false">20_CASH_FLOW!H42+20_CASH_FLOW!I41</f>
        <v>-190.252544821525</v>
      </c>
      <c r="J42" s="34" t="n">
        <f aca="false">20_CASH_FLOW!I42+20_CASH_FLOW!J41</f>
        <v>-165.656189011789</v>
      </c>
      <c r="K42" s="34" t="n">
        <f aca="false">20_CASH_FLOW!J42+20_CASH_FLOW!K41</f>
        <v>-129.131307226924</v>
      </c>
      <c r="L42" s="34" t="n">
        <f aca="false">20_CASH_FLOW!K42+20_CASH_FLOW!L41</f>
        <v>-92.1494891014337</v>
      </c>
      <c r="M42" s="34" t="n">
        <f aca="false">20_CASH_FLOW!L42+20_CASH_FLOW!M41</f>
        <v>-54.7015959085068</v>
      </c>
      <c r="N42" s="34" t="n">
        <f aca="false">20_CASH_FLOW!M42+20_CASH_FLOW!N41</f>
        <v>-12.1347069665497</v>
      </c>
      <c r="O42" s="34" t="n">
        <f aca="false">20_CASH_FLOW!N42+20_CASH_FLOW!O41</f>
        <v>26.8165501147837</v>
      </c>
      <c r="P42" s="34" t="n">
        <f aca="false">20_CASH_FLOW!O42+20_CASH_FLOW!P41</f>
        <v>65.7702082971445</v>
      </c>
      <c r="Q42" s="34" t="n">
        <f aca="false">20_CASH_FLOW!P42+20_CASH_FLOW!Q41</f>
        <v>104.767858690286</v>
      </c>
      <c r="R42" s="34" t="n">
        <f aca="false">20_CASH_FLOW!Q42+20_CASH_FLOW!R41</f>
        <v>143.776857216747</v>
      </c>
      <c r="S42" s="34" t="n">
        <f aca="false">20_CASH_FLOW!R42+20_CASH_FLOW!S41</f>
        <v>182.76129247762</v>
      </c>
      <c r="T42" s="34" t="n">
        <f aca="false">20_CASH_FLOW!S42+20_CASH_FLOW!T41</f>
        <v>221.681711250927</v>
      </c>
      <c r="U42" s="34" t="n">
        <f aca="false">20_CASH_FLOW!T42+20_CASH_FLOW!U41</f>
        <v>260.494821767551</v>
      </c>
      <c r="V42" s="34" t="n">
        <f aca="false">20_CASH_FLOW!U42+20_CASH_FLOW!V41</f>
        <v>299.153172981682</v>
      </c>
      <c r="W42" s="34" t="n">
        <f aca="false">20_CASH_FLOW!V42+20_CASH_FLOW!W41</f>
        <v>337.604807909971</v>
      </c>
      <c r="X42" s="34" t="n">
        <f aca="false">20_CASH_FLOW!W42+20_CASH_FLOW!X41</f>
        <v>375.792888959456</v>
      </c>
      <c r="Y42" s="34" t="n">
        <f aca="false">20_CASH_FLOW!X42+20_CASH_FLOW!Y41</f>
        <v>413.655292997768</v>
      </c>
      <c r="Z42" s="34" t="n">
        <f aca="false">20_CASH_FLOW!Y42+20_CASH_FLOW!Z41</f>
        <v>451.124173739347</v>
      </c>
      <c r="AA42" s="34" t="n">
        <f aca="false">20_CASH_FLOW!Z42+20_CASH_FLOW!AA41</f>
        <v>509.996411490401</v>
      </c>
      <c r="AB42" s="34" t="n">
        <f aca="false">20_CASH_FLOW!AA42+20_CASH_FLOW!AB41</f>
        <v>590.625384094797</v>
      </c>
      <c r="AC42" s="34" t="n">
        <f aca="false">20_CASH_FLOW!AB42+20_CASH_FLOW!AC41</f>
        <v>672.542222008902</v>
      </c>
      <c r="AD42" s="34" t="n">
        <f aca="false">20_CASH_FLOW!AC42+20_CASH_FLOW!AD41</f>
        <v>744.172938801186</v>
      </c>
      <c r="AE42" s="34" t="n">
        <f aca="false">20_CASH_FLOW!AD42+20_CASH_FLOW!AE41</f>
        <v>817.134629356061</v>
      </c>
      <c r="AF42" s="34" t="n">
        <f aca="false">20_CASH_FLOW!AE42+20_CASH_FLOW!AF41</f>
        <v>891.449496660844</v>
      </c>
      <c r="AG42" s="34" t="n">
        <f aca="false">20_CASH_FLOW!AF42+20_CASH_FLOW!AG41</f>
        <v>967.140187762598</v>
      </c>
      <c r="AH42" s="34" t="n">
        <f aca="false">20_CASH_FLOW!AG42+20_CASH_FLOW!AH41</f>
        <v>1049.48752638192</v>
      </c>
      <c r="AI42" s="34" t="n">
        <f aca="false">20_CASH_FLOW!AH42+20_CASH_FLOW!AI41</f>
        <v>1138.3573427946</v>
      </c>
      <c r="AJ42" s="34" t="n">
        <f aca="false">20_CASH_FLOW!AI42+20_CASH_FLOW!AJ41</f>
        <v>1228.45285381077</v>
      </c>
      <c r="AK42" s="34" t="n">
        <f aca="false">20_CASH_FLOW!AJ42+20_CASH_FLOW!AK41</f>
        <v>1319.7985733225</v>
      </c>
      <c r="AL42" s="34" t="n">
        <f aca="false">20_CASH_FLOW!AK42+20_CASH_FLOW!AL41</f>
        <v>1412.4195054997</v>
      </c>
      <c r="AM42" s="34" t="n">
        <f aca="false">20_CASH_FLOW!AL42+20_CASH_FLOW!AM41</f>
        <v>1506.34115459568</v>
      </c>
      <c r="AN42" s="34" t="n">
        <f aca="false">20_CASH_FLOW!AM42+20_CASH_FLOW!AN41</f>
        <v>1506.34115459568</v>
      </c>
      <c r="AO42" s="34" t="n">
        <f aca="false">20_CASH_FLOW!AN42+20_CASH_FLOW!AO41</f>
        <v>1506.34115459568</v>
      </c>
      <c r="AP42" s="34" t="n">
        <f aca="false">20_CASH_FLOW!AO42+20_CASH_FLOW!AP41</f>
        <v>1506.34115459568</v>
      </c>
      <c r="AQ42" s="34" t="n">
        <f aca="false">20_CASH_FLOW!AP42+20_CASH_FLOW!AQ41</f>
        <v>1506.34115459568</v>
      </c>
      <c r="AR42" s="34" t="n">
        <f aca="false">20_CASH_FLOW!AQ42+20_CASH_FLOW!AR41</f>
        <v>1506.34115459568</v>
      </c>
    </row>
    <row r="43" customFormat="false" ht="15" hidden="false" customHeight="false" outlineLevel="0" collapsed="false">
      <c r="A43" s="6" t="s">
        <v>782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</row>
    <row r="44" customFormat="false" ht="15" hidden="false" customHeight="false" outlineLevel="0" collapsed="false">
      <c r="A44" s="4" t="s">
        <v>783</v>
      </c>
      <c r="B44" s="8" t="s">
        <v>84</v>
      </c>
      <c r="C44" s="34" t="n">
        <f aca="false">SUM(20_CASH_FLOW!$E$44:$AR$44)</f>
        <v>3074.93811745862</v>
      </c>
      <c r="E44" s="50" t="n">
        <f aca="false">-06_CONSTRUCTION!E25-08_TRANSMISSION!E33+06_CONSTRUCTION!E14*(20_CASH_FLOW!E17-21_TAX!E20)</f>
        <v>-100.854305610478</v>
      </c>
      <c r="F44" s="50" t="n">
        <f aca="false">-06_CONSTRUCTION!F25-08_TRANSMISSION!F33+06_CONSTRUCTION!F14*(20_CASH_FLOW!F17-21_TAX!F20)</f>
        <v>-270.641</v>
      </c>
      <c r="G44" s="50" t="n">
        <f aca="false">-06_CONSTRUCTION!G25-08_TRANSMISSION!G33+06_CONSTRUCTION!G14*(20_CASH_FLOW!G17-21_TAX!G20)</f>
        <v>-342.893940335984</v>
      </c>
      <c r="H44" s="50" t="n">
        <f aca="false">-06_CONSTRUCTION!H25-08_TRANSMISSION!H33+06_CONSTRUCTION!H14*(20_CASH_FLOW!H17-21_TAX!H20)</f>
        <v>-284.342200625</v>
      </c>
      <c r="I44" s="50" t="n">
        <f aca="false">-06_CONSTRUCTION!I25-08_TRANSMISSION!I33+06_CONSTRUCTION!I14*(20_CASH_FLOW!I17-21_TAX!I20)</f>
        <v>-111.324282607879</v>
      </c>
      <c r="J44" s="50" t="n">
        <f aca="false">-06_CONSTRUCTION!J25-08_TRANSMISSION!J33+06_CONSTRUCTION!J14*(20_CASH_FLOW!J17-21_TAX!J20)</f>
        <v>120.949179065368</v>
      </c>
      <c r="K44" s="50" t="n">
        <f aca="false">-06_CONSTRUCTION!K25-08_TRANSMISSION!K33+06_CONSTRUCTION!K14*(20_CASH_FLOW!K17-21_TAX!K20)</f>
        <v>148.590301458743</v>
      </c>
      <c r="L44" s="50" t="n">
        <f aca="false">-06_CONSTRUCTION!L25-08_TRANSMISSION!L33+06_CONSTRUCTION!L14*(20_CASH_FLOW!L17-21_TAX!L20)</f>
        <v>150.314107487918</v>
      </c>
      <c r="M44" s="50" t="n">
        <f aca="false">-06_CONSTRUCTION!M25-08_TRANSMISSION!M33+06_CONSTRUCTION!M14*(20_CASH_FLOW!M17-21_TAX!M20)</f>
        <v>152.072389637677</v>
      </c>
      <c r="N44" s="50" t="n">
        <f aca="false">-06_CONSTRUCTION!N25-08_TRANSMISSION!N33+06_CONSTRUCTION!N14*(20_CASH_FLOW!N17-21_TAX!N20)</f>
        <v>153.86583743043</v>
      </c>
      <c r="O44" s="50" t="n">
        <f aca="false">-06_CONSTRUCTION!O25-08_TRANSMISSION!O33+06_CONSTRUCTION!O14*(20_CASH_FLOW!O17-21_TAX!O20)</f>
        <v>127.347394978774</v>
      </c>
      <c r="P44" s="50" t="n">
        <f aca="false">-06_CONSTRUCTION!P25-08_TRANSMISSION!P33+06_CONSTRUCTION!P14*(20_CASH_FLOW!P17-21_TAX!P20)</f>
        <v>128.653527137281</v>
      </c>
      <c r="Q44" s="50" t="n">
        <f aca="false">-06_CONSTRUCTION!Q25-08_TRANSMISSION!Q33+06_CONSTRUCTION!Q14*(20_CASH_FLOW!Q17-21_TAX!Q20)</f>
        <v>129.985781938957</v>
      </c>
      <c r="R44" s="50" t="n">
        <f aca="false">-06_CONSTRUCTION!R25-08_TRANSMISSION!R33+06_CONSTRUCTION!R14*(20_CASH_FLOW!R17-21_TAX!R20)</f>
        <v>131.344681836667</v>
      </c>
      <c r="S44" s="50" t="n">
        <f aca="false">-06_CONSTRUCTION!S25-08_TRANSMISSION!S33+06_CONSTRUCTION!S14*(20_CASH_FLOW!S17-21_TAX!S20)</f>
        <v>132.730759732332</v>
      </c>
      <c r="T44" s="50" t="n">
        <f aca="false">-06_CONSTRUCTION!T25-08_TRANSMISSION!T33+06_CONSTRUCTION!T14*(20_CASH_FLOW!T17-21_TAX!T20)</f>
        <v>134.14455918591</v>
      </c>
      <c r="U44" s="50" t="n">
        <f aca="false">-06_CONSTRUCTION!U25-08_TRANSMISSION!U33+06_CONSTRUCTION!U14*(20_CASH_FLOW!U17-21_TAX!U20)</f>
        <v>135.586634628559</v>
      </c>
      <c r="V44" s="50" t="n">
        <f aca="false">-06_CONSTRUCTION!V25-08_TRANSMISSION!V33+06_CONSTRUCTION!V14*(20_CASH_FLOW!V17-21_TAX!V20)</f>
        <v>137.057551580061</v>
      </c>
      <c r="W44" s="50" t="n">
        <f aca="false">-06_CONSTRUCTION!W25-08_TRANSMISSION!W33+06_CONSTRUCTION!W14*(20_CASH_FLOW!W17-21_TAX!W20)</f>
        <v>138.557886870593</v>
      </c>
      <c r="X44" s="50" t="n">
        <f aca="false">-06_CONSTRUCTION!X25-08_TRANSMISSION!X33+06_CONSTRUCTION!X14*(20_CASH_FLOW!X17-21_TAX!X20)</f>
        <v>140.088228866936</v>
      </c>
      <c r="Y44" s="50" t="n">
        <f aca="false">-06_CONSTRUCTION!Y25-08_TRANSMISSION!Y33+06_CONSTRUCTION!Y14*(20_CASH_FLOW!Y17-21_TAX!Y20)</f>
        <v>141.649177703206</v>
      </c>
      <c r="Z44" s="50" t="n">
        <f aca="false">-06_CONSTRUCTION!Z25-08_TRANSMISSION!Z33+06_CONSTRUCTION!Z14*(20_CASH_FLOW!Z17-21_TAX!Z20)</f>
        <v>143.241345516201</v>
      </c>
      <c r="AA44" s="50" t="n">
        <f aca="false">-06_CONSTRUCTION!AA25-08_TRANSMISSION!AA33+06_CONSTRUCTION!AA14*(20_CASH_FLOW!AA17-21_TAX!AA20)</f>
        <v>144.865356685456</v>
      </c>
      <c r="AB44" s="50" t="n">
        <f aca="false">-06_CONSTRUCTION!AB25-08_TRANSMISSION!AB33+06_CONSTRUCTION!AB14*(20_CASH_FLOW!AB17-21_TAX!AB20)</f>
        <v>146.521848078097</v>
      </c>
      <c r="AC44" s="50" t="n">
        <f aca="false">-06_CONSTRUCTION!AC25-08_TRANSMISSION!AC33+06_CONSTRUCTION!AC14*(20_CASH_FLOW!AC17-21_TAX!AC20)</f>
        <v>148.211469298589</v>
      </c>
      <c r="AD44" s="50" t="n">
        <f aca="false">-06_CONSTRUCTION!AD25-08_TRANSMISSION!AD33+06_CONSTRUCTION!AD14*(20_CASH_FLOW!AD17-21_TAX!AD20)</f>
        <v>131.574095890045</v>
      </c>
      <c r="AE44" s="50" t="n">
        <f aca="false">-06_CONSTRUCTION!AE25-08_TRANSMISSION!AE33+06_CONSTRUCTION!AE14*(20_CASH_FLOW!AE17-21_TAX!AE20)</f>
        <v>133.331977807846</v>
      </c>
      <c r="AF44" s="50" t="n">
        <f aca="false">-06_CONSTRUCTION!AF25-08_TRANSMISSION!AF33+06_CONSTRUCTION!AF14*(20_CASH_FLOW!AF17-21_TAX!AF20)</f>
        <v>135.125017364003</v>
      </c>
      <c r="AG44" s="50" t="n">
        <f aca="false">-06_CONSTRUCTION!AG25-08_TRANSMISSION!AG33+06_CONSTRUCTION!AG14*(20_CASH_FLOW!AG17-21_TAX!AG20)</f>
        <v>136.953917711283</v>
      </c>
      <c r="AH44" s="50" t="n">
        <f aca="false">-06_CONSTRUCTION!AH25-08_TRANSMISSION!AH33+06_CONSTRUCTION!AH14*(20_CASH_FLOW!AH17-21_TAX!AH20)</f>
        <v>138.819396065509</v>
      </c>
      <c r="AI44" s="50" t="n">
        <f aca="false">-06_CONSTRUCTION!AI25-08_TRANSMISSION!AI33+06_CONSTRUCTION!AI14*(20_CASH_FLOW!AI17-21_TAX!AI20)</f>
        <v>140.722183986819</v>
      </c>
      <c r="AJ44" s="50" t="n">
        <f aca="false">-06_CONSTRUCTION!AJ25-08_TRANSMISSION!AJ33+06_CONSTRUCTION!AJ14*(20_CASH_FLOW!AJ17-21_TAX!AJ20)</f>
        <v>142.663027666556</v>
      </c>
      <c r="AK44" s="50" t="n">
        <f aca="false">-06_CONSTRUCTION!AK25-08_TRANSMISSION!AK33+06_CONSTRUCTION!AK14*(20_CASH_FLOW!AK17-21_TAX!AK20)</f>
        <v>144.642688219887</v>
      </c>
      <c r="AL44" s="50" t="n">
        <f aca="false">-06_CONSTRUCTION!AL25-08_TRANSMISSION!AL33+06_CONSTRUCTION!AL14*(20_CASH_FLOW!AL17-21_TAX!AL20)</f>
        <v>146.661941984284</v>
      </c>
      <c r="AM44" s="50" t="n">
        <f aca="false">-06_CONSTRUCTION!AM25-08_TRANSMISSION!AM33+06_CONSTRUCTION!AM14*(20_CASH_FLOW!AM17-21_TAX!AM20)</f>
        <v>148.72158082397</v>
      </c>
      <c r="AN44" s="50" t="n">
        <f aca="false">-06_CONSTRUCTION!AN25-08_TRANSMISSION!AN33+06_CONSTRUCTION!AN14*(20_CASH_FLOW!AN17-21_TAX!AN20)</f>
        <v>0</v>
      </c>
      <c r="AO44" s="50" t="n">
        <f aca="false">-06_CONSTRUCTION!AO25-08_TRANSMISSION!AO33+06_CONSTRUCTION!AO14*(20_CASH_FLOW!AO17-21_TAX!AO20)</f>
        <v>0</v>
      </c>
      <c r="AP44" s="50" t="n">
        <f aca="false">-06_CONSTRUCTION!AP25-08_TRANSMISSION!AP33+06_CONSTRUCTION!AP14*(20_CASH_FLOW!AP17-21_TAX!AP20)</f>
        <v>0</v>
      </c>
      <c r="AQ44" s="50" t="n">
        <f aca="false">-06_CONSTRUCTION!AQ25-08_TRANSMISSION!AQ33+06_CONSTRUCTION!AQ14*(20_CASH_FLOW!AQ17-21_TAX!AQ20)</f>
        <v>0</v>
      </c>
      <c r="AR44" s="50" t="n">
        <f aca="false">-06_CONSTRUCTION!AR25-08_TRANSMISSION!AR33+06_CONSTRUCTION!AR14*(20_CASH_FLOW!AR17-21_TAX!AR20)</f>
        <v>0</v>
      </c>
    </row>
    <row r="45" customFormat="false" ht="15" hidden="false" customHeight="false" outlineLevel="0" collapsed="false">
      <c r="A45" s="8" t="s">
        <v>784</v>
      </c>
      <c r="B45" s="8" t="s">
        <v>84</v>
      </c>
      <c r="C45" s="34" t="n">
        <f aca="false">SUM(20_CASH_FLOW!$E$45:$AR$45)</f>
        <v>2434.56364769864</v>
      </c>
      <c r="E45" s="34" t="n">
        <f aca="false">06_CONSTRUCTION!E25+08_TRANSMISSION!E33+07_OPEX!E20+07_OPEX!E21</f>
        <v>100.854305610478</v>
      </c>
      <c r="F45" s="34" t="n">
        <f aca="false">06_CONSTRUCTION!F25+08_TRANSMISSION!F33+07_OPEX!F20+07_OPEX!F21</f>
        <v>270.641</v>
      </c>
      <c r="G45" s="34" t="n">
        <f aca="false">06_CONSTRUCTION!G25+08_TRANSMISSION!G33+07_OPEX!G20+07_OPEX!G21</f>
        <v>342.893940335984</v>
      </c>
      <c r="H45" s="34" t="n">
        <f aca="false">06_CONSTRUCTION!H25+08_TRANSMISSION!H33+07_OPEX!H20+07_OPEX!H21</f>
        <v>284.342200625</v>
      </c>
      <c r="I45" s="34" t="n">
        <f aca="false">06_CONSTRUCTION!I25+08_TRANSMISSION!I33+07_OPEX!I20+07_OPEX!I21</f>
        <v>111.324282607879</v>
      </c>
      <c r="J45" s="34" t="n">
        <f aca="false">06_CONSTRUCTION!J25+08_TRANSMISSION!J33+07_OPEX!J20+07_OPEX!J21</f>
        <v>31.688373345361</v>
      </c>
      <c r="K45" s="34" t="n">
        <f aca="false">06_CONSTRUCTION!K25+08_TRANSMISSION!K33+07_OPEX!K20+07_OPEX!K21</f>
        <v>33.326761434131</v>
      </c>
      <c r="L45" s="34" t="n">
        <f aca="false">06_CONSTRUCTION!L25+08_TRANSMISSION!L33+07_OPEX!L20+07_OPEX!L21</f>
        <v>33.9932966628136</v>
      </c>
      <c r="M45" s="34" t="n">
        <f aca="false">06_CONSTRUCTION!M25+08_TRANSMISSION!M33+07_OPEX!M20+07_OPEX!M21</f>
        <v>34.6731625960699</v>
      </c>
      <c r="N45" s="34" t="n">
        <f aca="false">06_CONSTRUCTION!N25+08_TRANSMISSION!N33+07_OPEX!N20+07_OPEX!N21</f>
        <v>35.3666258479913</v>
      </c>
      <c r="O45" s="34" t="n">
        <f aca="false">06_CONSTRUCTION!O25+08_TRANSMISSION!O33+07_OPEX!O20+07_OPEX!O21</f>
        <v>36.0739583649511</v>
      </c>
      <c r="P45" s="34" t="n">
        <f aca="false">06_CONSTRUCTION!P25+08_TRANSMISSION!P33+07_OPEX!P20+07_OPEX!P21</f>
        <v>36.7954375322501</v>
      </c>
      <c r="Q45" s="34" t="n">
        <f aca="false">06_CONSTRUCTION!Q25+08_TRANSMISSION!Q33+07_OPEX!Q20+07_OPEX!Q21</f>
        <v>37.5313462828951</v>
      </c>
      <c r="R45" s="34" t="n">
        <f aca="false">06_CONSTRUCTION!R25+08_TRANSMISSION!R33+07_OPEX!R20+07_OPEX!R21</f>
        <v>38.281973208553</v>
      </c>
      <c r="S45" s="34" t="n">
        <f aca="false">06_CONSTRUCTION!S25+08_TRANSMISSION!S33+07_OPEX!S20+07_OPEX!S21</f>
        <v>39.0476126727241</v>
      </c>
      <c r="T45" s="34" t="n">
        <f aca="false">06_CONSTRUCTION!T25+08_TRANSMISSION!T33+07_OPEX!T20+07_OPEX!T21</f>
        <v>39.8285649261785</v>
      </c>
      <c r="U45" s="34" t="n">
        <f aca="false">06_CONSTRUCTION!U25+08_TRANSMISSION!U33+07_OPEX!U20+07_OPEX!U21</f>
        <v>40.6251362247021</v>
      </c>
      <c r="V45" s="34" t="n">
        <f aca="false">06_CONSTRUCTION!V25+08_TRANSMISSION!V33+07_OPEX!V20+07_OPEX!V21</f>
        <v>41.4376389491962</v>
      </c>
      <c r="W45" s="34" t="n">
        <f aca="false">06_CONSTRUCTION!W25+08_TRANSMISSION!W33+07_OPEX!W20+07_OPEX!W21</f>
        <v>42.2663917281801</v>
      </c>
      <c r="X45" s="34" t="n">
        <f aca="false">06_CONSTRUCTION!X25+08_TRANSMISSION!X33+07_OPEX!X20+07_OPEX!X21</f>
        <v>43.1117195627437</v>
      </c>
      <c r="Y45" s="34" t="n">
        <f aca="false">06_CONSTRUCTION!Y25+08_TRANSMISSION!Y33+07_OPEX!Y20+07_OPEX!Y21</f>
        <v>43.9739539539986</v>
      </c>
      <c r="Z45" s="34" t="n">
        <f aca="false">06_CONSTRUCTION!Z25+08_TRANSMISSION!Z33+07_OPEX!Z20+07_OPEX!Z21</f>
        <v>44.8534330330785</v>
      </c>
      <c r="AA45" s="34" t="n">
        <f aca="false">06_CONSTRUCTION!AA25+08_TRANSMISSION!AA33+07_OPEX!AA20+07_OPEX!AA21</f>
        <v>45.7505016937401</v>
      </c>
      <c r="AB45" s="34" t="n">
        <f aca="false">06_CONSTRUCTION!AB25+08_TRANSMISSION!AB33+07_OPEX!AB20+07_OPEX!AB21</f>
        <v>46.6655117276149</v>
      </c>
      <c r="AC45" s="34" t="n">
        <f aca="false">06_CONSTRUCTION!AC25+08_TRANSMISSION!AC33+07_OPEX!AC20+07_OPEX!AC21</f>
        <v>47.5988219621672</v>
      </c>
      <c r="AD45" s="34" t="n">
        <f aca="false">06_CONSTRUCTION!AD25+08_TRANSMISSION!AD33+07_OPEX!AD20+07_OPEX!AD21</f>
        <v>48.5507984014105</v>
      </c>
      <c r="AE45" s="34" t="n">
        <f aca="false">06_CONSTRUCTION!AE25+08_TRANSMISSION!AE33+07_OPEX!AE20+07_OPEX!AE21</f>
        <v>49.5218143694388</v>
      </c>
      <c r="AF45" s="34" t="n">
        <f aca="false">06_CONSTRUCTION!AF25+08_TRANSMISSION!AF33+07_OPEX!AF20+07_OPEX!AF21</f>
        <v>50.5122506568275</v>
      </c>
      <c r="AG45" s="34" t="n">
        <f aca="false">06_CONSTRUCTION!AG25+08_TRANSMISSION!AG33+07_OPEX!AG20+07_OPEX!AG21</f>
        <v>51.5224956699641</v>
      </c>
      <c r="AH45" s="34" t="n">
        <f aca="false">06_CONSTRUCTION!AH25+08_TRANSMISSION!AH33+07_OPEX!AH20+07_OPEX!AH21</f>
        <v>52.5529455833634</v>
      </c>
      <c r="AI45" s="34" t="n">
        <f aca="false">06_CONSTRUCTION!AI25+08_TRANSMISSION!AI33+07_OPEX!AI20+07_OPEX!AI21</f>
        <v>53.6040044950306</v>
      </c>
      <c r="AJ45" s="34" t="n">
        <f aca="false">06_CONSTRUCTION!AJ25+08_TRANSMISSION!AJ33+07_OPEX!AJ20+07_OPEX!AJ21</f>
        <v>54.6760845849313</v>
      </c>
      <c r="AK45" s="34" t="n">
        <f aca="false">06_CONSTRUCTION!AK25+08_TRANSMISSION!AK33+07_OPEX!AK20+07_OPEX!AK21</f>
        <v>55.7696062766299</v>
      </c>
      <c r="AL45" s="34" t="n">
        <f aca="false">06_CONSTRUCTION!AL25+08_TRANSMISSION!AL33+07_OPEX!AL20+07_OPEX!AL21</f>
        <v>56.8849984021625</v>
      </c>
      <c r="AM45" s="34" t="n">
        <f aca="false">06_CONSTRUCTION!AM25+08_TRANSMISSION!AM33+07_OPEX!AM20+07_OPEX!AM21</f>
        <v>58.0226983702057</v>
      </c>
      <c r="AN45" s="34" t="n">
        <f aca="false">06_CONSTRUCTION!AN25+08_TRANSMISSION!AN33+07_OPEX!AN20+07_OPEX!AN21</f>
        <v>0</v>
      </c>
      <c r="AO45" s="34" t="n">
        <f aca="false">06_CONSTRUCTION!AO25+08_TRANSMISSION!AO33+07_OPEX!AO20+07_OPEX!AO21</f>
        <v>0</v>
      </c>
      <c r="AP45" s="34" t="n">
        <f aca="false">06_CONSTRUCTION!AP25+08_TRANSMISSION!AP33+07_OPEX!AP20+07_OPEX!AP21</f>
        <v>0</v>
      </c>
      <c r="AQ45" s="34" t="n">
        <f aca="false">06_CONSTRUCTION!AQ25+08_TRANSMISSION!AQ33+07_OPEX!AQ20+07_OPEX!AQ21</f>
        <v>0</v>
      </c>
      <c r="AR45" s="34" t="n">
        <f aca="false">06_CONSTRUCTION!AR25+08_TRANSMISSION!AR33+07_OPEX!AR20+07_OPEX!AR21</f>
        <v>0</v>
      </c>
    </row>
    <row r="46" customFormat="false" ht="15" hidden="false" customHeight="false" outlineLevel="0" collapsed="false">
      <c r="A46" s="8" t="s">
        <v>785</v>
      </c>
      <c r="B46" s="8" t="s">
        <v>181</v>
      </c>
      <c r="C46" s="32" t="n">
        <f aca="false">SUM(20_CASH_FLOW!$E$46:$AR$46)</f>
        <v>49726.2739696006</v>
      </c>
      <c r="E46" s="32" t="n">
        <f aca="false">04_GENERATION!E20+16_REVENUE!E7</f>
        <v>0</v>
      </c>
      <c r="F46" s="32" t="n">
        <f aca="false">04_GENERATION!F20+16_REVENUE!F7</f>
        <v>0</v>
      </c>
      <c r="G46" s="32" t="n">
        <f aca="false">04_GENERATION!G20+16_REVENUE!G7</f>
        <v>0</v>
      </c>
      <c r="H46" s="32" t="n">
        <f aca="false">04_GENERATION!H20+16_REVENUE!H7</f>
        <v>0</v>
      </c>
      <c r="I46" s="32" t="n">
        <f aca="false">04_GENERATION!I20+16_REVENUE!I7</f>
        <v>0</v>
      </c>
      <c r="J46" s="32" t="n">
        <f aca="false">04_GENERATION!J20+16_REVENUE!J7</f>
        <v>1415.99105106065</v>
      </c>
      <c r="K46" s="32" t="n">
        <f aca="false">04_GENERATION!K20+16_REVENUE!K7</f>
        <v>1665.87182477724</v>
      </c>
      <c r="L46" s="32" t="n">
        <f aca="false">04_GENERATION!L20+16_REVENUE!L7</f>
        <v>1665.87182477724</v>
      </c>
      <c r="M46" s="32" t="n">
        <f aca="false">04_GENERATION!M20+16_REVENUE!M7</f>
        <v>1665.87182477724</v>
      </c>
      <c r="N46" s="32" t="n">
        <f aca="false">04_GENERATION!N20+16_REVENUE!N7</f>
        <v>1665.87182477724</v>
      </c>
      <c r="O46" s="32" t="n">
        <f aca="false">04_GENERATION!O20+16_REVENUE!O7</f>
        <v>1665.87182477724</v>
      </c>
      <c r="P46" s="32" t="n">
        <f aca="false">04_GENERATION!P20+16_REVENUE!P7</f>
        <v>1665.87182477724</v>
      </c>
      <c r="Q46" s="32" t="n">
        <f aca="false">04_GENERATION!Q20+16_REVENUE!Q7</f>
        <v>1665.87182477724</v>
      </c>
      <c r="R46" s="32" t="n">
        <f aca="false">04_GENERATION!R20+16_REVENUE!R7</f>
        <v>1665.87182477724</v>
      </c>
      <c r="S46" s="32" t="n">
        <f aca="false">04_GENERATION!S20+16_REVENUE!S7</f>
        <v>1665.87182477724</v>
      </c>
      <c r="T46" s="32" t="n">
        <f aca="false">04_GENERATION!T20+16_REVENUE!T7</f>
        <v>1665.87182477724</v>
      </c>
      <c r="U46" s="32" t="n">
        <f aca="false">04_GENERATION!U20+16_REVENUE!U7</f>
        <v>1665.87182477724</v>
      </c>
      <c r="V46" s="32" t="n">
        <f aca="false">04_GENERATION!V20+16_REVENUE!V7</f>
        <v>1665.87182477724</v>
      </c>
      <c r="W46" s="32" t="n">
        <f aca="false">04_GENERATION!W20+16_REVENUE!W7</f>
        <v>1665.87182477724</v>
      </c>
      <c r="X46" s="32" t="n">
        <f aca="false">04_GENERATION!X20+16_REVENUE!X7</f>
        <v>1665.87182477724</v>
      </c>
      <c r="Y46" s="32" t="n">
        <f aca="false">04_GENERATION!Y20+16_REVENUE!Y7</f>
        <v>1665.87182477724</v>
      </c>
      <c r="Z46" s="32" t="n">
        <f aca="false">04_GENERATION!Z20+16_REVENUE!Z7</f>
        <v>1665.87182477724</v>
      </c>
      <c r="AA46" s="32" t="n">
        <f aca="false">04_GENERATION!AA20+16_REVENUE!AA7</f>
        <v>1665.87182477724</v>
      </c>
      <c r="AB46" s="32" t="n">
        <f aca="false">04_GENERATION!AB20+16_REVENUE!AB7</f>
        <v>1665.87182477724</v>
      </c>
      <c r="AC46" s="32" t="n">
        <f aca="false">04_GENERATION!AC20+16_REVENUE!AC7</f>
        <v>1665.87182477724</v>
      </c>
      <c r="AD46" s="32" t="n">
        <f aca="false">04_GENERATION!AD20+16_REVENUE!AD7</f>
        <v>1665.87182477724</v>
      </c>
      <c r="AE46" s="32" t="n">
        <f aca="false">04_GENERATION!AE20+16_REVENUE!AE7</f>
        <v>1665.87182477724</v>
      </c>
      <c r="AF46" s="32" t="n">
        <f aca="false">04_GENERATION!AF20+16_REVENUE!AF7</f>
        <v>1665.87182477724</v>
      </c>
      <c r="AG46" s="32" t="n">
        <f aca="false">04_GENERATION!AG20+16_REVENUE!AG7</f>
        <v>1665.87182477724</v>
      </c>
      <c r="AH46" s="32" t="n">
        <f aca="false">04_GENERATION!AH20+16_REVENUE!AH7</f>
        <v>1665.87182477724</v>
      </c>
      <c r="AI46" s="32" t="n">
        <f aca="false">04_GENERATION!AI20+16_REVENUE!AI7</f>
        <v>1665.87182477724</v>
      </c>
      <c r="AJ46" s="32" t="n">
        <f aca="false">04_GENERATION!AJ20+16_REVENUE!AJ7</f>
        <v>1665.87182477724</v>
      </c>
      <c r="AK46" s="32" t="n">
        <f aca="false">04_GENERATION!AK20+16_REVENUE!AK7</f>
        <v>1665.87182477724</v>
      </c>
      <c r="AL46" s="32" t="n">
        <f aca="false">04_GENERATION!AL20+16_REVENUE!AL7</f>
        <v>1665.87182477724</v>
      </c>
      <c r="AM46" s="32" t="n">
        <f aca="false">04_GENERATION!AM20+16_REVENUE!AM7</f>
        <v>1665.87182477724</v>
      </c>
      <c r="AN46" s="32" t="n">
        <f aca="false">04_GENERATION!AN20+16_REVENUE!AN7</f>
        <v>0</v>
      </c>
      <c r="AO46" s="32" t="n">
        <f aca="false">04_GENERATION!AO20+16_REVENUE!AO7</f>
        <v>0</v>
      </c>
      <c r="AP46" s="32" t="n">
        <f aca="false">04_GENERATION!AP20+16_REVENUE!AP7</f>
        <v>0</v>
      </c>
      <c r="AQ46" s="32" t="n">
        <f aca="false">04_GENERATION!AQ20+16_REVENUE!AQ7</f>
        <v>0</v>
      </c>
      <c r="AR46" s="32" t="n">
        <f aca="false">04_GENERATION!AR20+16_REVENUE!AR7</f>
        <v>0</v>
      </c>
    </row>
    <row r="47" customFormat="false" ht="15" hidden="false" customHeight="false" outlineLevel="0" collapsed="false">
      <c r="A47" s="8" t="s">
        <v>786</v>
      </c>
      <c r="B47" s="8" t="s">
        <v>84</v>
      </c>
      <c r="C47" s="34" t="n">
        <f aca="false">SUM(20_CASH_FLOW!$E$47:$AR$47)</f>
        <v>2826.42712272148</v>
      </c>
      <c r="E47" s="34" t="n">
        <f aca="false">20_CASH_FLOW!E45+08_TRANSMISSION!E32+IF(08_TRANSMISSION!$C$17=1,08_TRANSMISSION!E34,0)</f>
        <v>100.854305610478</v>
      </c>
      <c r="F47" s="34" t="n">
        <f aca="false">20_CASH_FLOW!F45+08_TRANSMISSION!F32+IF(08_TRANSMISSION!$C$17=1,08_TRANSMISSION!F34,0)</f>
        <v>270.641</v>
      </c>
      <c r="G47" s="34" t="n">
        <f aca="false">20_CASH_FLOW!G45+08_TRANSMISSION!G32+IF(08_TRANSMISSION!$C$17=1,08_TRANSMISSION!G34,0)</f>
        <v>421.506955960984</v>
      </c>
      <c r="H47" s="34" t="n">
        <f aca="false">20_CASH_FLOW!H45+08_TRANSMISSION!H32+IF(08_TRANSMISSION!$C$17=1,08_TRANSMISSION!H34,0)</f>
        <v>364.920541640625</v>
      </c>
      <c r="I47" s="34" t="n">
        <f aca="false">20_CASH_FLOW!I45+08_TRANSMISSION!I32+IF(08_TRANSMISSION!$C$17=1,08_TRANSMISSION!I34,0)</f>
        <v>193.917082148894</v>
      </c>
      <c r="J47" s="34" t="n">
        <f aca="false">20_CASH_FLOW!J45+08_TRANSMISSION!J32+IF(08_TRANSMISSION!$C$17=1,08_TRANSMISSION!J34,0)</f>
        <v>35.3878168926432</v>
      </c>
      <c r="K47" s="34" t="n">
        <f aca="false">20_CASH_FLOW!K45+08_TRANSMISSION!K32+IF(08_TRANSMISSION!$C$17=1,08_TRANSMISSION!K34,0)</f>
        <v>37.1001938523588</v>
      </c>
      <c r="L47" s="34" t="n">
        <f aca="false">20_CASH_FLOW!L45+08_TRANSMISSION!L32+IF(08_TRANSMISSION!$C$17=1,08_TRANSMISSION!L34,0)</f>
        <v>37.842197729406</v>
      </c>
      <c r="M47" s="34" t="n">
        <f aca="false">20_CASH_FLOW!M45+08_TRANSMISSION!M32+IF(08_TRANSMISSION!$C$17=1,08_TRANSMISSION!M34,0)</f>
        <v>38.5990416839941</v>
      </c>
      <c r="N47" s="34" t="n">
        <f aca="false">20_CASH_FLOW!N45+08_TRANSMISSION!N32+IF(08_TRANSMISSION!$C$17=1,08_TRANSMISSION!N34,0)</f>
        <v>39.371022517674</v>
      </c>
      <c r="O47" s="34" t="n">
        <f aca="false">20_CASH_FLOW!O45+08_TRANSMISSION!O32+IF(08_TRANSMISSION!$C$17=1,08_TRANSMISSION!O34,0)</f>
        <v>40.1584429680275</v>
      </c>
      <c r="P47" s="34" t="n">
        <f aca="false">20_CASH_FLOW!P45+08_TRANSMISSION!P32+IF(08_TRANSMISSION!$C$17=1,08_TRANSMISSION!P34,0)</f>
        <v>40.9616118273881</v>
      </c>
      <c r="Q47" s="34" t="n">
        <f aca="false">20_CASH_FLOW!Q45+08_TRANSMISSION!Q32+IF(08_TRANSMISSION!$C$17=1,08_TRANSMISSION!Q34,0)</f>
        <v>41.7808440639358</v>
      </c>
      <c r="R47" s="34" t="n">
        <f aca="false">20_CASH_FLOW!R45+08_TRANSMISSION!R32+IF(08_TRANSMISSION!$C$17=1,08_TRANSMISSION!R34,0)</f>
        <v>42.6164609452145</v>
      </c>
      <c r="S47" s="34" t="n">
        <f aca="false">20_CASH_FLOW!S45+08_TRANSMISSION!S32+IF(08_TRANSMISSION!$C$17=1,08_TRANSMISSION!S34,0)</f>
        <v>43.4687901641188</v>
      </c>
      <c r="T47" s="34" t="n">
        <f aca="false">20_CASH_FLOW!T45+08_TRANSMISSION!T32+IF(08_TRANSMISSION!$C$17=1,08_TRANSMISSION!T34,0)</f>
        <v>44.3381659674012</v>
      </c>
      <c r="U47" s="34" t="n">
        <f aca="false">20_CASH_FLOW!U45+08_TRANSMISSION!U32+IF(08_TRANSMISSION!$C$17=1,08_TRANSMISSION!U34,0)</f>
        <v>45.2249292867492</v>
      </c>
      <c r="V47" s="34" t="n">
        <f aca="false">20_CASH_FLOW!V45+08_TRANSMISSION!V32+IF(08_TRANSMISSION!$C$17=1,08_TRANSMISSION!V34,0)</f>
        <v>46.1294278724842</v>
      </c>
      <c r="W47" s="34" t="n">
        <f aca="false">20_CASH_FLOW!W45+08_TRANSMISSION!W32+IF(08_TRANSMISSION!$C$17=1,08_TRANSMISSION!W34,0)</f>
        <v>47.0520164299339</v>
      </c>
      <c r="X47" s="34" t="n">
        <f aca="false">20_CASH_FLOW!X45+08_TRANSMISSION!X32+IF(08_TRANSMISSION!$C$17=1,08_TRANSMISSION!X34,0)</f>
        <v>47.9930567585326</v>
      </c>
      <c r="Y47" s="34" t="n">
        <f aca="false">20_CASH_FLOW!Y45+08_TRANSMISSION!Y32+IF(08_TRANSMISSION!$C$17=1,08_TRANSMISSION!Y34,0)</f>
        <v>48.9529178937032</v>
      </c>
      <c r="Z47" s="34" t="n">
        <f aca="false">20_CASH_FLOW!Z45+08_TRANSMISSION!Z32+IF(08_TRANSMISSION!$C$17=1,08_TRANSMISSION!Z34,0)</f>
        <v>49.9319762515773</v>
      </c>
      <c r="AA47" s="34" t="n">
        <f aca="false">20_CASH_FLOW!AA45+08_TRANSMISSION!AA32+IF(08_TRANSMISSION!$C$17=1,08_TRANSMISSION!AA34,0)</f>
        <v>50.9306157766088</v>
      </c>
      <c r="AB47" s="34" t="n">
        <f aca="false">20_CASH_FLOW!AB45+08_TRANSMISSION!AB32+IF(08_TRANSMISSION!$C$17=1,08_TRANSMISSION!AB34,0)</f>
        <v>51.949228092141</v>
      </c>
      <c r="AC47" s="34" t="n">
        <f aca="false">20_CASH_FLOW!AC45+08_TRANSMISSION!AC32+IF(08_TRANSMISSION!$C$17=1,08_TRANSMISSION!AC34,0)</f>
        <v>52.9882126539839</v>
      </c>
      <c r="AD47" s="34" t="n">
        <f aca="false">20_CASH_FLOW!AD45+08_TRANSMISSION!AD32+IF(08_TRANSMISSION!$C$17=1,08_TRANSMISSION!AD34,0)</f>
        <v>54.0479769070635</v>
      </c>
      <c r="AE47" s="34" t="n">
        <f aca="false">20_CASH_FLOW!AE45+08_TRANSMISSION!AE32+IF(08_TRANSMISSION!$C$17=1,08_TRANSMISSION!AE34,0)</f>
        <v>55.1289364452048</v>
      </c>
      <c r="AF47" s="34" t="n">
        <f aca="false">20_CASH_FLOW!AF45+08_TRANSMISSION!AF32+IF(08_TRANSMISSION!$C$17=1,08_TRANSMISSION!AF34,0)</f>
        <v>56.2315151741089</v>
      </c>
      <c r="AG47" s="34" t="n">
        <f aca="false">20_CASH_FLOW!AG45+08_TRANSMISSION!AG32+IF(08_TRANSMISSION!$C$17=1,08_TRANSMISSION!AG34,0)</f>
        <v>57.3561454775911</v>
      </c>
      <c r="AH47" s="34" t="n">
        <f aca="false">20_CASH_FLOW!AH45+08_TRANSMISSION!AH32+IF(08_TRANSMISSION!$C$17=1,08_TRANSMISSION!AH34,0)</f>
        <v>58.5032683871429</v>
      </c>
      <c r="AI47" s="34" t="n">
        <f aca="false">20_CASH_FLOW!AI45+08_TRANSMISSION!AI32+IF(08_TRANSMISSION!$C$17=1,08_TRANSMISSION!AI34,0)</f>
        <v>59.6733337548857</v>
      </c>
      <c r="AJ47" s="34" t="n">
        <f aca="false">20_CASH_FLOW!AJ45+08_TRANSMISSION!AJ32+IF(08_TRANSMISSION!$C$17=1,08_TRANSMISSION!AJ34,0)</f>
        <v>60.8668004299835</v>
      </c>
      <c r="AK47" s="34" t="n">
        <f aca="false">20_CASH_FLOW!AK45+08_TRANSMISSION!AK32+IF(08_TRANSMISSION!$C$17=1,08_TRANSMISSION!AK34,0)</f>
        <v>62.0841364385831</v>
      </c>
      <c r="AL47" s="34" t="n">
        <f aca="false">20_CASH_FLOW!AL45+08_TRANSMISSION!AL32+IF(08_TRANSMISSION!$C$17=1,08_TRANSMISSION!AL34,0)</f>
        <v>63.3258191673548</v>
      </c>
      <c r="AM47" s="34" t="n">
        <f aca="false">20_CASH_FLOW!AM45+08_TRANSMISSION!AM32+IF(08_TRANSMISSION!$C$17=1,08_TRANSMISSION!AM34,0)</f>
        <v>64.5923355507019</v>
      </c>
      <c r="AN47" s="34" t="n">
        <f aca="false">20_CASH_FLOW!AN45+08_TRANSMISSION!AN32+IF(08_TRANSMISSION!$C$17=1,08_TRANSMISSION!AN34,0)</f>
        <v>0</v>
      </c>
      <c r="AO47" s="34" t="n">
        <f aca="false">20_CASH_FLOW!AO45+08_TRANSMISSION!AO32+IF(08_TRANSMISSION!$C$17=1,08_TRANSMISSION!AO34,0)</f>
        <v>0</v>
      </c>
      <c r="AP47" s="34" t="n">
        <f aca="false">20_CASH_FLOW!AP45+08_TRANSMISSION!AP32+IF(08_TRANSMISSION!$C$17=1,08_TRANSMISSION!AP34,0)</f>
        <v>0</v>
      </c>
      <c r="AQ47" s="34" t="n">
        <f aca="false">20_CASH_FLOW!AQ45+08_TRANSMISSION!AQ32+IF(08_TRANSMISSION!$C$17=1,08_TRANSMISSION!AQ34,0)</f>
        <v>0</v>
      </c>
      <c r="AR47" s="34" t="n">
        <f aca="false">20_CASH_FLOW!AR45+08_TRANSMISSION!AR32+IF(08_TRANSMISSION!$C$17=1,08_TRANSMISSION!AR34,0)</f>
        <v>0</v>
      </c>
    </row>
    <row r="48" customFormat="false" ht="15" hidden="false" customHeight="false" outlineLevel="0" collapsed="false">
      <c r="A48" s="8" t="s">
        <v>787</v>
      </c>
      <c r="B48" s="8" t="s">
        <v>181</v>
      </c>
      <c r="C48" s="32" t="n">
        <f aca="false">SUM(20_CASH_FLOW!$E$48:$AR$48)</f>
        <v>48483.1171203606</v>
      </c>
      <c r="E48" s="32" t="n">
        <f aca="false">04_GENERATION!E20*(1-08_TRANSMISSION!$C$15)</f>
        <v>0</v>
      </c>
      <c r="F48" s="32" t="n">
        <f aca="false">04_GENERATION!F20*(1-08_TRANSMISSION!$C$15)</f>
        <v>0</v>
      </c>
      <c r="G48" s="32" t="n">
        <f aca="false">04_GENERATION!G20*(1-08_TRANSMISSION!$C$15)</f>
        <v>0</v>
      </c>
      <c r="H48" s="32" t="n">
        <f aca="false">04_GENERATION!H20*(1-08_TRANSMISSION!$C$15)</f>
        <v>0</v>
      </c>
      <c r="I48" s="32" t="n">
        <f aca="false">04_GENERATION!I20*(1-08_TRANSMISSION!$C$15)</f>
        <v>0</v>
      </c>
      <c r="J48" s="32" t="n">
        <f aca="false">04_GENERATION!J20*(1-08_TRANSMISSION!$C$15)</f>
        <v>1380.59127478414</v>
      </c>
      <c r="K48" s="32" t="n">
        <f aca="false">04_GENERATION!K20*(1-08_TRANSMISSION!$C$15)</f>
        <v>1624.22502915781</v>
      </c>
      <c r="L48" s="32" t="n">
        <f aca="false">04_GENERATION!L20*(1-08_TRANSMISSION!$C$15)</f>
        <v>1624.22502915781</v>
      </c>
      <c r="M48" s="32" t="n">
        <f aca="false">04_GENERATION!M20*(1-08_TRANSMISSION!$C$15)</f>
        <v>1624.22502915781</v>
      </c>
      <c r="N48" s="32" t="n">
        <f aca="false">04_GENERATION!N20*(1-08_TRANSMISSION!$C$15)</f>
        <v>1624.22502915781</v>
      </c>
      <c r="O48" s="32" t="n">
        <f aca="false">04_GENERATION!O20*(1-08_TRANSMISSION!$C$15)</f>
        <v>1624.22502915781</v>
      </c>
      <c r="P48" s="32" t="n">
        <f aca="false">04_GENERATION!P20*(1-08_TRANSMISSION!$C$15)</f>
        <v>1624.22502915781</v>
      </c>
      <c r="Q48" s="32" t="n">
        <f aca="false">04_GENERATION!Q20*(1-08_TRANSMISSION!$C$15)</f>
        <v>1624.22502915781</v>
      </c>
      <c r="R48" s="32" t="n">
        <f aca="false">04_GENERATION!R20*(1-08_TRANSMISSION!$C$15)</f>
        <v>1624.22502915781</v>
      </c>
      <c r="S48" s="32" t="n">
        <f aca="false">04_GENERATION!S20*(1-08_TRANSMISSION!$C$15)</f>
        <v>1624.22502915781</v>
      </c>
      <c r="T48" s="32" t="n">
        <f aca="false">04_GENERATION!T20*(1-08_TRANSMISSION!$C$15)</f>
        <v>1624.22502915781</v>
      </c>
      <c r="U48" s="32" t="n">
        <f aca="false">04_GENERATION!U20*(1-08_TRANSMISSION!$C$15)</f>
        <v>1624.22502915781</v>
      </c>
      <c r="V48" s="32" t="n">
        <f aca="false">04_GENERATION!V20*(1-08_TRANSMISSION!$C$15)</f>
        <v>1624.22502915781</v>
      </c>
      <c r="W48" s="32" t="n">
        <f aca="false">04_GENERATION!W20*(1-08_TRANSMISSION!$C$15)</f>
        <v>1624.22502915781</v>
      </c>
      <c r="X48" s="32" t="n">
        <f aca="false">04_GENERATION!X20*(1-08_TRANSMISSION!$C$15)</f>
        <v>1624.22502915781</v>
      </c>
      <c r="Y48" s="32" t="n">
        <f aca="false">04_GENERATION!Y20*(1-08_TRANSMISSION!$C$15)</f>
        <v>1624.22502915781</v>
      </c>
      <c r="Z48" s="32" t="n">
        <f aca="false">04_GENERATION!Z20*(1-08_TRANSMISSION!$C$15)</f>
        <v>1624.22502915781</v>
      </c>
      <c r="AA48" s="32" t="n">
        <f aca="false">04_GENERATION!AA20*(1-08_TRANSMISSION!$C$15)</f>
        <v>1624.22502915781</v>
      </c>
      <c r="AB48" s="32" t="n">
        <f aca="false">04_GENERATION!AB20*(1-08_TRANSMISSION!$C$15)</f>
        <v>1624.22502915781</v>
      </c>
      <c r="AC48" s="32" t="n">
        <f aca="false">04_GENERATION!AC20*(1-08_TRANSMISSION!$C$15)</f>
        <v>1624.22502915781</v>
      </c>
      <c r="AD48" s="32" t="n">
        <f aca="false">04_GENERATION!AD20*(1-08_TRANSMISSION!$C$15)</f>
        <v>1624.22502915781</v>
      </c>
      <c r="AE48" s="32" t="n">
        <f aca="false">04_GENERATION!AE20*(1-08_TRANSMISSION!$C$15)</f>
        <v>1624.22502915781</v>
      </c>
      <c r="AF48" s="32" t="n">
        <f aca="false">04_GENERATION!AF20*(1-08_TRANSMISSION!$C$15)</f>
        <v>1624.22502915781</v>
      </c>
      <c r="AG48" s="32" t="n">
        <f aca="false">04_GENERATION!AG20*(1-08_TRANSMISSION!$C$15)</f>
        <v>1624.22502915781</v>
      </c>
      <c r="AH48" s="32" t="n">
        <f aca="false">04_GENERATION!AH20*(1-08_TRANSMISSION!$C$15)</f>
        <v>1624.22502915781</v>
      </c>
      <c r="AI48" s="32" t="n">
        <f aca="false">04_GENERATION!AI20*(1-08_TRANSMISSION!$C$15)</f>
        <v>1624.22502915781</v>
      </c>
      <c r="AJ48" s="32" t="n">
        <f aca="false">04_GENERATION!AJ20*(1-08_TRANSMISSION!$C$15)</f>
        <v>1624.22502915781</v>
      </c>
      <c r="AK48" s="32" t="n">
        <f aca="false">04_GENERATION!AK20*(1-08_TRANSMISSION!$C$15)</f>
        <v>1624.22502915781</v>
      </c>
      <c r="AL48" s="32" t="n">
        <f aca="false">04_GENERATION!AL20*(1-08_TRANSMISSION!$C$15)</f>
        <v>1624.22502915781</v>
      </c>
      <c r="AM48" s="32" t="n">
        <f aca="false">04_GENERATION!AM20*(1-08_TRANSMISSION!$C$15)</f>
        <v>1624.22502915781</v>
      </c>
      <c r="AN48" s="32" t="n">
        <f aca="false">04_GENERATION!AN20*(1-08_TRANSMISSION!$C$15)</f>
        <v>0</v>
      </c>
      <c r="AO48" s="32" t="n">
        <f aca="false">04_GENERATION!AO20*(1-08_TRANSMISSION!$C$15)</f>
        <v>0</v>
      </c>
      <c r="AP48" s="32" t="n">
        <f aca="false">04_GENERATION!AP20*(1-08_TRANSMISSION!$C$15)</f>
        <v>0</v>
      </c>
      <c r="AQ48" s="32" t="n">
        <f aca="false">04_GENERATION!AQ20*(1-08_TRANSMISSION!$C$15)</f>
        <v>0</v>
      </c>
      <c r="AR48" s="32" t="n">
        <f aca="false">04_GENERATION!AR20*(1-08_TRANSMISSION!$C$15)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788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789</v>
      </c>
      <c r="B6" s="8" t="s">
        <v>56</v>
      </c>
      <c r="C6" s="25" t="n">
        <v>0.3</v>
      </c>
      <c r="D6" s="10" t="s">
        <v>94</v>
      </c>
    </row>
    <row r="7" customFormat="false" ht="15" hidden="false" customHeight="false" outlineLevel="0" collapsed="false">
      <c r="A7" s="8" t="s">
        <v>790</v>
      </c>
      <c r="B7" s="8" t="s">
        <v>109</v>
      </c>
      <c r="C7" s="9" t="n">
        <v>5</v>
      </c>
      <c r="D7" s="10" t="s">
        <v>791</v>
      </c>
    </row>
    <row r="8" customFormat="false" ht="15" hidden="false" customHeight="false" outlineLevel="0" collapsed="false">
      <c r="A8" s="8" t="s">
        <v>792</v>
      </c>
      <c r="B8" s="8" t="s">
        <v>109</v>
      </c>
      <c r="C8" s="23" t="n">
        <v>20</v>
      </c>
    </row>
    <row r="9" customFormat="false" ht="15" hidden="false" customHeight="false" outlineLevel="0" collapsed="false">
      <c r="A9" s="8" t="s">
        <v>793</v>
      </c>
      <c r="B9" s="8" t="s">
        <v>84</v>
      </c>
      <c r="C9" s="37" t="n">
        <f aca="false">17_PROJECT_FINANCE!$C$7+17_PROJECT_FINANCE!$C$8+17_PROJECT_FINANCE!$C$9-17_PROJECT_FINANCE!$C$13</f>
        <v>1224.05247022979</v>
      </c>
    </row>
    <row r="10" customFormat="false" ht="15" hidden="false" customHeight="false" outlineLevel="0" collapsed="false">
      <c r="A10" s="8" t="s">
        <v>794</v>
      </c>
      <c r="B10" s="8" t="s">
        <v>84</v>
      </c>
      <c r="C10" s="34" t="n">
        <f aca="false">SUM(21_TAX!$E$10:$AR$10)</f>
        <v>1224.05247022979</v>
      </c>
      <c r="E10" s="34" t="n">
        <f aca="false">IF(AND(06_CONSTRUCTION!E5&gt;=1,06_CONSTRUCTION!E5&lt;=21_TAX!$C$8),21_TAX!$C$9/21_TAX!$C$8,0)</f>
        <v>0</v>
      </c>
      <c r="F10" s="34" t="n">
        <f aca="false">IF(AND(06_CONSTRUCTION!F5&gt;=1,06_CONSTRUCTION!F5&lt;=21_TAX!$C$8),21_TAX!$C$9/21_TAX!$C$8,0)</f>
        <v>0</v>
      </c>
      <c r="G10" s="34" t="n">
        <f aca="false">IF(AND(06_CONSTRUCTION!G5&gt;=1,06_CONSTRUCTION!G5&lt;=21_TAX!$C$8),21_TAX!$C$9/21_TAX!$C$8,0)</f>
        <v>0</v>
      </c>
      <c r="H10" s="34" t="n">
        <f aca="false">IF(AND(06_CONSTRUCTION!H5&gt;=1,06_CONSTRUCTION!H5&lt;=21_TAX!$C$8),21_TAX!$C$9/21_TAX!$C$8,0)</f>
        <v>0</v>
      </c>
      <c r="I10" s="34" t="n">
        <f aca="false">IF(AND(06_CONSTRUCTION!I5&gt;=1,06_CONSTRUCTION!I5&lt;=21_TAX!$C$8),21_TAX!$C$9/21_TAX!$C$8,0)</f>
        <v>0</v>
      </c>
      <c r="J10" s="34" t="n">
        <f aca="false">IF(AND(06_CONSTRUCTION!J5&gt;=1,06_CONSTRUCTION!J5&lt;=21_TAX!$C$8),21_TAX!$C$9/21_TAX!$C$8,0)</f>
        <v>61.2026235114897</v>
      </c>
      <c r="K10" s="34" t="n">
        <f aca="false">IF(AND(06_CONSTRUCTION!K5&gt;=1,06_CONSTRUCTION!K5&lt;=21_TAX!$C$8),21_TAX!$C$9/21_TAX!$C$8,0)</f>
        <v>61.2026235114897</v>
      </c>
      <c r="L10" s="34" t="n">
        <f aca="false">IF(AND(06_CONSTRUCTION!L5&gt;=1,06_CONSTRUCTION!L5&lt;=21_TAX!$C$8),21_TAX!$C$9/21_TAX!$C$8,0)</f>
        <v>61.2026235114897</v>
      </c>
      <c r="M10" s="34" t="n">
        <f aca="false">IF(AND(06_CONSTRUCTION!M5&gt;=1,06_CONSTRUCTION!M5&lt;=21_TAX!$C$8),21_TAX!$C$9/21_TAX!$C$8,0)</f>
        <v>61.2026235114897</v>
      </c>
      <c r="N10" s="34" t="n">
        <f aca="false">IF(AND(06_CONSTRUCTION!N5&gt;=1,06_CONSTRUCTION!N5&lt;=21_TAX!$C$8),21_TAX!$C$9/21_TAX!$C$8,0)</f>
        <v>61.2026235114897</v>
      </c>
      <c r="O10" s="34" t="n">
        <f aca="false">IF(AND(06_CONSTRUCTION!O5&gt;=1,06_CONSTRUCTION!O5&lt;=21_TAX!$C$8),21_TAX!$C$9/21_TAX!$C$8,0)</f>
        <v>61.2026235114897</v>
      </c>
      <c r="P10" s="34" t="n">
        <f aca="false">IF(AND(06_CONSTRUCTION!P5&gt;=1,06_CONSTRUCTION!P5&lt;=21_TAX!$C$8),21_TAX!$C$9/21_TAX!$C$8,0)</f>
        <v>61.2026235114897</v>
      </c>
      <c r="Q10" s="34" t="n">
        <f aca="false">IF(AND(06_CONSTRUCTION!Q5&gt;=1,06_CONSTRUCTION!Q5&lt;=21_TAX!$C$8),21_TAX!$C$9/21_TAX!$C$8,0)</f>
        <v>61.2026235114897</v>
      </c>
      <c r="R10" s="34" t="n">
        <f aca="false">IF(AND(06_CONSTRUCTION!R5&gt;=1,06_CONSTRUCTION!R5&lt;=21_TAX!$C$8),21_TAX!$C$9/21_TAX!$C$8,0)</f>
        <v>61.2026235114897</v>
      </c>
      <c r="S10" s="34" t="n">
        <f aca="false">IF(AND(06_CONSTRUCTION!S5&gt;=1,06_CONSTRUCTION!S5&lt;=21_TAX!$C$8),21_TAX!$C$9/21_TAX!$C$8,0)</f>
        <v>61.2026235114897</v>
      </c>
      <c r="T10" s="34" t="n">
        <f aca="false">IF(AND(06_CONSTRUCTION!T5&gt;=1,06_CONSTRUCTION!T5&lt;=21_TAX!$C$8),21_TAX!$C$9/21_TAX!$C$8,0)</f>
        <v>61.2026235114897</v>
      </c>
      <c r="U10" s="34" t="n">
        <f aca="false">IF(AND(06_CONSTRUCTION!U5&gt;=1,06_CONSTRUCTION!U5&lt;=21_TAX!$C$8),21_TAX!$C$9/21_TAX!$C$8,0)</f>
        <v>61.2026235114897</v>
      </c>
      <c r="V10" s="34" t="n">
        <f aca="false">IF(AND(06_CONSTRUCTION!V5&gt;=1,06_CONSTRUCTION!V5&lt;=21_TAX!$C$8),21_TAX!$C$9/21_TAX!$C$8,0)</f>
        <v>61.2026235114897</v>
      </c>
      <c r="W10" s="34" t="n">
        <f aca="false">IF(AND(06_CONSTRUCTION!W5&gt;=1,06_CONSTRUCTION!W5&lt;=21_TAX!$C$8),21_TAX!$C$9/21_TAX!$C$8,0)</f>
        <v>61.2026235114897</v>
      </c>
      <c r="X10" s="34" t="n">
        <f aca="false">IF(AND(06_CONSTRUCTION!X5&gt;=1,06_CONSTRUCTION!X5&lt;=21_TAX!$C$8),21_TAX!$C$9/21_TAX!$C$8,0)</f>
        <v>61.2026235114897</v>
      </c>
      <c r="Y10" s="34" t="n">
        <f aca="false">IF(AND(06_CONSTRUCTION!Y5&gt;=1,06_CONSTRUCTION!Y5&lt;=21_TAX!$C$8),21_TAX!$C$9/21_TAX!$C$8,0)</f>
        <v>61.2026235114897</v>
      </c>
      <c r="Z10" s="34" t="n">
        <f aca="false">IF(AND(06_CONSTRUCTION!Z5&gt;=1,06_CONSTRUCTION!Z5&lt;=21_TAX!$C$8),21_TAX!$C$9/21_TAX!$C$8,0)</f>
        <v>61.2026235114897</v>
      </c>
      <c r="AA10" s="34" t="n">
        <f aca="false">IF(AND(06_CONSTRUCTION!AA5&gt;=1,06_CONSTRUCTION!AA5&lt;=21_TAX!$C$8),21_TAX!$C$9/21_TAX!$C$8,0)</f>
        <v>61.2026235114897</v>
      </c>
      <c r="AB10" s="34" t="n">
        <f aca="false">IF(AND(06_CONSTRUCTION!AB5&gt;=1,06_CONSTRUCTION!AB5&lt;=21_TAX!$C$8),21_TAX!$C$9/21_TAX!$C$8,0)</f>
        <v>61.2026235114897</v>
      </c>
      <c r="AC10" s="34" t="n">
        <f aca="false">IF(AND(06_CONSTRUCTION!AC5&gt;=1,06_CONSTRUCTION!AC5&lt;=21_TAX!$C$8),21_TAX!$C$9/21_TAX!$C$8,0)</f>
        <v>61.2026235114897</v>
      </c>
      <c r="AD10" s="34" t="n">
        <f aca="false">IF(AND(06_CONSTRUCTION!AD5&gt;=1,06_CONSTRUCTION!AD5&lt;=21_TAX!$C$8),21_TAX!$C$9/21_TAX!$C$8,0)</f>
        <v>0</v>
      </c>
      <c r="AE10" s="34" t="n">
        <f aca="false">IF(AND(06_CONSTRUCTION!AE5&gt;=1,06_CONSTRUCTION!AE5&lt;=21_TAX!$C$8),21_TAX!$C$9/21_TAX!$C$8,0)</f>
        <v>0</v>
      </c>
      <c r="AF10" s="34" t="n">
        <f aca="false">IF(AND(06_CONSTRUCTION!AF5&gt;=1,06_CONSTRUCTION!AF5&lt;=21_TAX!$C$8),21_TAX!$C$9/21_TAX!$C$8,0)</f>
        <v>0</v>
      </c>
      <c r="AG10" s="34" t="n">
        <f aca="false">IF(AND(06_CONSTRUCTION!AG5&gt;=1,06_CONSTRUCTION!AG5&lt;=21_TAX!$C$8),21_TAX!$C$9/21_TAX!$C$8,0)</f>
        <v>0</v>
      </c>
      <c r="AH10" s="34" t="n">
        <f aca="false">IF(AND(06_CONSTRUCTION!AH5&gt;=1,06_CONSTRUCTION!AH5&lt;=21_TAX!$C$8),21_TAX!$C$9/21_TAX!$C$8,0)</f>
        <v>0</v>
      </c>
      <c r="AI10" s="34" t="n">
        <f aca="false">IF(AND(06_CONSTRUCTION!AI5&gt;=1,06_CONSTRUCTION!AI5&lt;=21_TAX!$C$8),21_TAX!$C$9/21_TAX!$C$8,0)</f>
        <v>0</v>
      </c>
      <c r="AJ10" s="34" t="n">
        <f aca="false">IF(AND(06_CONSTRUCTION!AJ5&gt;=1,06_CONSTRUCTION!AJ5&lt;=21_TAX!$C$8),21_TAX!$C$9/21_TAX!$C$8,0)</f>
        <v>0</v>
      </c>
      <c r="AK10" s="34" t="n">
        <f aca="false">IF(AND(06_CONSTRUCTION!AK5&gt;=1,06_CONSTRUCTION!AK5&lt;=21_TAX!$C$8),21_TAX!$C$9/21_TAX!$C$8,0)</f>
        <v>0</v>
      </c>
      <c r="AL10" s="34" t="n">
        <f aca="false">IF(AND(06_CONSTRUCTION!AL5&gt;=1,06_CONSTRUCTION!AL5&lt;=21_TAX!$C$8),21_TAX!$C$9/21_TAX!$C$8,0)</f>
        <v>0</v>
      </c>
      <c r="AM10" s="34" t="n">
        <f aca="false">IF(AND(06_CONSTRUCTION!AM5&gt;=1,06_CONSTRUCTION!AM5&lt;=21_TAX!$C$8),21_TAX!$C$9/21_TAX!$C$8,0)</f>
        <v>0</v>
      </c>
      <c r="AN10" s="34" t="n">
        <f aca="false">IF(AND(06_CONSTRUCTION!AN5&gt;=1,06_CONSTRUCTION!AN5&lt;=21_TAX!$C$8),21_TAX!$C$9/21_TAX!$C$8,0)</f>
        <v>0</v>
      </c>
      <c r="AO10" s="34" t="n">
        <f aca="false">IF(AND(06_CONSTRUCTION!AO5&gt;=1,06_CONSTRUCTION!AO5&lt;=21_TAX!$C$8),21_TAX!$C$9/21_TAX!$C$8,0)</f>
        <v>0</v>
      </c>
      <c r="AP10" s="34" t="n">
        <f aca="false">IF(AND(06_CONSTRUCTION!AP5&gt;=1,06_CONSTRUCTION!AP5&lt;=21_TAX!$C$8),21_TAX!$C$9/21_TAX!$C$8,0)</f>
        <v>0</v>
      </c>
      <c r="AQ10" s="34" t="n">
        <f aca="false">IF(AND(06_CONSTRUCTION!AQ5&gt;=1,06_CONSTRUCTION!AQ5&lt;=21_TAX!$C$8),21_TAX!$C$9/21_TAX!$C$8,0)</f>
        <v>0</v>
      </c>
      <c r="AR10" s="34" t="n">
        <f aca="false">IF(AND(06_CONSTRUCTION!AR5&gt;=1,06_CONSTRUCTION!AR5&lt;=21_TAX!$C$8),21_TAX!$C$9/21_TAX!$C$8,0)</f>
        <v>0</v>
      </c>
    </row>
    <row r="11" customFormat="false" ht="15" hidden="false" customHeight="false" outlineLevel="0" collapsed="false">
      <c r="A11" s="8" t="s">
        <v>795</v>
      </c>
      <c r="B11" s="8" t="s">
        <v>84</v>
      </c>
      <c r="C11" s="34" t="n">
        <f aca="false">SUM(21_TAX!$E$11:$AR$11)</f>
        <v>1054.55294272037</v>
      </c>
      <c r="E11" s="34" t="n">
        <f aca="false">IF(AND(06_CONSTRUCTION!E5&gt;=1,06_CONSTRUCTION!E5&lt;=21_TAX!$C$8),(17_PROJECT_FINANCE!$C$7-17_PROJECT_FINANCE!$C$13)/21_TAX!$C$8,0)</f>
        <v>0</v>
      </c>
      <c r="F11" s="34" t="n">
        <f aca="false">IF(AND(06_CONSTRUCTION!F5&gt;=1,06_CONSTRUCTION!F5&lt;=21_TAX!$C$8),(17_PROJECT_FINANCE!$C$7-17_PROJECT_FINANCE!$C$13)/21_TAX!$C$8,0)</f>
        <v>0</v>
      </c>
      <c r="G11" s="34" t="n">
        <f aca="false">IF(AND(06_CONSTRUCTION!G5&gt;=1,06_CONSTRUCTION!G5&lt;=21_TAX!$C$8),(17_PROJECT_FINANCE!$C$7-17_PROJECT_FINANCE!$C$13)/21_TAX!$C$8,0)</f>
        <v>0</v>
      </c>
      <c r="H11" s="34" t="n">
        <f aca="false">IF(AND(06_CONSTRUCTION!H5&gt;=1,06_CONSTRUCTION!H5&lt;=21_TAX!$C$8),(17_PROJECT_FINANCE!$C$7-17_PROJECT_FINANCE!$C$13)/21_TAX!$C$8,0)</f>
        <v>0</v>
      </c>
      <c r="I11" s="34" t="n">
        <f aca="false">IF(AND(06_CONSTRUCTION!I5&gt;=1,06_CONSTRUCTION!I5&lt;=21_TAX!$C$8),(17_PROJECT_FINANCE!$C$7-17_PROJECT_FINANCE!$C$13)/21_TAX!$C$8,0)</f>
        <v>0</v>
      </c>
      <c r="J11" s="34" t="n">
        <f aca="false">IF(AND(06_CONSTRUCTION!J5&gt;=1,06_CONSTRUCTION!J5&lt;=21_TAX!$C$8),(17_PROJECT_FINANCE!$C$7-17_PROJECT_FINANCE!$C$13)/21_TAX!$C$8,0)</f>
        <v>52.7276471360186</v>
      </c>
      <c r="K11" s="34" t="n">
        <f aca="false">IF(AND(06_CONSTRUCTION!K5&gt;=1,06_CONSTRUCTION!K5&lt;=21_TAX!$C$8),(17_PROJECT_FINANCE!$C$7-17_PROJECT_FINANCE!$C$13)/21_TAX!$C$8,0)</f>
        <v>52.7276471360186</v>
      </c>
      <c r="L11" s="34" t="n">
        <f aca="false">IF(AND(06_CONSTRUCTION!L5&gt;=1,06_CONSTRUCTION!L5&lt;=21_TAX!$C$8),(17_PROJECT_FINANCE!$C$7-17_PROJECT_FINANCE!$C$13)/21_TAX!$C$8,0)</f>
        <v>52.7276471360186</v>
      </c>
      <c r="M11" s="34" t="n">
        <f aca="false">IF(AND(06_CONSTRUCTION!M5&gt;=1,06_CONSTRUCTION!M5&lt;=21_TAX!$C$8),(17_PROJECT_FINANCE!$C$7-17_PROJECT_FINANCE!$C$13)/21_TAX!$C$8,0)</f>
        <v>52.7276471360186</v>
      </c>
      <c r="N11" s="34" t="n">
        <f aca="false">IF(AND(06_CONSTRUCTION!N5&gt;=1,06_CONSTRUCTION!N5&lt;=21_TAX!$C$8),(17_PROJECT_FINANCE!$C$7-17_PROJECT_FINANCE!$C$13)/21_TAX!$C$8,0)</f>
        <v>52.7276471360186</v>
      </c>
      <c r="O11" s="34" t="n">
        <f aca="false">IF(AND(06_CONSTRUCTION!O5&gt;=1,06_CONSTRUCTION!O5&lt;=21_TAX!$C$8),(17_PROJECT_FINANCE!$C$7-17_PROJECT_FINANCE!$C$13)/21_TAX!$C$8,0)</f>
        <v>52.7276471360186</v>
      </c>
      <c r="P11" s="34" t="n">
        <f aca="false">IF(AND(06_CONSTRUCTION!P5&gt;=1,06_CONSTRUCTION!P5&lt;=21_TAX!$C$8),(17_PROJECT_FINANCE!$C$7-17_PROJECT_FINANCE!$C$13)/21_TAX!$C$8,0)</f>
        <v>52.7276471360186</v>
      </c>
      <c r="Q11" s="34" t="n">
        <f aca="false">IF(AND(06_CONSTRUCTION!Q5&gt;=1,06_CONSTRUCTION!Q5&lt;=21_TAX!$C$8),(17_PROJECT_FINANCE!$C$7-17_PROJECT_FINANCE!$C$13)/21_TAX!$C$8,0)</f>
        <v>52.7276471360186</v>
      </c>
      <c r="R11" s="34" t="n">
        <f aca="false">IF(AND(06_CONSTRUCTION!R5&gt;=1,06_CONSTRUCTION!R5&lt;=21_TAX!$C$8),(17_PROJECT_FINANCE!$C$7-17_PROJECT_FINANCE!$C$13)/21_TAX!$C$8,0)</f>
        <v>52.7276471360186</v>
      </c>
      <c r="S11" s="34" t="n">
        <f aca="false">IF(AND(06_CONSTRUCTION!S5&gt;=1,06_CONSTRUCTION!S5&lt;=21_TAX!$C$8),(17_PROJECT_FINANCE!$C$7-17_PROJECT_FINANCE!$C$13)/21_TAX!$C$8,0)</f>
        <v>52.7276471360186</v>
      </c>
      <c r="T11" s="34" t="n">
        <f aca="false">IF(AND(06_CONSTRUCTION!T5&gt;=1,06_CONSTRUCTION!T5&lt;=21_TAX!$C$8),(17_PROJECT_FINANCE!$C$7-17_PROJECT_FINANCE!$C$13)/21_TAX!$C$8,0)</f>
        <v>52.7276471360186</v>
      </c>
      <c r="U11" s="34" t="n">
        <f aca="false">IF(AND(06_CONSTRUCTION!U5&gt;=1,06_CONSTRUCTION!U5&lt;=21_TAX!$C$8),(17_PROJECT_FINANCE!$C$7-17_PROJECT_FINANCE!$C$13)/21_TAX!$C$8,0)</f>
        <v>52.7276471360186</v>
      </c>
      <c r="V11" s="34" t="n">
        <f aca="false">IF(AND(06_CONSTRUCTION!V5&gt;=1,06_CONSTRUCTION!V5&lt;=21_TAX!$C$8),(17_PROJECT_FINANCE!$C$7-17_PROJECT_FINANCE!$C$13)/21_TAX!$C$8,0)</f>
        <v>52.7276471360186</v>
      </c>
      <c r="W11" s="34" t="n">
        <f aca="false">IF(AND(06_CONSTRUCTION!W5&gt;=1,06_CONSTRUCTION!W5&lt;=21_TAX!$C$8),(17_PROJECT_FINANCE!$C$7-17_PROJECT_FINANCE!$C$13)/21_TAX!$C$8,0)</f>
        <v>52.7276471360186</v>
      </c>
      <c r="X11" s="34" t="n">
        <f aca="false">IF(AND(06_CONSTRUCTION!X5&gt;=1,06_CONSTRUCTION!X5&lt;=21_TAX!$C$8),(17_PROJECT_FINANCE!$C$7-17_PROJECT_FINANCE!$C$13)/21_TAX!$C$8,0)</f>
        <v>52.7276471360186</v>
      </c>
      <c r="Y11" s="34" t="n">
        <f aca="false">IF(AND(06_CONSTRUCTION!Y5&gt;=1,06_CONSTRUCTION!Y5&lt;=21_TAX!$C$8),(17_PROJECT_FINANCE!$C$7-17_PROJECT_FINANCE!$C$13)/21_TAX!$C$8,0)</f>
        <v>52.7276471360186</v>
      </c>
      <c r="Z11" s="34" t="n">
        <f aca="false">IF(AND(06_CONSTRUCTION!Z5&gt;=1,06_CONSTRUCTION!Z5&lt;=21_TAX!$C$8),(17_PROJECT_FINANCE!$C$7-17_PROJECT_FINANCE!$C$13)/21_TAX!$C$8,0)</f>
        <v>52.7276471360186</v>
      </c>
      <c r="AA11" s="34" t="n">
        <f aca="false">IF(AND(06_CONSTRUCTION!AA5&gt;=1,06_CONSTRUCTION!AA5&lt;=21_TAX!$C$8),(17_PROJECT_FINANCE!$C$7-17_PROJECT_FINANCE!$C$13)/21_TAX!$C$8,0)</f>
        <v>52.7276471360186</v>
      </c>
      <c r="AB11" s="34" t="n">
        <f aca="false">IF(AND(06_CONSTRUCTION!AB5&gt;=1,06_CONSTRUCTION!AB5&lt;=21_TAX!$C$8),(17_PROJECT_FINANCE!$C$7-17_PROJECT_FINANCE!$C$13)/21_TAX!$C$8,0)</f>
        <v>52.7276471360186</v>
      </c>
      <c r="AC11" s="34" t="n">
        <f aca="false">IF(AND(06_CONSTRUCTION!AC5&gt;=1,06_CONSTRUCTION!AC5&lt;=21_TAX!$C$8),(17_PROJECT_FINANCE!$C$7-17_PROJECT_FINANCE!$C$13)/21_TAX!$C$8,0)</f>
        <v>52.7276471360186</v>
      </c>
      <c r="AD11" s="34" t="n">
        <f aca="false">IF(AND(06_CONSTRUCTION!AD5&gt;=1,06_CONSTRUCTION!AD5&lt;=21_TAX!$C$8),(17_PROJECT_FINANCE!$C$7-17_PROJECT_FINANCE!$C$13)/21_TAX!$C$8,0)</f>
        <v>0</v>
      </c>
      <c r="AE11" s="34" t="n">
        <f aca="false">IF(AND(06_CONSTRUCTION!AE5&gt;=1,06_CONSTRUCTION!AE5&lt;=21_TAX!$C$8),(17_PROJECT_FINANCE!$C$7-17_PROJECT_FINANCE!$C$13)/21_TAX!$C$8,0)</f>
        <v>0</v>
      </c>
      <c r="AF11" s="34" t="n">
        <f aca="false">IF(AND(06_CONSTRUCTION!AF5&gt;=1,06_CONSTRUCTION!AF5&lt;=21_TAX!$C$8),(17_PROJECT_FINANCE!$C$7-17_PROJECT_FINANCE!$C$13)/21_TAX!$C$8,0)</f>
        <v>0</v>
      </c>
      <c r="AG11" s="34" t="n">
        <f aca="false">IF(AND(06_CONSTRUCTION!AG5&gt;=1,06_CONSTRUCTION!AG5&lt;=21_TAX!$C$8),(17_PROJECT_FINANCE!$C$7-17_PROJECT_FINANCE!$C$13)/21_TAX!$C$8,0)</f>
        <v>0</v>
      </c>
      <c r="AH11" s="34" t="n">
        <f aca="false">IF(AND(06_CONSTRUCTION!AH5&gt;=1,06_CONSTRUCTION!AH5&lt;=21_TAX!$C$8),(17_PROJECT_FINANCE!$C$7-17_PROJECT_FINANCE!$C$13)/21_TAX!$C$8,0)</f>
        <v>0</v>
      </c>
      <c r="AI11" s="34" t="n">
        <f aca="false">IF(AND(06_CONSTRUCTION!AI5&gt;=1,06_CONSTRUCTION!AI5&lt;=21_TAX!$C$8),(17_PROJECT_FINANCE!$C$7-17_PROJECT_FINANCE!$C$13)/21_TAX!$C$8,0)</f>
        <v>0</v>
      </c>
      <c r="AJ11" s="34" t="n">
        <f aca="false">IF(AND(06_CONSTRUCTION!AJ5&gt;=1,06_CONSTRUCTION!AJ5&lt;=21_TAX!$C$8),(17_PROJECT_FINANCE!$C$7-17_PROJECT_FINANCE!$C$13)/21_TAX!$C$8,0)</f>
        <v>0</v>
      </c>
      <c r="AK11" s="34" t="n">
        <f aca="false">IF(AND(06_CONSTRUCTION!AK5&gt;=1,06_CONSTRUCTION!AK5&lt;=21_TAX!$C$8),(17_PROJECT_FINANCE!$C$7-17_PROJECT_FINANCE!$C$13)/21_TAX!$C$8,0)</f>
        <v>0</v>
      </c>
      <c r="AL11" s="34" t="n">
        <f aca="false">IF(AND(06_CONSTRUCTION!AL5&gt;=1,06_CONSTRUCTION!AL5&lt;=21_TAX!$C$8),(17_PROJECT_FINANCE!$C$7-17_PROJECT_FINANCE!$C$13)/21_TAX!$C$8,0)</f>
        <v>0</v>
      </c>
      <c r="AM11" s="34" t="n">
        <f aca="false">IF(AND(06_CONSTRUCTION!AM5&gt;=1,06_CONSTRUCTION!AM5&lt;=21_TAX!$C$8),(17_PROJECT_FINANCE!$C$7-17_PROJECT_FINANCE!$C$13)/21_TAX!$C$8,0)</f>
        <v>0</v>
      </c>
      <c r="AN11" s="34" t="n">
        <f aca="false">IF(AND(06_CONSTRUCTION!AN5&gt;=1,06_CONSTRUCTION!AN5&lt;=21_TAX!$C$8),(17_PROJECT_FINANCE!$C$7-17_PROJECT_FINANCE!$C$13)/21_TAX!$C$8,0)</f>
        <v>0</v>
      </c>
      <c r="AO11" s="34" t="n">
        <f aca="false">IF(AND(06_CONSTRUCTION!AO5&gt;=1,06_CONSTRUCTION!AO5&lt;=21_TAX!$C$8),(17_PROJECT_FINANCE!$C$7-17_PROJECT_FINANCE!$C$13)/21_TAX!$C$8,0)</f>
        <v>0</v>
      </c>
      <c r="AP11" s="34" t="n">
        <f aca="false">IF(AND(06_CONSTRUCTION!AP5&gt;=1,06_CONSTRUCTION!AP5&lt;=21_TAX!$C$8),(17_PROJECT_FINANCE!$C$7-17_PROJECT_FINANCE!$C$13)/21_TAX!$C$8,0)</f>
        <v>0</v>
      </c>
      <c r="AQ11" s="34" t="n">
        <f aca="false">IF(AND(06_CONSTRUCTION!AQ5&gt;=1,06_CONSTRUCTION!AQ5&lt;=21_TAX!$C$8),(17_PROJECT_FINANCE!$C$7-17_PROJECT_FINANCE!$C$13)/21_TAX!$C$8,0)</f>
        <v>0</v>
      </c>
      <c r="AR11" s="34" t="n">
        <f aca="false">IF(AND(06_CONSTRUCTION!AR5&gt;=1,06_CONSTRUCTION!AR5&lt;=21_TAX!$C$8),(17_PROJECT_FINANCE!$C$7-17_PROJECT_FINANCE!$C$13)/21_TAX!$C$8,0)</f>
        <v>0</v>
      </c>
    </row>
    <row r="12" customFormat="false" ht="15" hidden="false" customHeight="false" outlineLevel="0" collapsed="false">
      <c r="A12" s="8" t="s">
        <v>756</v>
      </c>
      <c r="B12" s="8" t="s">
        <v>84</v>
      </c>
      <c r="E12" s="57" t="n">
        <f aca="false">20_CASH_FLOW!E17</f>
        <v>0</v>
      </c>
      <c r="F12" s="57" t="n">
        <f aca="false">20_CASH_FLOW!F17</f>
        <v>0</v>
      </c>
      <c r="G12" s="57" t="n">
        <f aca="false">20_CASH_FLOW!G17</f>
        <v>0</v>
      </c>
      <c r="H12" s="57" t="n">
        <f aca="false">20_CASH_FLOW!H17</f>
        <v>0</v>
      </c>
      <c r="I12" s="57" t="n">
        <f aca="false">20_CASH_FLOW!I17</f>
        <v>0</v>
      </c>
      <c r="J12" s="57" t="n">
        <f aca="false">20_CASH_FLOW!J17</f>
        <v>120.949179065368</v>
      </c>
      <c r="K12" s="57" t="n">
        <f aca="false">20_CASH_FLOW!K17</f>
        <v>148.590301458743</v>
      </c>
      <c r="L12" s="57" t="n">
        <f aca="false">20_CASH_FLOW!L17</f>
        <v>150.314107487918</v>
      </c>
      <c r="M12" s="57" t="n">
        <f aca="false">20_CASH_FLOW!M17</f>
        <v>152.072389637677</v>
      </c>
      <c r="N12" s="57" t="n">
        <f aca="false">20_CASH_FLOW!N17</f>
        <v>153.86583743043</v>
      </c>
      <c r="O12" s="57" t="n">
        <f aca="false">20_CASH_FLOW!O17</f>
        <v>155.695154179039</v>
      </c>
      <c r="P12" s="57" t="n">
        <f aca="false">20_CASH_FLOW!P17</f>
        <v>157.561057262619</v>
      </c>
      <c r="Q12" s="57" t="n">
        <f aca="false">20_CASH_FLOW!Q17</f>
        <v>159.464278407872</v>
      </c>
      <c r="R12" s="57" t="n">
        <f aca="false">20_CASH_FLOW!R17</f>
        <v>161.405563976029</v>
      </c>
      <c r="S12" s="57" t="n">
        <f aca="false">20_CASH_FLOW!S17</f>
        <v>163.38567525555</v>
      </c>
      <c r="T12" s="57" t="n">
        <f aca="false">20_CASH_FLOW!T17</f>
        <v>165.405388760661</v>
      </c>
      <c r="U12" s="57" t="n">
        <f aca="false">20_CASH_FLOW!U17</f>
        <v>167.465496535874</v>
      </c>
      <c r="V12" s="57" t="n">
        <f aca="false">20_CASH_FLOW!V17</f>
        <v>169.566806466592</v>
      </c>
      <c r="W12" s="57" t="n">
        <f aca="false">20_CASH_FLOW!W17</f>
        <v>171.710142595923</v>
      </c>
      <c r="X12" s="57" t="n">
        <f aca="false">20_CASH_FLOW!X17</f>
        <v>173.896345447842</v>
      </c>
      <c r="Y12" s="57" t="n">
        <f aca="false">20_CASH_FLOW!Y17</f>
        <v>176.126272356799</v>
      </c>
      <c r="Z12" s="57" t="n">
        <f aca="false">20_CASH_FLOW!Z17</f>
        <v>178.400797803935</v>
      </c>
      <c r="AA12" s="57" t="n">
        <f aca="false">20_CASH_FLOW!AA17</f>
        <v>180.720813760013</v>
      </c>
      <c r="AB12" s="57" t="n">
        <f aca="false">20_CASH_FLOW!AB17</f>
        <v>183.087230035214</v>
      </c>
      <c r="AC12" s="57" t="n">
        <f aca="false">20_CASH_FLOW!AC17</f>
        <v>185.500974635918</v>
      </c>
      <c r="AD12" s="57" t="n">
        <f aca="false">20_CASH_FLOW!AD17</f>
        <v>187.962994128636</v>
      </c>
      <c r="AE12" s="57" t="n">
        <f aca="false">20_CASH_FLOW!AE17</f>
        <v>190.474254011209</v>
      </c>
      <c r="AF12" s="57" t="n">
        <f aca="false">20_CASH_FLOW!AF17</f>
        <v>193.035739091433</v>
      </c>
      <c r="AG12" s="57" t="n">
        <f aca="false">20_CASH_FLOW!AG17</f>
        <v>195.648453873262</v>
      </c>
      <c r="AH12" s="57" t="n">
        <f aca="false">20_CASH_FLOW!AH17</f>
        <v>198.313422950727</v>
      </c>
      <c r="AI12" s="57" t="n">
        <f aca="false">20_CASH_FLOW!AI17</f>
        <v>201.031691409742</v>
      </c>
      <c r="AJ12" s="57" t="n">
        <f aca="false">20_CASH_FLOW!AJ17</f>
        <v>203.804325237936</v>
      </c>
      <c r="AK12" s="57" t="n">
        <f aca="false">20_CASH_FLOW!AK17</f>
        <v>206.632411742695</v>
      </c>
      <c r="AL12" s="57" t="n">
        <f aca="false">20_CASH_FLOW!AL17</f>
        <v>209.517059977549</v>
      </c>
      <c r="AM12" s="57" t="n">
        <f aca="false">20_CASH_FLOW!AM17</f>
        <v>212.4594011771</v>
      </c>
      <c r="AN12" s="57" t="n">
        <f aca="false">20_CASH_FLOW!AN17</f>
        <v>0</v>
      </c>
      <c r="AO12" s="57" t="n">
        <f aca="false">20_CASH_FLOW!AO17</f>
        <v>0</v>
      </c>
      <c r="AP12" s="57" t="n">
        <f aca="false">20_CASH_FLOW!AP17</f>
        <v>0</v>
      </c>
      <c r="AQ12" s="57" t="n">
        <f aca="false">20_CASH_FLOW!AQ17</f>
        <v>0</v>
      </c>
      <c r="AR12" s="57" t="n">
        <f aca="false">20_CASH_FLOW!AR17</f>
        <v>0</v>
      </c>
    </row>
    <row r="13" customFormat="false" ht="15" hidden="false" customHeight="false" outlineLevel="0" collapsed="false">
      <c r="A13" s="8" t="s">
        <v>796</v>
      </c>
      <c r="B13" s="8" t="s">
        <v>84</v>
      </c>
      <c r="E13" s="34" t="n">
        <f aca="false">06_CONSTRUCTION!E14*(18_DEBT!E27+18_DEBT!E34)</f>
        <v>0</v>
      </c>
      <c r="F13" s="34" t="n">
        <f aca="false">06_CONSTRUCTION!F14*(18_DEBT!F27+18_DEBT!F34)</f>
        <v>0</v>
      </c>
      <c r="G13" s="34" t="n">
        <f aca="false">06_CONSTRUCTION!G14*(18_DEBT!G27+18_DEBT!G34)</f>
        <v>0</v>
      </c>
      <c r="H13" s="34" t="n">
        <f aca="false">06_CONSTRUCTION!H14*(18_DEBT!H27+18_DEBT!H34)</f>
        <v>0</v>
      </c>
      <c r="I13" s="34" t="n">
        <f aca="false">06_CONSTRUCTION!I14*(18_DEBT!I27+18_DEBT!I34)</f>
        <v>0</v>
      </c>
      <c r="J13" s="34" t="n">
        <f aca="false">06_CONSTRUCTION!J14*(18_DEBT!J27+18_DEBT!J34)</f>
        <v>60.1224794636355</v>
      </c>
      <c r="K13" s="34" t="n">
        <f aca="false">06_CONSTRUCTION!K14*(18_DEBT!K27+18_DEBT!K34)</f>
        <v>59.0327434165286</v>
      </c>
      <c r="L13" s="34" t="n">
        <f aca="false">06_CONSTRUCTION!L14*(18_DEBT!L27+18_DEBT!L34)</f>
        <v>56.5346209612155</v>
      </c>
      <c r="M13" s="34" t="n">
        <f aca="false">06_CONSTRUCTION!M14*(18_DEBT!M27+18_DEBT!M34)</f>
        <v>53.7574199067573</v>
      </c>
      <c r="N13" s="34" t="n">
        <f aca="false">06_CONSTRUCTION!N14*(18_DEBT!N27+18_DEBT!N34)</f>
        <v>50.6772293891679</v>
      </c>
      <c r="O13" s="34" t="n">
        <f aca="false">06_CONSTRUCTION!O14*(18_DEBT!O27+18_DEBT!O34)</f>
        <v>47.2681939838213</v>
      </c>
      <c r="P13" s="34" t="n">
        <f aca="false">06_CONSTRUCTION!P14*(18_DEBT!P27+18_DEBT!P34)</f>
        <v>45.5113750873676</v>
      </c>
      <c r="Q13" s="34" t="n">
        <f aca="false">06_CONSTRUCTION!Q14*(18_DEBT!Q27+18_DEBT!Q34)</f>
        <v>43.5616104171202</v>
      </c>
      <c r="R13" s="34" t="n">
        <f aca="false">06_CONSTRUCTION!R14*(18_DEBT!R27+18_DEBT!R34)</f>
        <v>41.4022636739189</v>
      </c>
      <c r="S13" s="34" t="n">
        <f aca="false">06_CONSTRUCTION!S14*(18_DEBT!S27+18_DEBT!S34)</f>
        <v>39.0153436419252</v>
      </c>
      <c r="T13" s="34" t="n">
        <f aca="false">06_CONSTRUCTION!T14*(18_DEBT!T27+18_DEBT!T34)</f>
        <v>36.3813953150337</v>
      </c>
      <c r="U13" s="34" t="n">
        <f aca="false">06_CONSTRUCTION!U14*(18_DEBT!U27+18_DEBT!U34)</f>
        <v>33.4793823037905</v>
      </c>
      <c r="V13" s="34" t="n">
        <f aca="false">06_CONSTRUCTION!V14*(18_DEBT!V27+18_DEBT!V34)</f>
        <v>30.2865598250682</v>
      </c>
      <c r="W13" s="34" t="n">
        <f aca="false">06_CONSTRUCTION!W14*(18_DEBT!W27+18_DEBT!W34)</f>
        <v>26.7783375209214</v>
      </c>
      <c r="X13" s="34" t="n">
        <f aca="false">06_CONSTRUCTION!X14*(18_DEBT!X27+18_DEBT!X34)</f>
        <v>22.9281312927584</v>
      </c>
      <c r="Y13" s="34" t="n">
        <f aca="false">06_CONSTRUCTION!Y14*(18_DEBT!Y27+18_DEBT!Y34)</f>
        <v>18.7072032718488</v>
      </c>
      <c r="Z13" s="34" t="n">
        <f aca="false">06_CONSTRUCTION!Z14*(18_DEBT!Z27+18_DEBT!Z34)</f>
        <v>14.0844889768678</v>
      </c>
      <c r="AA13" s="34" t="n">
        <f aca="false">06_CONSTRUCTION!AA14*(18_DEBT!AA27+18_DEBT!AA34)</f>
        <v>9.02641063322625</v>
      </c>
      <c r="AB13" s="34" t="n">
        <f aca="false">06_CONSTRUCTION!AB14*(18_DEBT!AB27+18_DEBT!AB34)</f>
        <v>3.49667554691492</v>
      </c>
      <c r="AC13" s="34" t="n">
        <f aca="false">06_CONSTRUCTION!AC14*(18_DEBT!AC27+18_DEBT!AC34)</f>
        <v>2.99715046878422</v>
      </c>
      <c r="AD13" s="34" t="n">
        <f aca="false">06_CONSTRUCTION!AD14*(18_DEBT!AD27+18_DEBT!AD34)</f>
        <v>2.49762539065352</v>
      </c>
      <c r="AE13" s="34" t="n">
        <f aca="false">06_CONSTRUCTION!AE14*(18_DEBT!AE27+18_DEBT!AE34)</f>
        <v>1.99810031252281</v>
      </c>
      <c r="AF13" s="34" t="n">
        <f aca="false">06_CONSTRUCTION!AF14*(18_DEBT!AF27+18_DEBT!AF34)</f>
        <v>1.49857523439211</v>
      </c>
      <c r="AG13" s="34" t="n">
        <f aca="false">06_CONSTRUCTION!AG14*(18_DEBT!AG27+18_DEBT!AG34)</f>
        <v>0.999050156261407</v>
      </c>
      <c r="AH13" s="34" t="n">
        <f aca="false">06_CONSTRUCTION!AH14*(18_DEBT!AH27+18_DEBT!AH34)</f>
        <v>0.499525078130704</v>
      </c>
      <c r="AI13" s="34" t="n">
        <f aca="false">06_CONSTRUCTION!AI14*(18_DEBT!AI27+18_DEBT!AI34)</f>
        <v>0</v>
      </c>
      <c r="AJ13" s="34" t="n">
        <f aca="false">06_CONSTRUCTION!AJ14*(18_DEBT!AJ27+18_DEBT!AJ34)</f>
        <v>0</v>
      </c>
      <c r="AK13" s="34" t="n">
        <f aca="false">06_CONSTRUCTION!AK14*(18_DEBT!AK27+18_DEBT!AK34)</f>
        <v>0</v>
      </c>
      <c r="AL13" s="34" t="n">
        <f aca="false">06_CONSTRUCTION!AL14*(18_DEBT!AL27+18_DEBT!AL34)</f>
        <v>0</v>
      </c>
      <c r="AM13" s="34" t="n">
        <f aca="false">06_CONSTRUCTION!AM14*(18_DEBT!AM27+18_DEBT!AM34)</f>
        <v>0</v>
      </c>
      <c r="AN13" s="34" t="n">
        <f aca="false">06_CONSTRUCTION!AN14*(18_DEBT!AN27+18_DEBT!AN34)</f>
        <v>0</v>
      </c>
      <c r="AO13" s="34" t="n">
        <f aca="false">06_CONSTRUCTION!AO14*(18_DEBT!AO27+18_DEBT!AO34)</f>
        <v>0</v>
      </c>
      <c r="AP13" s="34" t="n">
        <f aca="false">06_CONSTRUCTION!AP14*(18_DEBT!AP27+18_DEBT!AP34)</f>
        <v>0</v>
      </c>
      <c r="AQ13" s="34" t="n">
        <f aca="false">06_CONSTRUCTION!AQ14*(18_DEBT!AQ27+18_DEBT!AQ34)</f>
        <v>0</v>
      </c>
      <c r="AR13" s="34" t="n">
        <f aca="false">06_CONSTRUCTION!AR14*(18_DEBT!AR27+18_DEBT!AR34)</f>
        <v>0</v>
      </c>
    </row>
    <row r="14" customFormat="false" ht="15" hidden="false" customHeight="false" outlineLevel="0" collapsed="false">
      <c r="A14" s="8" t="s">
        <v>797</v>
      </c>
      <c r="B14" s="8" t="s">
        <v>84</v>
      </c>
      <c r="E14" s="34" t="n">
        <f aca="false">21_TAX!E12-21_TAX!E10-21_TAX!E13</f>
        <v>0</v>
      </c>
      <c r="F14" s="34" t="n">
        <f aca="false">21_TAX!F12-21_TAX!F10-21_TAX!F13</f>
        <v>0</v>
      </c>
      <c r="G14" s="34" t="n">
        <f aca="false">21_TAX!G12-21_TAX!G10-21_TAX!G13</f>
        <v>0</v>
      </c>
      <c r="H14" s="34" t="n">
        <f aca="false">21_TAX!H12-21_TAX!H10-21_TAX!H13</f>
        <v>0</v>
      </c>
      <c r="I14" s="34" t="n">
        <f aca="false">21_TAX!I12-21_TAX!I10-21_TAX!I13</f>
        <v>0</v>
      </c>
      <c r="J14" s="34" t="n">
        <f aca="false">21_TAX!J12-21_TAX!J10-21_TAX!J13</f>
        <v>-0.375923909757567</v>
      </c>
      <c r="K14" s="34" t="n">
        <f aca="false">21_TAX!K12-21_TAX!K10-21_TAX!K13</f>
        <v>28.3549345307251</v>
      </c>
      <c r="L14" s="34" t="n">
        <f aca="false">21_TAX!L12-21_TAX!L10-21_TAX!L13</f>
        <v>32.576863015213</v>
      </c>
      <c r="M14" s="34" t="n">
        <f aca="false">21_TAX!M12-21_TAX!M10-21_TAX!M13</f>
        <v>37.1123462194296</v>
      </c>
      <c r="N14" s="34" t="n">
        <f aca="false">21_TAX!N12-21_TAX!N10-21_TAX!N13</f>
        <v>41.9859845297725</v>
      </c>
      <c r="O14" s="34" t="n">
        <f aca="false">21_TAX!O12-21_TAX!O10-21_TAX!O13</f>
        <v>47.2243366837277</v>
      </c>
      <c r="P14" s="34" t="n">
        <f aca="false">21_TAX!P12-21_TAX!P10-21_TAX!P13</f>
        <v>50.8470586637622</v>
      </c>
      <c r="Q14" s="34" t="n">
        <f aca="false">21_TAX!Q12-21_TAX!Q10-21_TAX!Q13</f>
        <v>54.7000444792619</v>
      </c>
      <c r="R14" s="34" t="n">
        <f aca="false">21_TAX!R12-21_TAX!R10-21_TAX!R13</f>
        <v>58.8006767906208</v>
      </c>
      <c r="S14" s="34" t="n">
        <f aca="false">21_TAX!S12-21_TAX!S10-21_TAX!S13</f>
        <v>63.1677081021351</v>
      </c>
      <c r="T14" s="34" t="n">
        <f aca="false">21_TAX!T12-21_TAX!T10-21_TAX!T13</f>
        <v>67.8213699341376</v>
      </c>
      <c r="U14" s="34" t="n">
        <f aca="false">21_TAX!U12-21_TAX!U10-21_TAX!U13</f>
        <v>72.783490720594</v>
      </c>
      <c r="V14" s="34" t="n">
        <f aca="false">21_TAX!V12-21_TAX!V10-21_TAX!V13</f>
        <v>78.0776231300338</v>
      </c>
      <c r="W14" s="34" t="n">
        <f aca="false">21_TAX!W12-21_TAX!W10-21_TAX!W13</f>
        <v>83.7291815635124</v>
      </c>
      <c r="X14" s="34" t="n">
        <f aca="false">21_TAX!X12-21_TAX!X10-21_TAX!X13</f>
        <v>89.7655906435939</v>
      </c>
      <c r="Y14" s="34" t="n">
        <f aca="false">21_TAX!Y12-21_TAX!Y10-21_TAX!Y13</f>
        <v>96.2164455734603</v>
      </c>
      <c r="Z14" s="34" t="n">
        <f aca="false">21_TAX!Z12-21_TAX!Z10-21_TAX!Z13</f>
        <v>103.113685315577</v>
      </c>
      <c r="AA14" s="34" t="n">
        <f aca="false">21_TAX!AA12-21_TAX!AA10-21_TAX!AA13</f>
        <v>110.491779615297</v>
      </c>
      <c r="AB14" s="34" t="n">
        <f aca="false">21_TAX!AB12-21_TAX!AB10-21_TAX!AB13</f>
        <v>118.387930976809</v>
      </c>
      <c r="AC14" s="34" t="n">
        <f aca="false">21_TAX!AC12-21_TAX!AC10-21_TAX!AC13</f>
        <v>121.301200655644</v>
      </c>
      <c r="AD14" s="34" t="n">
        <f aca="false">21_TAX!AD12-21_TAX!AD10-21_TAX!AD13</f>
        <v>185.465368737983</v>
      </c>
      <c r="AE14" s="34" t="n">
        <f aca="false">21_TAX!AE12-21_TAX!AE10-21_TAX!AE13</f>
        <v>188.476153698686</v>
      </c>
      <c r="AF14" s="34" t="n">
        <f aca="false">21_TAX!AF12-21_TAX!AF10-21_TAX!AF13</f>
        <v>191.537163857041</v>
      </c>
      <c r="AG14" s="34" t="n">
        <f aca="false">21_TAX!AG12-21_TAX!AG10-21_TAX!AG13</f>
        <v>194.649403717001</v>
      </c>
      <c r="AH14" s="34" t="n">
        <f aca="false">21_TAX!AH12-21_TAX!AH10-21_TAX!AH13</f>
        <v>197.813897872596</v>
      </c>
      <c r="AI14" s="34" t="n">
        <f aca="false">21_TAX!AI12-21_TAX!AI10-21_TAX!AI13</f>
        <v>201.031691409742</v>
      </c>
      <c r="AJ14" s="34" t="n">
        <f aca="false">21_TAX!AJ12-21_TAX!AJ10-21_TAX!AJ13</f>
        <v>203.804325237936</v>
      </c>
      <c r="AK14" s="34" t="n">
        <f aca="false">21_TAX!AK12-21_TAX!AK10-21_TAX!AK13</f>
        <v>206.632411742695</v>
      </c>
      <c r="AL14" s="34" t="n">
        <f aca="false">21_TAX!AL12-21_TAX!AL10-21_TAX!AL13</f>
        <v>209.517059977549</v>
      </c>
      <c r="AM14" s="34" t="n">
        <f aca="false">21_TAX!AM12-21_TAX!AM10-21_TAX!AM13</f>
        <v>212.4594011771</v>
      </c>
      <c r="AN14" s="34" t="n">
        <f aca="false">21_TAX!AN12-21_TAX!AN10-21_TAX!AN13</f>
        <v>0</v>
      </c>
      <c r="AO14" s="34" t="n">
        <f aca="false">21_TAX!AO12-21_TAX!AO10-21_TAX!AO13</f>
        <v>0</v>
      </c>
      <c r="AP14" s="34" t="n">
        <f aca="false">21_TAX!AP12-21_TAX!AP10-21_TAX!AP13</f>
        <v>0</v>
      </c>
      <c r="AQ14" s="34" t="n">
        <f aca="false">21_TAX!AQ12-21_TAX!AQ10-21_TAX!AQ13</f>
        <v>0</v>
      </c>
      <c r="AR14" s="34" t="n">
        <f aca="false">21_TAX!AR12-21_TAX!AR10-21_TAX!AR13</f>
        <v>0</v>
      </c>
    </row>
    <row r="15" customFormat="false" ht="15" hidden="false" customHeight="false" outlineLevel="0" collapsed="false">
      <c r="A15" s="8" t="s">
        <v>798</v>
      </c>
      <c r="B15" s="8" t="s">
        <v>84</v>
      </c>
      <c r="E15" s="34" t="n">
        <f aca="false">21_TAX!D17</f>
        <v>0</v>
      </c>
      <c r="F15" s="34" t="n">
        <f aca="false">21_TAX!E17</f>
        <v>0</v>
      </c>
      <c r="G15" s="34" t="n">
        <f aca="false">21_TAX!F17</f>
        <v>0</v>
      </c>
      <c r="H15" s="34" t="n">
        <f aca="false">21_TAX!G17</f>
        <v>0</v>
      </c>
      <c r="I15" s="34" t="n">
        <f aca="false">21_TAX!H17</f>
        <v>0</v>
      </c>
      <c r="J15" s="34" t="n">
        <f aca="false">21_TAX!I17</f>
        <v>0</v>
      </c>
      <c r="K15" s="34" t="n">
        <f aca="false">21_TAX!J17</f>
        <v>0.375923909757567</v>
      </c>
      <c r="L15" s="34" t="n">
        <f aca="false">21_TAX!K17</f>
        <v>0.375923909757567</v>
      </c>
      <c r="M15" s="34" t="n">
        <f aca="false">21_TAX!L17</f>
        <v>0.375923909757567</v>
      </c>
      <c r="N15" s="34" t="n">
        <f aca="false">21_TAX!M17</f>
        <v>0.375923909757567</v>
      </c>
      <c r="O15" s="34" t="n">
        <f aca="false">21_TAX!N17</f>
        <v>0.375923909757567</v>
      </c>
      <c r="P15" s="34" t="n">
        <f aca="false">21_TAX!O17</f>
        <v>0</v>
      </c>
      <c r="Q15" s="34" t="n">
        <f aca="false">21_TAX!P17</f>
        <v>0</v>
      </c>
      <c r="R15" s="34" t="n">
        <f aca="false">21_TAX!Q17</f>
        <v>0</v>
      </c>
      <c r="S15" s="34" t="n">
        <f aca="false">21_TAX!R17</f>
        <v>0</v>
      </c>
      <c r="T15" s="34" t="n">
        <f aca="false">21_TAX!S17</f>
        <v>0</v>
      </c>
      <c r="U15" s="34" t="n">
        <f aca="false">21_TAX!T17</f>
        <v>0</v>
      </c>
      <c r="V15" s="34" t="n">
        <f aca="false">21_TAX!U17</f>
        <v>0</v>
      </c>
      <c r="W15" s="34" t="n">
        <f aca="false">21_TAX!V17</f>
        <v>0</v>
      </c>
      <c r="X15" s="34" t="n">
        <f aca="false">21_TAX!W17</f>
        <v>0</v>
      </c>
      <c r="Y15" s="34" t="n">
        <f aca="false">21_TAX!X17</f>
        <v>0</v>
      </c>
      <c r="Z15" s="34" t="n">
        <f aca="false">21_TAX!Y17</f>
        <v>0</v>
      </c>
      <c r="AA15" s="34" t="n">
        <f aca="false">21_TAX!Z17</f>
        <v>0</v>
      </c>
      <c r="AB15" s="34" t="n">
        <f aca="false">21_TAX!AA17</f>
        <v>0</v>
      </c>
      <c r="AC15" s="34" t="n">
        <f aca="false">21_TAX!AB17</f>
        <v>0</v>
      </c>
      <c r="AD15" s="34" t="n">
        <f aca="false">21_TAX!AC17</f>
        <v>0</v>
      </c>
      <c r="AE15" s="34" t="n">
        <f aca="false">21_TAX!AD17</f>
        <v>0</v>
      </c>
      <c r="AF15" s="34" t="n">
        <f aca="false">21_TAX!AE17</f>
        <v>0</v>
      </c>
      <c r="AG15" s="34" t="n">
        <f aca="false">21_TAX!AF17</f>
        <v>0</v>
      </c>
      <c r="AH15" s="34" t="n">
        <f aca="false">21_TAX!AG17</f>
        <v>0</v>
      </c>
      <c r="AI15" s="34" t="n">
        <f aca="false">21_TAX!AH17</f>
        <v>0</v>
      </c>
      <c r="AJ15" s="34" t="n">
        <f aca="false">21_TAX!AI17</f>
        <v>0</v>
      </c>
      <c r="AK15" s="34" t="n">
        <f aca="false">21_TAX!AJ17</f>
        <v>0</v>
      </c>
      <c r="AL15" s="34" t="n">
        <f aca="false">21_TAX!AK17</f>
        <v>0</v>
      </c>
      <c r="AM15" s="34" t="n">
        <f aca="false">21_TAX!AL17</f>
        <v>0</v>
      </c>
      <c r="AN15" s="34" t="n">
        <f aca="false">21_TAX!AM17</f>
        <v>0</v>
      </c>
      <c r="AO15" s="34" t="n">
        <f aca="false">21_TAX!AN17</f>
        <v>0</v>
      </c>
      <c r="AP15" s="34" t="n">
        <f aca="false">21_TAX!AO17</f>
        <v>0</v>
      </c>
      <c r="AQ15" s="34" t="n">
        <f aca="false">21_TAX!AP17</f>
        <v>0</v>
      </c>
      <c r="AR15" s="34" t="n">
        <f aca="false">21_TAX!AQ17</f>
        <v>0</v>
      </c>
    </row>
    <row r="16" customFormat="false" ht="15" hidden="false" customHeight="false" outlineLevel="0" collapsed="false">
      <c r="A16" s="8" t="s">
        <v>799</v>
      </c>
      <c r="B16" s="8" t="s">
        <v>84</v>
      </c>
      <c r="E16" s="34" t="n">
        <f aca="false">IF(AND(21_TAX!E14&gt;0,06_CONSTRUCTION!E5&gt;21_TAX!$C$7),MIN(21_TAX!E14,21_TAX!E15),0)</f>
        <v>0</v>
      </c>
      <c r="F16" s="34" t="n">
        <f aca="false">IF(AND(21_TAX!F14&gt;0,06_CONSTRUCTION!F5&gt;21_TAX!$C$7),MIN(21_TAX!F14,21_TAX!F15),0)</f>
        <v>0</v>
      </c>
      <c r="G16" s="34" t="n">
        <f aca="false">IF(AND(21_TAX!G14&gt;0,06_CONSTRUCTION!G5&gt;21_TAX!$C$7),MIN(21_TAX!G14,21_TAX!G15),0)</f>
        <v>0</v>
      </c>
      <c r="H16" s="34" t="n">
        <f aca="false">IF(AND(21_TAX!H14&gt;0,06_CONSTRUCTION!H5&gt;21_TAX!$C$7),MIN(21_TAX!H14,21_TAX!H15),0)</f>
        <v>0</v>
      </c>
      <c r="I16" s="34" t="n">
        <f aca="false">IF(AND(21_TAX!I14&gt;0,06_CONSTRUCTION!I5&gt;21_TAX!$C$7),MIN(21_TAX!I14,21_TAX!I15),0)</f>
        <v>0</v>
      </c>
      <c r="J16" s="34" t="n">
        <f aca="false">IF(AND(21_TAX!J14&gt;0,06_CONSTRUCTION!J5&gt;21_TAX!$C$7),MIN(21_TAX!J14,21_TAX!J15),0)</f>
        <v>0</v>
      </c>
      <c r="K16" s="34" t="n">
        <f aca="false">IF(AND(21_TAX!K14&gt;0,06_CONSTRUCTION!K5&gt;21_TAX!$C$7),MIN(21_TAX!K14,21_TAX!K15),0)</f>
        <v>0</v>
      </c>
      <c r="L16" s="34" t="n">
        <f aca="false">IF(AND(21_TAX!L14&gt;0,06_CONSTRUCTION!L5&gt;21_TAX!$C$7),MIN(21_TAX!L14,21_TAX!L15),0)</f>
        <v>0</v>
      </c>
      <c r="M16" s="34" t="n">
        <f aca="false">IF(AND(21_TAX!M14&gt;0,06_CONSTRUCTION!M5&gt;21_TAX!$C$7),MIN(21_TAX!M14,21_TAX!M15),0)</f>
        <v>0</v>
      </c>
      <c r="N16" s="34" t="n">
        <f aca="false">IF(AND(21_TAX!N14&gt;0,06_CONSTRUCTION!N5&gt;21_TAX!$C$7),MIN(21_TAX!N14,21_TAX!N15),0)</f>
        <v>0</v>
      </c>
      <c r="O16" s="34" t="n">
        <f aca="false">IF(AND(21_TAX!O14&gt;0,06_CONSTRUCTION!O5&gt;21_TAX!$C$7),MIN(21_TAX!O14,21_TAX!O15),0)</f>
        <v>0.375923909757567</v>
      </c>
      <c r="P16" s="34" t="n">
        <f aca="false">IF(AND(21_TAX!P14&gt;0,06_CONSTRUCTION!P5&gt;21_TAX!$C$7),MIN(21_TAX!P14,21_TAX!P15),0)</f>
        <v>0</v>
      </c>
      <c r="Q16" s="34" t="n">
        <f aca="false">IF(AND(21_TAX!Q14&gt;0,06_CONSTRUCTION!Q5&gt;21_TAX!$C$7),MIN(21_TAX!Q14,21_TAX!Q15),0)</f>
        <v>0</v>
      </c>
      <c r="R16" s="34" t="n">
        <f aca="false">IF(AND(21_TAX!R14&gt;0,06_CONSTRUCTION!R5&gt;21_TAX!$C$7),MIN(21_TAX!R14,21_TAX!R15),0)</f>
        <v>0</v>
      </c>
      <c r="S16" s="34" t="n">
        <f aca="false">IF(AND(21_TAX!S14&gt;0,06_CONSTRUCTION!S5&gt;21_TAX!$C$7),MIN(21_TAX!S14,21_TAX!S15),0)</f>
        <v>0</v>
      </c>
      <c r="T16" s="34" t="n">
        <f aca="false">IF(AND(21_TAX!T14&gt;0,06_CONSTRUCTION!T5&gt;21_TAX!$C$7),MIN(21_TAX!T14,21_TAX!T15),0)</f>
        <v>0</v>
      </c>
      <c r="U16" s="34" t="n">
        <f aca="false">IF(AND(21_TAX!U14&gt;0,06_CONSTRUCTION!U5&gt;21_TAX!$C$7),MIN(21_TAX!U14,21_TAX!U15),0)</f>
        <v>0</v>
      </c>
      <c r="V16" s="34" t="n">
        <f aca="false">IF(AND(21_TAX!V14&gt;0,06_CONSTRUCTION!V5&gt;21_TAX!$C$7),MIN(21_TAX!V14,21_TAX!V15),0)</f>
        <v>0</v>
      </c>
      <c r="W16" s="34" t="n">
        <f aca="false">IF(AND(21_TAX!W14&gt;0,06_CONSTRUCTION!W5&gt;21_TAX!$C$7),MIN(21_TAX!W14,21_TAX!W15),0)</f>
        <v>0</v>
      </c>
      <c r="X16" s="34" t="n">
        <f aca="false">IF(AND(21_TAX!X14&gt;0,06_CONSTRUCTION!X5&gt;21_TAX!$C$7),MIN(21_TAX!X14,21_TAX!X15),0)</f>
        <v>0</v>
      </c>
      <c r="Y16" s="34" t="n">
        <f aca="false">IF(AND(21_TAX!Y14&gt;0,06_CONSTRUCTION!Y5&gt;21_TAX!$C$7),MIN(21_TAX!Y14,21_TAX!Y15),0)</f>
        <v>0</v>
      </c>
      <c r="Z16" s="34" t="n">
        <f aca="false">IF(AND(21_TAX!Z14&gt;0,06_CONSTRUCTION!Z5&gt;21_TAX!$C$7),MIN(21_TAX!Z14,21_TAX!Z15),0)</f>
        <v>0</v>
      </c>
      <c r="AA16" s="34" t="n">
        <f aca="false">IF(AND(21_TAX!AA14&gt;0,06_CONSTRUCTION!AA5&gt;21_TAX!$C$7),MIN(21_TAX!AA14,21_TAX!AA15),0)</f>
        <v>0</v>
      </c>
      <c r="AB16" s="34" t="n">
        <f aca="false">IF(AND(21_TAX!AB14&gt;0,06_CONSTRUCTION!AB5&gt;21_TAX!$C$7),MIN(21_TAX!AB14,21_TAX!AB15),0)</f>
        <v>0</v>
      </c>
      <c r="AC16" s="34" t="n">
        <f aca="false">IF(AND(21_TAX!AC14&gt;0,06_CONSTRUCTION!AC5&gt;21_TAX!$C$7),MIN(21_TAX!AC14,21_TAX!AC15),0)</f>
        <v>0</v>
      </c>
      <c r="AD16" s="34" t="n">
        <f aca="false">IF(AND(21_TAX!AD14&gt;0,06_CONSTRUCTION!AD5&gt;21_TAX!$C$7),MIN(21_TAX!AD14,21_TAX!AD15),0)</f>
        <v>0</v>
      </c>
      <c r="AE16" s="34" t="n">
        <f aca="false">IF(AND(21_TAX!AE14&gt;0,06_CONSTRUCTION!AE5&gt;21_TAX!$C$7),MIN(21_TAX!AE14,21_TAX!AE15),0)</f>
        <v>0</v>
      </c>
      <c r="AF16" s="34" t="n">
        <f aca="false">IF(AND(21_TAX!AF14&gt;0,06_CONSTRUCTION!AF5&gt;21_TAX!$C$7),MIN(21_TAX!AF14,21_TAX!AF15),0)</f>
        <v>0</v>
      </c>
      <c r="AG16" s="34" t="n">
        <f aca="false">IF(AND(21_TAX!AG14&gt;0,06_CONSTRUCTION!AG5&gt;21_TAX!$C$7),MIN(21_TAX!AG14,21_TAX!AG15),0)</f>
        <v>0</v>
      </c>
      <c r="AH16" s="34" t="n">
        <f aca="false">IF(AND(21_TAX!AH14&gt;0,06_CONSTRUCTION!AH5&gt;21_TAX!$C$7),MIN(21_TAX!AH14,21_TAX!AH15),0)</f>
        <v>0</v>
      </c>
      <c r="AI16" s="34" t="n">
        <f aca="false">IF(AND(21_TAX!AI14&gt;0,06_CONSTRUCTION!AI5&gt;21_TAX!$C$7),MIN(21_TAX!AI14,21_TAX!AI15),0)</f>
        <v>0</v>
      </c>
      <c r="AJ16" s="34" t="n">
        <f aca="false">IF(AND(21_TAX!AJ14&gt;0,06_CONSTRUCTION!AJ5&gt;21_TAX!$C$7),MIN(21_TAX!AJ14,21_TAX!AJ15),0)</f>
        <v>0</v>
      </c>
      <c r="AK16" s="34" t="n">
        <f aca="false">IF(AND(21_TAX!AK14&gt;0,06_CONSTRUCTION!AK5&gt;21_TAX!$C$7),MIN(21_TAX!AK14,21_TAX!AK15),0)</f>
        <v>0</v>
      </c>
      <c r="AL16" s="34" t="n">
        <f aca="false">IF(AND(21_TAX!AL14&gt;0,06_CONSTRUCTION!AL5&gt;21_TAX!$C$7),MIN(21_TAX!AL14,21_TAX!AL15),0)</f>
        <v>0</v>
      </c>
      <c r="AM16" s="34" t="n">
        <f aca="false">IF(AND(21_TAX!AM14&gt;0,06_CONSTRUCTION!AM5&gt;21_TAX!$C$7),MIN(21_TAX!AM14,21_TAX!AM15),0)</f>
        <v>0</v>
      </c>
      <c r="AN16" s="34" t="n">
        <f aca="false">IF(AND(21_TAX!AN14&gt;0,06_CONSTRUCTION!AN5&gt;21_TAX!$C$7),MIN(21_TAX!AN14,21_TAX!AN15),0)</f>
        <v>0</v>
      </c>
      <c r="AO16" s="34" t="n">
        <f aca="false">IF(AND(21_TAX!AO14&gt;0,06_CONSTRUCTION!AO5&gt;21_TAX!$C$7),MIN(21_TAX!AO14,21_TAX!AO15),0)</f>
        <v>0</v>
      </c>
      <c r="AP16" s="34" t="n">
        <f aca="false">IF(AND(21_TAX!AP14&gt;0,06_CONSTRUCTION!AP5&gt;21_TAX!$C$7),MIN(21_TAX!AP14,21_TAX!AP15),0)</f>
        <v>0</v>
      </c>
      <c r="AQ16" s="34" t="n">
        <f aca="false">IF(AND(21_TAX!AQ14&gt;0,06_CONSTRUCTION!AQ5&gt;21_TAX!$C$7),MIN(21_TAX!AQ14,21_TAX!AQ15),0)</f>
        <v>0</v>
      </c>
      <c r="AR16" s="34" t="n">
        <f aca="false">IF(AND(21_TAX!AR14&gt;0,06_CONSTRUCTION!AR5&gt;21_TAX!$C$7),MIN(21_TAX!AR14,21_TAX!AR15),0)</f>
        <v>0</v>
      </c>
    </row>
    <row r="17" customFormat="false" ht="15" hidden="false" customHeight="false" outlineLevel="0" collapsed="false">
      <c r="A17" s="8" t="s">
        <v>800</v>
      </c>
      <c r="B17" s="8" t="s">
        <v>84</v>
      </c>
      <c r="E17" s="34" t="n">
        <f aca="false">21_TAX!E15-21_TAX!E16+MAX(0,-21_TAX!E14)</f>
        <v>0</v>
      </c>
      <c r="F17" s="34" t="n">
        <f aca="false">21_TAX!F15-21_TAX!F16+MAX(0,-21_TAX!F14)</f>
        <v>0</v>
      </c>
      <c r="G17" s="34" t="n">
        <f aca="false">21_TAX!G15-21_TAX!G16+MAX(0,-21_TAX!G14)</f>
        <v>0</v>
      </c>
      <c r="H17" s="34" t="n">
        <f aca="false">21_TAX!H15-21_TAX!H16+MAX(0,-21_TAX!H14)</f>
        <v>0</v>
      </c>
      <c r="I17" s="34" t="n">
        <f aca="false">21_TAX!I15-21_TAX!I16+MAX(0,-21_TAX!I14)</f>
        <v>0</v>
      </c>
      <c r="J17" s="34" t="n">
        <f aca="false">21_TAX!J15-21_TAX!J16+MAX(0,-21_TAX!J14)</f>
        <v>0.375923909757567</v>
      </c>
      <c r="K17" s="34" t="n">
        <f aca="false">21_TAX!K15-21_TAX!K16+MAX(0,-21_TAX!K14)</f>
        <v>0.375923909757567</v>
      </c>
      <c r="L17" s="34" t="n">
        <f aca="false">21_TAX!L15-21_TAX!L16+MAX(0,-21_TAX!L14)</f>
        <v>0.375923909757567</v>
      </c>
      <c r="M17" s="34" t="n">
        <f aca="false">21_TAX!M15-21_TAX!M16+MAX(0,-21_TAX!M14)</f>
        <v>0.375923909757567</v>
      </c>
      <c r="N17" s="34" t="n">
        <f aca="false">21_TAX!N15-21_TAX!N16+MAX(0,-21_TAX!N14)</f>
        <v>0.375923909757567</v>
      </c>
      <c r="O17" s="34" t="n">
        <f aca="false">21_TAX!O15-21_TAX!O16+MAX(0,-21_TAX!O14)</f>
        <v>0</v>
      </c>
      <c r="P17" s="34" t="n">
        <f aca="false">21_TAX!P15-21_TAX!P16+MAX(0,-21_TAX!P14)</f>
        <v>0</v>
      </c>
      <c r="Q17" s="34" t="n">
        <f aca="false">21_TAX!Q15-21_TAX!Q16+MAX(0,-21_TAX!Q14)</f>
        <v>0</v>
      </c>
      <c r="R17" s="34" t="n">
        <f aca="false">21_TAX!R15-21_TAX!R16+MAX(0,-21_TAX!R14)</f>
        <v>0</v>
      </c>
      <c r="S17" s="34" t="n">
        <f aca="false">21_TAX!S15-21_TAX!S16+MAX(0,-21_TAX!S14)</f>
        <v>0</v>
      </c>
      <c r="T17" s="34" t="n">
        <f aca="false">21_TAX!T15-21_TAX!T16+MAX(0,-21_TAX!T14)</f>
        <v>0</v>
      </c>
      <c r="U17" s="34" t="n">
        <f aca="false">21_TAX!U15-21_TAX!U16+MAX(0,-21_TAX!U14)</f>
        <v>0</v>
      </c>
      <c r="V17" s="34" t="n">
        <f aca="false">21_TAX!V15-21_TAX!V16+MAX(0,-21_TAX!V14)</f>
        <v>0</v>
      </c>
      <c r="W17" s="34" t="n">
        <f aca="false">21_TAX!W15-21_TAX!W16+MAX(0,-21_TAX!W14)</f>
        <v>0</v>
      </c>
      <c r="X17" s="34" t="n">
        <f aca="false">21_TAX!X15-21_TAX!X16+MAX(0,-21_TAX!X14)</f>
        <v>0</v>
      </c>
      <c r="Y17" s="34" t="n">
        <f aca="false">21_TAX!Y15-21_TAX!Y16+MAX(0,-21_TAX!Y14)</f>
        <v>0</v>
      </c>
      <c r="Z17" s="34" t="n">
        <f aca="false">21_TAX!Z15-21_TAX!Z16+MAX(0,-21_TAX!Z14)</f>
        <v>0</v>
      </c>
      <c r="AA17" s="34" t="n">
        <f aca="false">21_TAX!AA15-21_TAX!AA16+MAX(0,-21_TAX!AA14)</f>
        <v>0</v>
      </c>
      <c r="AB17" s="34" t="n">
        <f aca="false">21_TAX!AB15-21_TAX!AB16+MAX(0,-21_TAX!AB14)</f>
        <v>0</v>
      </c>
      <c r="AC17" s="34" t="n">
        <f aca="false">21_TAX!AC15-21_TAX!AC16+MAX(0,-21_TAX!AC14)</f>
        <v>0</v>
      </c>
      <c r="AD17" s="34" t="n">
        <f aca="false">21_TAX!AD15-21_TAX!AD16+MAX(0,-21_TAX!AD14)</f>
        <v>0</v>
      </c>
      <c r="AE17" s="34" t="n">
        <f aca="false">21_TAX!AE15-21_TAX!AE16+MAX(0,-21_TAX!AE14)</f>
        <v>0</v>
      </c>
      <c r="AF17" s="34" t="n">
        <f aca="false">21_TAX!AF15-21_TAX!AF16+MAX(0,-21_TAX!AF14)</f>
        <v>0</v>
      </c>
      <c r="AG17" s="34" t="n">
        <f aca="false">21_TAX!AG15-21_TAX!AG16+MAX(0,-21_TAX!AG14)</f>
        <v>0</v>
      </c>
      <c r="AH17" s="34" t="n">
        <f aca="false">21_TAX!AH15-21_TAX!AH16+MAX(0,-21_TAX!AH14)</f>
        <v>0</v>
      </c>
      <c r="AI17" s="34" t="n">
        <f aca="false">21_TAX!AI15-21_TAX!AI16+MAX(0,-21_TAX!AI14)</f>
        <v>0</v>
      </c>
      <c r="AJ17" s="34" t="n">
        <f aca="false">21_TAX!AJ15-21_TAX!AJ16+MAX(0,-21_TAX!AJ14)</f>
        <v>0</v>
      </c>
      <c r="AK17" s="34" t="n">
        <f aca="false">21_TAX!AK15-21_TAX!AK16+MAX(0,-21_TAX!AK14)</f>
        <v>0</v>
      </c>
      <c r="AL17" s="34" t="n">
        <f aca="false">21_TAX!AL15-21_TAX!AL16+MAX(0,-21_TAX!AL14)</f>
        <v>0</v>
      </c>
      <c r="AM17" s="34" t="n">
        <f aca="false">21_TAX!AM15-21_TAX!AM16+MAX(0,-21_TAX!AM14)</f>
        <v>0</v>
      </c>
      <c r="AN17" s="34" t="n">
        <f aca="false">21_TAX!AN15-21_TAX!AN16+MAX(0,-21_TAX!AN14)</f>
        <v>0</v>
      </c>
      <c r="AO17" s="34" t="n">
        <f aca="false">21_TAX!AO15-21_TAX!AO16+MAX(0,-21_TAX!AO14)</f>
        <v>0</v>
      </c>
      <c r="AP17" s="34" t="n">
        <f aca="false">21_TAX!AP15-21_TAX!AP16+MAX(0,-21_TAX!AP14)</f>
        <v>0</v>
      </c>
      <c r="AQ17" s="34" t="n">
        <f aca="false">21_TAX!AQ15-21_TAX!AQ16+MAX(0,-21_TAX!AQ14)</f>
        <v>0</v>
      </c>
      <c r="AR17" s="34" t="n">
        <f aca="false">21_TAX!AR15-21_TAX!AR16+MAX(0,-21_TAX!AR14)</f>
        <v>0</v>
      </c>
    </row>
    <row r="18" customFormat="false" ht="15" hidden="false" customHeight="false" outlineLevel="0" collapsed="false">
      <c r="A18" s="4" t="s">
        <v>801</v>
      </c>
      <c r="B18" s="8" t="s">
        <v>84</v>
      </c>
      <c r="C18" s="34" t="n">
        <f aca="false">SUM(21_TAX!$E$18:$AR$18)</f>
        <v>962.231722910022</v>
      </c>
      <c r="E18" s="50" t="n">
        <f aca="false">IF(06_CONSTRUCTION!E5&gt;21_TAX!$C$7,21_TAX!$C$6*MAX(0,21_TAX!E14-21_TAX!E16),0)</f>
        <v>0</v>
      </c>
      <c r="F18" s="50" t="n">
        <f aca="false">IF(06_CONSTRUCTION!F5&gt;21_TAX!$C$7,21_TAX!$C$6*MAX(0,21_TAX!F14-21_TAX!F16),0)</f>
        <v>0</v>
      </c>
      <c r="G18" s="50" t="n">
        <f aca="false">IF(06_CONSTRUCTION!G5&gt;21_TAX!$C$7,21_TAX!$C$6*MAX(0,21_TAX!G14-21_TAX!G16),0)</f>
        <v>0</v>
      </c>
      <c r="H18" s="50" t="n">
        <f aca="false">IF(06_CONSTRUCTION!H5&gt;21_TAX!$C$7,21_TAX!$C$6*MAX(0,21_TAX!H14-21_TAX!H16),0)</f>
        <v>0</v>
      </c>
      <c r="I18" s="50" t="n">
        <f aca="false">IF(06_CONSTRUCTION!I5&gt;21_TAX!$C$7,21_TAX!$C$6*MAX(0,21_TAX!I14-21_TAX!I16),0)</f>
        <v>0</v>
      </c>
      <c r="J18" s="50" t="n">
        <f aca="false">IF(06_CONSTRUCTION!J5&gt;21_TAX!$C$7,21_TAX!$C$6*MAX(0,21_TAX!J14-21_TAX!J16),0)</f>
        <v>0</v>
      </c>
      <c r="K18" s="50" t="n">
        <f aca="false">IF(06_CONSTRUCTION!K5&gt;21_TAX!$C$7,21_TAX!$C$6*MAX(0,21_TAX!K14-21_TAX!K16),0)</f>
        <v>0</v>
      </c>
      <c r="L18" s="50" t="n">
        <f aca="false">IF(06_CONSTRUCTION!L5&gt;21_TAX!$C$7,21_TAX!$C$6*MAX(0,21_TAX!L14-21_TAX!L16),0)</f>
        <v>0</v>
      </c>
      <c r="M18" s="50" t="n">
        <f aca="false">IF(06_CONSTRUCTION!M5&gt;21_TAX!$C$7,21_TAX!$C$6*MAX(0,21_TAX!M14-21_TAX!M16),0)</f>
        <v>0</v>
      </c>
      <c r="N18" s="50" t="n">
        <f aca="false">IF(06_CONSTRUCTION!N5&gt;21_TAX!$C$7,21_TAX!$C$6*MAX(0,21_TAX!N14-21_TAX!N16),0)</f>
        <v>0</v>
      </c>
      <c r="O18" s="50" t="n">
        <f aca="false">IF(06_CONSTRUCTION!O5&gt;21_TAX!$C$7,21_TAX!$C$6*MAX(0,21_TAX!O14-21_TAX!O16),0)</f>
        <v>14.054523832191</v>
      </c>
      <c r="P18" s="50" t="n">
        <f aca="false">IF(06_CONSTRUCTION!P5&gt;21_TAX!$C$7,21_TAX!$C$6*MAX(0,21_TAX!P14-21_TAX!P16),0)</f>
        <v>15.2541175991287</v>
      </c>
      <c r="Q18" s="50" t="n">
        <f aca="false">IF(06_CONSTRUCTION!Q5&gt;21_TAX!$C$7,21_TAX!$C$6*MAX(0,21_TAX!Q14-21_TAX!Q16),0)</f>
        <v>16.4100133437786</v>
      </c>
      <c r="R18" s="50" t="n">
        <f aca="false">IF(06_CONSTRUCTION!R5&gt;21_TAX!$C$7,21_TAX!$C$6*MAX(0,21_TAX!R14-21_TAX!R16),0)</f>
        <v>17.6402030371862</v>
      </c>
      <c r="S18" s="50" t="n">
        <f aca="false">IF(06_CONSTRUCTION!S5&gt;21_TAX!$C$7,21_TAX!$C$6*MAX(0,21_TAX!S14-21_TAX!S16),0)</f>
        <v>18.9503124306405</v>
      </c>
      <c r="T18" s="50" t="n">
        <f aca="false">IF(06_CONSTRUCTION!T5&gt;21_TAX!$C$7,21_TAX!$C$6*MAX(0,21_TAX!T14-21_TAX!T16),0)</f>
        <v>20.3464109802413</v>
      </c>
      <c r="U18" s="50" t="n">
        <f aca="false">IF(06_CONSTRUCTION!U5&gt;21_TAX!$C$7,21_TAX!$C$6*MAX(0,21_TAX!U14-21_TAX!U16),0)</f>
        <v>21.8350472161782</v>
      </c>
      <c r="V18" s="50" t="n">
        <f aca="false">IF(06_CONSTRUCTION!V5&gt;21_TAX!$C$7,21_TAX!$C$6*MAX(0,21_TAX!V14-21_TAX!V16),0)</f>
        <v>23.4232869390101</v>
      </c>
      <c r="W18" s="50" t="n">
        <f aca="false">IF(06_CONSTRUCTION!W5&gt;21_TAX!$C$7,21_TAX!$C$6*MAX(0,21_TAX!W14-21_TAX!W16),0)</f>
        <v>25.1187544690537</v>
      </c>
      <c r="X18" s="50" t="n">
        <f aca="false">IF(06_CONSTRUCTION!X5&gt;21_TAX!$C$7,21_TAX!$C$6*MAX(0,21_TAX!X14-21_TAX!X16),0)</f>
        <v>26.9296771930782</v>
      </c>
      <c r="Y18" s="50" t="n">
        <f aca="false">IF(06_CONSTRUCTION!Y5&gt;21_TAX!$C$7,21_TAX!$C$6*MAX(0,21_TAX!Y14-21_TAX!Y16),0)</f>
        <v>28.8649336720381</v>
      </c>
      <c r="Z18" s="50" t="n">
        <f aca="false">IF(06_CONSTRUCTION!Z5&gt;21_TAX!$C$7,21_TAX!$C$6*MAX(0,21_TAX!Z14-21_TAX!Z16),0)</f>
        <v>30.9341055946732</v>
      </c>
      <c r="AA18" s="50" t="n">
        <f aca="false">IF(06_CONSTRUCTION!AA5&gt;21_TAX!$C$7,21_TAX!$C$6*MAX(0,21_TAX!AA14-21_TAX!AA16),0)</f>
        <v>33.1475338845892</v>
      </c>
      <c r="AB18" s="50" t="n">
        <f aca="false">IF(06_CONSTRUCTION!AB5&gt;21_TAX!$C$7,21_TAX!$C$6*MAX(0,21_TAX!AB14-21_TAX!AB16),0)</f>
        <v>35.5163792930427</v>
      </c>
      <c r="AC18" s="50" t="n">
        <f aca="false">IF(06_CONSTRUCTION!AC5&gt;21_TAX!$C$7,21_TAX!$C$6*MAX(0,21_TAX!AC14-21_TAX!AC16),0)</f>
        <v>36.3903601966932</v>
      </c>
      <c r="AD18" s="50" t="n">
        <f aca="false">IF(06_CONSTRUCTION!AD5&gt;21_TAX!$C$7,21_TAX!$C$6*MAX(0,21_TAX!AD14-21_TAX!AD16),0)</f>
        <v>55.6396106213948</v>
      </c>
      <c r="AE18" s="50" t="n">
        <f aca="false">IF(06_CONSTRUCTION!AE5&gt;21_TAX!$C$7,21_TAX!$C$6*MAX(0,21_TAX!AE14-21_TAX!AE16),0)</f>
        <v>56.5428461096059</v>
      </c>
      <c r="AF18" s="50" t="n">
        <f aca="false">IF(06_CONSTRUCTION!AF5&gt;21_TAX!$C$7,21_TAX!$C$6*MAX(0,21_TAX!AF14-21_TAX!AF16),0)</f>
        <v>57.4611491571123</v>
      </c>
      <c r="AG18" s="50" t="n">
        <f aca="false">IF(06_CONSTRUCTION!AG5&gt;21_TAX!$C$7,21_TAX!$C$6*MAX(0,21_TAX!AG14-21_TAX!AG16),0)</f>
        <v>58.3948211151002</v>
      </c>
      <c r="AH18" s="50" t="n">
        <f aca="false">IF(06_CONSTRUCTION!AH5&gt;21_TAX!$C$7,21_TAX!$C$6*MAX(0,21_TAX!AH14-21_TAX!AH16),0)</f>
        <v>59.3441693617789</v>
      </c>
      <c r="AI18" s="50" t="n">
        <f aca="false">IF(06_CONSTRUCTION!AI5&gt;21_TAX!$C$7,21_TAX!$C$6*MAX(0,21_TAX!AI14-21_TAX!AI16),0)</f>
        <v>60.3095074229225</v>
      </c>
      <c r="AJ18" s="50" t="n">
        <f aca="false">IF(06_CONSTRUCTION!AJ5&gt;21_TAX!$C$7,21_TAX!$C$6*MAX(0,21_TAX!AJ14-21_TAX!AJ16),0)</f>
        <v>61.1412975713809</v>
      </c>
      <c r="AK18" s="50" t="n">
        <f aca="false">IF(06_CONSTRUCTION!AK5&gt;21_TAX!$C$7,21_TAX!$C$6*MAX(0,21_TAX!AK14-21_TAX!AK16),0)</f>
        <v>61.9897235228086</v>
      </c>
      <c r="AL18" s="50" t="n">
        <f aca="false">IF(06_CONSTRUCTION!AL5&gt;21_TAX!$C$7,21_TAX!$C$6*MAX(0,21_TAX!AL14-21_TAX!AL16),0)</f>
        <v>62.8551179932648</v>
      </c>
      <c r="AM18" s="50" t="n">
        <f aca="false">IF(06_CONSTRUCTION!AM5&gt;21_TAX!$C$7,21_TAX!$C$6*MAX(0,21_TAX!AM14-21_TAX!AM16),0)</f>
        <v>63.73782035313</v>
      </c>
      <c r="AN18" s="50" t="n">
        <f aca="false">IF(06_CONSTRUCTION!AN5&gt;21_TAX!$C$7,21_TAX!$C$6*MAX(0,21_TAX!AN14-21_TAX!AN16),0)</f>
        <v>0</v>
      </c>
      <c r="AO18" s="50" t="n">
        <f aca="false">IF(06_CONSTRUCTION!AO5&gt;21_TAX!$C$7,21_TAX!$C$6*MAX(0,21_TAX!AO14-21_TAX!AO16),0)</f>
        <v>0</v>
      </c>
      <c r="AP18" s="50" t="n">
        <f aca="false">IF(06_CONSTRUCTION!AP5&gt;21_TAX!$C$7,21_TAX!$C$6*MAX(0,21_TAX!AP14-21_TAX!AP16),0)</f>
        <v>0</v>
      </c>
      <c r="AQ18" s="50" t="n">
        <f aca="false">IF(06_CONSTRUCTION!AQ5&gt;21_TAX!$C$7,21_TAX!$C$6*MAX(0,21_TAX!AQ14-21_TAX!AQ16),0)</f>
        <v>0</v>
      </c>
      <c r="AR18" s="50" t="n">
        <f aca="false">IF(06_CONSTRUCTION!AR5&gt;21_TAX!$C$7,21_TAX!$C$6*MAX(0,21_TAX!AR14-21_TAX!AR16),0)</f>
        <v>0</v>
      </c>
    </row>
    <row r="19" customFormat="false" ht="15" hidden="false" customHeight="false" outlineLevel="0" collapsed="false">
      <c r="A19" s="8" t="s">
        <v>802</v>
      </c>
      <c r="B19" s="8" t="s">
        <v>84</v>
      </c>
      <c r="C19" s="34" t="n">
        <f aca="false">SUM(21_TAX!$E$19:$AR$19)</f>
        <v>42.0090384885421</v>
      </c>
      <c r="E19" s="34" t="n">
        <f aca="false">IF(AND(06_CONSTRUCTION!E5&gt;=1,06_CONSTRUCTION!E5&lt;=21_TAX!$C$7),21_TAX!$C$6*MAX(0,21_TAX!E14-21_TAX!E16),0)</f>
        <v>0</v>
      </c>
      <c r="F19" s="34" t="n">
        <f aca="false">IF(AND(06_CONSTRUCTION!F5&gt;=1,06_CONSTRUCTION!F5&lt;=21_TAX!$C$7),21_TAX!$C$6*MAX(0,21_TAX!F14-21_TAX!F16),0)</f>
        <v>0</v>
      </c>
      <c r="G19" s="34" t="n">
        <f aca="false">IF(AND(06_CONSTRUCTION!G5&gt;=1,06_CONSTRUCTION!G5&lt;=21_TAX!$C$7),21_TAX!$C$6*MAX(0,21_TAX!G14-21_TAX!G16),0)</f>
        <v>0</v>
      </c>
      <c r="H19" s="34" t="n">
        <f aca="false">IF(AND(06_CONSTRUCTION!H5&gt;=1,06_CONSTRUCTION!H5&lt;=21_TAX!$C$7),21_TAX!$C$6*MAX(0,21_TAX!H14-21_TAX!H16),0)</f>
        <v>0</v>
      </c>
      <c r="I19" s="34" t="n">
        <f aca="false">IF(AND(06_CONSTRUCTION!I5&gt;=1,06_CONSTRUCTION!I5&lt;=21_TAX!$C$7),21_TAX!$C$6*MAX(0,21_TAX!I14-21_TAX!I16),0)</f>
        <v>0</v>
      </c>
      <c r="J19" s="34" t="n">
        <f aca="false">IF(AND(06_CONSTRUCTION!J5&gt;=1,06_CONSTRUCTION!J5&lt;=21_TAX!$C$7),21_TAX!$C$6*MAX(0,21_TAX!J14-21_TAX!J16),0)</f>
        <v>0</v>
      </c>
      <c r="K19" s="34" t="n">
        <f aca="false">IF(AND(06_CONSTRUCTION!K5&gt;=1,06_CONSTRUCTION!K5&lt;=21_TAX!$C$7),21_TAX!$C$6*MAX(0,21_TAX!K14-21_TAX!K16),0)</f>
        <v>8.50648035921754</v>
      </c>
      <c r="L19" s="34" t="n">
        <f aca="false">IF(AND(06_CONSTRUCTION!L5&gt;=1,06_CONSTRUCTION!L5&lt;=21_TAX!$C$7),21_TAX!$C$6*MAX(0,21_TAX!L14-21_TAX!L16),0)</f>
        <v>9.7730589045639</v>
      </c>
      <c r="M19" s="34" t="n">
        <f aca="false">IF(AND(06_CONSTRUCTION!M5&gt;=1,06_CONSTRUCTION!M5&lt;=21_TAX!$C$7),21_TAX!$C$6*MAX(0,21_TAX!M14-21_TAX!M16),0)</f>
        <v>11.1337038658289</v>
      </c>
      <c r="N19" s="34" t="n">
        <f aca="false">IF(AND(06_CONSTRUCTION!N5&gt;=1,06_CONSTRUCTION!N5&lt;=21_TAX!$C$7),21_TAX!$C$6*MAX(0,21_TAX!N14-21_TAX!N16),0)</f>
        <v>12.5957953589318</v>
      </c>
      <c r="O19" s="34" t="n">
        <f aca="false">IF(AND(06_CONSTRUCTION!O5&gt;=1,06_CONSTRUCTION!O5&lt;=21_TAX!$C$7),21_TAX!$C$6*MAX(0,21_TAX!O14-21_TAX!O16),0)</f>
        <v>0</v>
      </c>
      <c r="P19" s="34" t="n">
        <f aca="false">IF(AND(06_CONSTRUCTION!P5&gt;=1,06_CONSTRUCTION!P5&lt;=21_TAX!$C$7),21_TAX!$C$6*MAX(0,21_TAX!P14-21_TAX!P16),0)</f>
        <v>0</v>
      </c>
      <c r="Q19" s="34" t="n">
        <f aca="false">IF(AND(06_CONSTRUCTION!Q5&gt;=1,06_CONSTRUCTION!Q5&lt;=21_TAX!$C$7),21_TAX!$C$6*MAX(0,21_TAX!Q14-21_TAX!Q16),0)</f>
        <v>0</v>
      </c>
      <c r="R19" s="34" t="n">
        <f aca="false">IF(AND(06_CONSTRUCTION!R5&gt;=1,06_CONSTRUCTION!R5&lt;=21_TAX!$C$7),21_TAX!$C$6*MAX(0,21_TAX!R14-21_TAX!R16),0)</f>
        <v>0</v>
      </c>
      <c r="S19" s="34" t="n">
        <f aca="false">IF(AND(06_CONSTRUCTION!S5&gt;=1,06_CONSTRUCTION!S5&lt;=21_TAX!$C$7),21_TAX!$C$6*MAX(0,21_TAX!S14-21_TAX!S16),0)</f>
        <v>0</v>
      </c>
      <c r="T19" s="34" t="n">
        <f aca="false">IF(AND(06_CONSTRUCTION!T5&gt;=1,06_CONSTRUCTION!T5&lt;=21_TAX!$C$7),21_TAX!$C$6*MAX(0,21_TAX!T14-21_TAX!T16),0)</f>
        <v>0</v>
      </c>
      <c r="U19" s="34" t="n">
        <f aca="false">IF(AND(06_CONSTRUCTION!U5&gt;=1,06_CONSTRUCTION!U5&lt;=21_TAX!$C$7),21_TAX!$C$6*MAX(0,21_TAX!U14-21_TAX!U16),0)</f>
        <v>0</v>
      </c>
      <c r="V19" s="34" t="n">
        <f aca="false">IF(AND(06_CONSTRUCTION!V5&gt;=1,06_CONSTRUCTION!V5&lt;=21_TAX!$C$7),21_TAX!$C$6*MAX(0,21_TAX!V14-21_TAX!V16),0)</f>
        <v>0</v>
      </c>
      <c r="W19" s="34" t="n">
        <f aca="false">IF(AND(06_CONSTRUCTION!W5&gt;=1,06_CONSTRUCTION!W5&lt;=21_TAX!$C$7),21_TAX!$C$6*MAX(0,21_TAX!W14-21_TAX!W16),0)</f>
        <v>0</v>
      </c>
      <c r="X19" s="34" t="n">
        <f aca="false">IF(AND(06_CONSTRUCTION!X5&gt;=1,06_CONSTRUCTION!X5&lt;=21_TAX!$C$7),21_TAX!$C$6*MAX(0,21_TAX!X14-21_TAX!X16),0)</f>
        <v>0</v>
      </c>
      <c r="Y19" s="34" t="n">
        <f aca="false">IF(AND(06_CONSTRUCTION!Y5&gt;=1,06_CONSTRUCTION!Y5&lt;=21_TAX!$C$7),21_TAX!$C$6*MAX(0,21_TAX!Y14-21_TAX!Y16),0)</f>
        <v>0</v>
      </c>
      <c r="Z19" s="34" t="n">
        <f aca="false">IF(AND(06_CONSTRUCTION!Z5&gt;=1,06_CONSTRUCTION!Z5&lt;=21_TAX!$C$7),21_TAX!$C$6*MAX(0,21_TAX!Z14-21_TAX!Z16),0)</f>
        <v>0</v>
      </c>
      <c r="AA19" s="34" t="n">
        <f aca="false">IF(AND(06_CONSTRUCTION!AA5&gt;=1,06_CONSTRUCTION!AA5&lt;=21_TAX!$C$7),21_TAX!$C$6*MAX(0,21_TAX!AA14-21_TAX!AA16),0)</f>
        <v>0</v>
      </c>
      <c r="AB19" s="34" t="n">
        <f aca="false">IF(AND(06_CONSTRUCTION!AB5&gt;=1,06_CONSTRUCTION!AB5&lt;=21_TAX!$C$7),21_TAX!$C$6*MAX(0,21_TAX!AB14-21_TAX!AB16),0)</f>
        <v>0</v>
      </c>
      <c r="AC19" s="34" t="n">
        <f aca="false">IF(AND(06_CONSTRUCTION!AC5&gt;=1,06_CONSTRUCTION!AC5&lt;=21_TAX!$C$7),21_TAX!$C$6*MAX(0,21_TAX!AC14-21_TAX!AC16),0)</f>
        <v>0</v>
      </c>
      <c r="AD19" s="34" t="n">
        <f aca="false">IF(AND(06_CONSTRUCTION!AD5&gt;=1,06_CONSTRUCTION!AD5&lt;=21_TAX!$C$7),21_TAX!$C$6*MAX(0,21_TAX!AD14-21_TAX!AD16),0)</f>
        <v>0</v>
      </c>
      <c r="AE19" s="34" t="n">
        <f aca="false">IF(AND(06_CONSTRUCTION!AE5&gt;=1,06_CONSTRUCTION!AE5&lt;=21_TAX!$C$7),21_TAX!$C$6*MAX(0,21_TAX!AE14-21_TAX!AE16),0)</f>
        <v>0</v>
      </c>
      <c r="AF19" s="34" t="n">
        <f aca="false">IF(AND(06_CONSTRUCTION!AF5&gt;=1,06_CONSTRUCTION!AF5&lt;=21_TAX!$C$7),21_TAX!$C$6*MAX(0,21_TAX!AF14-21_TAX!AF16),0)</f>
        <v>0</v>
      </c>
      <c r="AG19" s="34" t="n">
        <f aca="false">IF(AND(06_CONSTRUCTION!AG5&gt;=1,06_CONSTRUCTION!AG5&lt;=21_TAX!$C$7),21_TAX!$C$6*MAX(0,21_TAX!AG14-21_TAX!AG16),0)</f>
        <v>0</v>
      </c>
      <c r="AH19" s="34" t="n">
        <f aca="false">IF(AND(06_CONSTRUCTION!AH5&gt;=1,06_CONSTRUCTION!AH5&lt;=21_TAX!$C$7),21_TAX!$C$6*MAX(0,21_TAX!AH14-21_TAX!AH16),0)</f>
        <v>0</v>
      </c>
      <c r="AI19" s="34" t="n">
        <f aca="false">IF(AND(06_CONSTRUCTION!AI5&gt;=1,06_CONSTRUCTION!AI5&lt;=21_TAX!$C$7),21_TAX!$C$6*MAX(0,21_TAX!AI14-21_TAX!AI16),0)</f>
        <v>0</v>
      </c>
      <c r="AJ19" s="34" t="n">
        <f aca="false">IF(AND(06_CONSTRUCTION!AJ5&gt;=1,06_CONSTRUCTION!AJ5&lt;=21_TAX!$C$7),21_TAX!$C$6*MAX(0,21_TAX!AJ14-21_TAX!AJ16),0)</f>
        <v>0</v>
      </c>
      <c r="AK19" s="34" t="n">
        <f aca="false">IF(AND(06_CONSTRUCTION!AK5&gt;=1,06_CONSTRUCTION!AK5&lt;=21_TAX!$C$7),21_TAX!$C$6*MAX(0,21_TAX!AK14-21_TAX!AK16),0)</f>
        <v>0</v>
      </c>
      <c r="AL19" s="34" t="n">
        <f aca="false">IF(AND(06_CONSTRUCTION!AL5&gt;=1,06_CONSTRUCTION!AL5&lt;=21_TAX!$C$7),21_TAX!$C$6*MAX(0,21_TAX!AL14-21_TAX!AL16),0)</f>
        <v>0</v>
      </c>
      <c r="AM19" s="34" t="n">
        <f aca="false">IF(AND(06_CONSTRUCTION!AM5&gt;=1,06_CONSTRUCTION!AM5&lt;=21_TAX!$C$7),21_TAX!$C$6*MAX(0,21_TAX!AM14-21_TAX!AM16),0)</f>
        <v>0</v>
      </c>
      <c r="AN19" s="34" t="n">
        <f aca="false">IF(AND(06_CONSTRUCTION!AN5&gt;=1,06_CONSTRUCTION!AN5&lt;=21_TAX!$C$7),21_TAX!$C$6*MAX(0,21_TAX!AN14-21_TAX!AN16),0)</f>
        <v>0</v>
      </c>
      <c r="AO19" s="34" t="n">
        <f aca="false">IF(AND(06_CONSTRUCTION!AO5&gt;=1,06_CONSTRUCTION!AO5&lt;=21_TAX!$C$7),21_TAX!$C$6*MAX(0,21_TAX!AO14-21_TAX!AO16),0)</f>
        <v>0</v>
      </c>
      <c r="AP19" s="34" t="n">
        <f aca="false">IF(AND(06_CONSTRUCTION!AP5&gt;=1,06_CONSTRUCTION!AP5&lt;=21_TAX!$C$7),21_TAX!$C$6*MAX(0,21_TAX!AP14-21_TAX!AP16),0)</f>
        <v>0</v>
      </c>
      <c r="AQ19" s="34" t="n">
        <f aca="false">IF(AND(06_CONSTRUCTION!AQ5&gt;=1,06_CONSTRUCTION!AQ5&lt;=21_TAX!$C$7),21_TAX!$C$6*MAX(0,21_TAX!AQ14-21_TAX!AQ16),0)</f>
        <v>0</v>
      </c>
      <c r="AR19" s="34" t="n">
        <f aca="false">IF(AND(06_CONSTRUCTION!AR5&gt;=1,06_CONSTRUCTION!AR5&lt;=21_TAX!$C$7),21_TAX!$C$6*MAX(0,21_TAX!AR14-21_TAX!AR16),0)</f>
        <v>0</v>
      </c>
    </row>
    <row r="20" customFormat="false" ht="15" hidden="false" customHeight="false" outlineLevel="0" collapsed="false">
      <c r="A20" s="8" t="s">
        <v>803</v>
      </c>
      <c r="B20" s="8" t="s">
        <v>84</v>
      </c>
      <c r="C20" s="34" t="n">
        <f aca="false">SUM(21_TAX!$E$20:$AR$20)</f>
        <v>1089.06971952235</v>
      </c>
      <c r="E20" s="34" t="n">
        <f aca="false">IF(06_CONSTRUCTION!E5&gt;21_TAX!$C$7,21_TAX!$C$6*MAX(0,20_CASH_FLOW!E17-21_TAX!E10),0)</f>
        <v>0</v>
      </c>
      <c r="F20" s="34" t="n">
        <f aca="false">IF(06_CONSTRUCTION!F5&gt;21_TAX!$C$7,21_TAX!$C$6*MAX(0,20_CASH_FLOW!F17-21_TAX!F10),0)</f>
        <v>0</v>
      </c>
      <c r="G20" s="34" t="n">
        <f aca="false">IF(06_CONSTRUCTION!G5&gt;21_TAX!$C$7,21_TAX!$C$6*MAX(0,20_CASH_FLOW!G17-21_TAX!G10),0)</f>
        <v>0</v>
      </c>
      <c r="H20" s="34" t="n">
        <f aca="false">IF(06_CONSTRUCTION!H5&gt;21_TAX!$C$7,21_TAX!$C$6*MAX(0,20_CASH_FLOW!H17-21_TAX!H10),0)</f>
        <v>0</v>
      </c>
      <c r="I20" s="34" t="n">
        <f aca="false">IF(06_CONSTRUCTION!I5&gt;21_TAX!$C$7,21_TAX!$C$6*MAX(0,20_CASH_FLOW!I17-21_TAX!I10),0)</f>
        <v>0</v>
      </c>
      <c r="J20" s="34" t="n">
        <f aca="false">IF(06_CONSTRUCTION!J5&gt;21_TAX!$C$7,21_TAX!$C$6*MAX(0,20_CASH_FLOW!J17-21_TAX!J10),0)</f>
        <v>0</v>
      </c>
      <c r="K20" s="34" t="n">
        <f aca="false">IF(06_CONSTRUCTION!K5&gt;21_TAX!$C$7,21_TAX!$C$6*MAX(0,20_CASH_FLOW!K17-21_TAX!K10),0)</f>
        <v>0</v>
      </c>
      <c r="L20" s="34" t="n">
        <f aca="false">IF(06_CONSTRUCTION!L5&gt;21_TAX!$C$7,21_TAX!$C$6*MAX(0,20_CASH_FLOW!L17-21_TAX!L10),0)</f>
        <v>0</v>
      </c>
      <c r="M20" s="34" t="n">
        <f aca="false">IF(06_CONSTRUCTION!M5&gt;21_TAX!$C$7,21_TAX!$C$6*MAX(0,20_CASH_FLOW!M17-21_TAX!M10),0)</f>
        <v>0</v>
      </c>
      <c r="N20" s="34" t="n">
        <f aca="false">IF(06_CONSTRUCTION!N5&gt;21_TAX!$C$7,21_TAX!$C$6*MAX(0,20_CASH_FLOW!N17-21_TAX!N10),0)</f>
        <v>0</v>
      </c>
      <c r="O20" s="34" t="n">
        <f aca="false">IF(06_CONSTRUCTION!O5&gt;21_TAX!$C$7,21_TAX!$C$6*MAX(0,20_CASH_FLOW!O17-21_TAX!O10),0)</f>
        <v>28.3477592002647</v>
      </c>
      <c r="P20" s="34" t="n">
        <f aca="false">IF(06_CONSTRUCTION!P5&gt;21_TAX!$C$7,21_TAX!$C$6*MAX(0,20_CASH_FLOW!P17-21_TAX!P10),0)</f>
        <v>28.9075301253389</v>
      </c>
      <c r="Q20" s="34" t="n">
        <f aca="false">IF(06_CONSTRUCTION!Q5&gt;21_TAX!$C$7,21_TAX!$C$6*MAX(0,20_CASH_FLOW!Q17-21_TAX!Q10),0)</f>
        <v>29.4784964689147</v>
      </c>
      <c r="R20" s="34" t="n">
        <f aca="false">IF(06_CONSTRUCTION!R5&gt;21_TAX!$C$7,21_TAX!$C$6*MAX(0,20_CASH_FLOW!R17-21_TAX!R10),0)</f>
        <v>30.0608821393619</v>
      </c>
      <c r="S20" s="34" t="n">
        <f aca="false">IF(06_CONSTRUCTION!S5&gt;21_TAX!$C$7,21_TAX!$C$6*MAX(0,20_CASH_FLOW!S17-21_TAX!S10),0)</f>
        <v>30.6549155232181</v>
      </c>
      <c r="T20" s="34" t="n">
        <f aca="false">IF(06_CONSTRUCTION!T5&gt;21_TAX!$C$7,21_TAX!$C$6*MAX(0,20_CASH_FLOW!T17-21_TAX!T10),0)</f>
        <v>31.2608295747514</v>
      </c>
      <c r="U20" s="34" t="n">
        <f aca="false">IF(06_CONSTRUCTION!U5&gt;21_TAX!$C$7,21_TAX!$C$6*MAX(0,20_CASH_FLOW!U17-21_TAX!U10),0)</f>
        <v>31.8788619073153</v>
      </c>
      <c r="V20" s="34" t="n">
        <f aca="false">IF(06_CONSTRUCTION!V5&gt;21_TAX!$C$7,21_TAX!$C$6*MAX(0,20_CASH_FLOW!V17-21_TAX!V10),0)</f>
        <v>32.5092548865306</v>
      </c>
      <c r="W20" s="34" t="n">
        <f aca="false">IF(06_CONSTRUCTION!W5&gt;21_TAX!$C$7,21_TAX!$C$6*MAX(0,20_CASH_FLOW!W17-21_TAX!W10),0)</f>
        <v>33.1522557253301</v>
      </c>
      <c r="X20" s="34" t="n">
        <f aca="false">IF(06_CONSTRUCTION!X5&gt;21_TAX!$C$7,21_TAX!$C$6*MAX(0,20_CASH_FLOW!X17-21_TAX!X10),0)</f>
        <v>33.8081165809057</v>
      </c>
      <c r="Y20" s="34" t="n">
        <f aca="false">IF(06_CONSTRUCTION!Y5&gt;21_TAX!$C$7,21_TAX!$C$6*MAX(0,20_CASH_FLOW!Y17-21_TAX!Y10),0)</f>
        <v>34.4770946535927</v>
      </c>
      <c r="Z20" s="34" t="n">
        <f aca="false">IF(06_CONSTRUCTION!Z5&gt;21_TAX!$C$7,21_TAX!$C$6*MAX(0,20_CASH_FLOW!Z17-21_TAX!Z10),0)</f>
        <v>35.1594522877335</v>
      </c>
      <c r="AA20" s="34" t="n">
        <f aca="false">IF(06_CONSTRUCTION!AA5&gt;21_TAX!$C$7,21_TAX!$C$6*MAX(0,20_CASH_FLOW!AA17-21_TAX!AA10),0)</f>
        <v>35.8554570745571</v>
      </c>
      <c r="AB20" s="34" t="n">
        <f aca="false">IF(06_CONSTRUCTION!AB5&gt;21_TAX!$C$7,21_TAX!$C$6*MAX(0,20_CASH_FLOW!AB17-21_TAX!AB10),0)</f>
        <v>36.5653819571172</v>
      </c>
      <c r="AC20" s="34" t="n">
        <f aca="false">IF(06_CONSTRUCTION!AC5&gt;21_TAX!$C$7,21_TAX!$C$6*MAX(0,20_CASH_FLOW!AC17-21_TAX!AC10),0)</f>
        <v>37.2895053373285</v>
      </c>
      <c r="AD20" s="34" t="n">
        <f aca="false">IF(06_CONSTRUCTION!AD5&gt;21_TAX!$C$7,21_TAX!$C$6*MAX(0,20_CASH_FLOW!AD17-21_TAX!AD10),0)</f>
        <v>56.3888982385909</v>
      </c>
      <c r="AE20" s="34" t="n">
        <f aca="false">IF(06_CONSTRUCTION!AE5&gt;21_TAX!$C$7,21_TAX!$C$6*MAX(0,20_CASH_FLOW!AE17-21_TAX!AE10),0)</f>
        <v>57.1422762033627</v>
      </c>
      <c r="AF20" s="34" t="n">
        <f aca="false">IF(06_CONSTRUCTION!AF5&gt;21_TAX!$C$7,21_TAX!$C$6*MAX(0,20_CASH_FLOW!AF17-21_TAX!AF10),0)</f>
        <v>57.91072172743</v>
      </c>
      <c r="AG20" s="34" t="n">
        <f aca="false">IF(06_CONSTRUCTION!AG5&gt;21_TAX!$C$7,21_TAX!$C$6*MAX(0,20_CASH_FLOW!AG17-21_TAX!AG10),0)</f>
        <v>58.6945361619786</v>
      </c>
      <c r="AH20" s="34" t="n">
        <f aca="false">IF(06_CONSTRUCTION!AH5&gt;21_TAX!$C$7,21_TAX!$C$6*MAX(0,20_CASH_FLOW!AH17-21_TAX!AH10),0)</f>
        <v>59.4940268852181</v>
      </c>
      <c r="AI20" s="34" t="n">
        <f aca="false">IF(06_CONSTRUCTION!AI5&gt;21_TAX!$C$7,21_TAX!$C$6*MAX(0,20_CASH_FLOW!AI17-21_TAX!AI10),0)</f>
        <v>60.3095074229225</v>
      </c>
      <c r="AJ20" s="34" t="n">
        <f aca="false">IF(06_CONSTRUCTION!AJ5&gt;21_TAX!$C$7,21_TAX!$C$6*MAX(0,20_CASH_FLOW!AJ17-21_TAX!AJ10),0)</f>
        <v>61.1412975713809</v>
      </c>
      <c r="AK20" s="34" t="n">
        <f aca="false">IF(06_CONSTRUCTION!AK5&gt;21_TAX!$C$7,21_TAX!$C$6*MAX(0,20_CASH_FLOW!AK17-21_TAX!AK10),0)</f>
        <v>61.9897235228086</v>
      </c>
      <c r="AL20" s="34" t="n">
        <f aca="false">IF(06_CONSTRUCTION!AL5&gt;21_TAX!$C$7,21_TAX!$C$6*MAX(0,20_CASH_FLOW!AL17-21_TAX!AL10),0)</f>
        <v>62.8551179932648</v>
      </c>
      <c r="AM20" s="34" t="n">
        <f aca="false">IF(06_CONSTRUCTION!AM5&gt;21_TAX!$C$7,21_TAX!$C$6*MAX(0,20_CASH_FLOW!AM17-21_TAX!AM10),0)</f>
        <v>63.73782035313</v>
      </c>
      <c r="AN20" s="34" t="n">
        <f aca="false">IF(06_CONSTRUCTION!AN5&gt;21_TAX!$C$7,21_TAX!$C$6*MAX(0,20_CASH_FLOW!AN17-21_TAX!AN10),0)</f>
        <v>0</v>
      </c>
      <c r="AO20" s="34" t="n">
        <f aca="false">IF(06_CONSTRUCTION!AO5&gt;21_TAX!$C$7,21_TAX!$C$6*MAX(0,20_CASH_FLOW!AO17-21_TAX!AO10),0)</f>
        <v>0</v>
      </c>
      <c r="AP20" s="34" t="n">
        <f aca="false">IF(06_CONSTRUCTION!AP5&gt;21_TAX!$C$7,21_TAX!$C$6*MAX(0,20_CASH_FLOW!AP17-21_TAX!AP10),0)</f>
        <v>0</v>
      </c>
      <c r="AQ20" s="34" t="n">
        <f aca="false">IF(06_CONSTRUCTION!AQ5&gt;21_TAX!$C$7,21_TAX!$C$6*MAX(0,20_CASH_FLOW!AQ17-21_TAX!AQ10),0)</f>
        <v>0</v>
      </c>
      <c r="AR20" s="34" t="n">
        <f aca="false">IF(06_CONSTRUCTION!AR5&gt;21_TAX!$C$7,21_TAX!$C$6*MAX(0,20_CASH_FLOW!AR17-21_TAX!AR10),0)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804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805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806</v>
      </c>
      <c r="B6" s="8" t="s">
        <v>84</v>
      </c>
      <c r="C6" s="34" t="n">
        <f aca="false">SUM(22_GOVERNMENT_SUPPORT!$E$6:$AR$6)</f>
        <v>111.005572917934</v>
      </c>
      <c r="E6" s="57" t="n">
        <f aca="false">20_CASH_FLOW!E11</f>
        <v>9.57227019470778</v>
      </c>
      <c r="F6" s="57" t="n">
        <f aca="false">20_CASH_FLOW!F11</f>
        <v>11.0929582049869</v>
      </c>
      <c r="G6" s="57" t="n">
        <f aca="false">20_CASH_FLOW!G11</f>
        <v>21.8322774526266</v>
      </c>
      <c r="H6" s="57" t="n">
        <f aca="false">20_CASH_FLOW!H11</f>
        <v>28.5256837002688</v>
      </c>
      <c r="I6" s="57" t="n">
        <f aca="false">20_CASH_FLOW!I11</f>
        <v>39.9823833653438</v>
      </c>
      <c r="J6" s="57" t="n">
        <f aca="false">20_CASH_FLOW!J11</f>
        <v>0</v>
      </c>
      <c r="K6" s="57" t="n">
        <f aca="false">20_CASH_FLOW!K11</f>
        <v>0</v>
      </c>
      <c r="L6" s="57" t="n">
        <f aca="false">20_CASH_FLOW!L11</f>
        <v>0</v>
      </c>
      <c r="M6" s="57" t="n">
        <f aca="false">20_CASH_FLOW!M11</f>
        <v>0</v>
      </c>
      <c r="N6" s="57" t="n">
        <f aca="false">20_CASH_FLOW!N11</f>
        <v>0</v>
      </c>
      <c r="O6" s="57" t="n">
        <f aca="false">20_CASH_FLOW!O11</f>
        <v>0</v>
      </c>
      <c r="P6" s="57" t="n">
        <f aca="false">20_CASH_FLOW!P11</f>
        <v>0</v>
      </c>
      <c r="Q6" s="57" t="n">
        <f aca="false">20_CASH_FLOW!Q11</f>
        <v>0</v>
      </c>
      <c r="R6" s="57" t="n">
        <f aca="false">20_CASH_FLOW!R11</f>
        <v>0</v>
      </c>
      <c r="S6" s="57" t="n">
        <f aca="false">20_CASH_FLOW!S11</f>
        <v>0</v>
      </c>
      <c r="T6" s="57" t="n">
        <f aca="false">20_CASH_FLOW!T11</f>
        <v>0</v>
      </c>
      <c r="U6" s="57" t="n">
        <f aca="false">20_CASH_FLOW!U11</f>
        <v>0</v>
      </c>
      <c r="V6" s="57" t="n">
        <f aca="false">20_CASH_FLOW!V11</f>
        <v>0</v>
      </c>
      <c r="W6" s="57" t="n">
        <f aca="false">20_CASH_FLOW!W11</f>
        <v>0</v>
      </c>
      <c r="X6" s="57" t="n">
        <f aca="false">20_CASH_FLOW!X11</f>
        <v>0</v>
      </c>
      <c r="Y6" s="57" t="n">
        <f aca="false">20_CASH_FLOW!Y11</f>
        <v>0</v>
      </c>
      <c r="Z6" s="57" t="n">
        <f aca="false">20_CASH_FLOW!Z11</f>
        <v>0</v>
      </c>
      <c r="AA6" s="57" t="n">
        <f aca="false">20_CASH_FLOW!AA11</f>
        <v>0</v>
      </c>
      <c r="AB6" s="57" t="n">
        <f aca="false">20_CASH_FLOW!AB11</f>
        <v>0</v>
      </c>
      <c r="AC6" s="57" t="n">
        <f aca="false">20_CASH_FLOW!AC11</f>
        <v>0</v>
      </c>
      <c r="AD6" s="57" t="n">
        <f aca="false">20_CASH_FLOW!AD11</f>
        <v>0</v>
      </c>
      <c r="AE6" s="57" t="n">
        <f aca="false">20_CASH_FLOW!AE11</f>
        <v>0</v>
      </c>
      <c r="AF6" s="57" t="n">
        <f aca="false">20_CASH_FLOW!AF11</f>
        <v>0</v>
      </c>
      <c r="AG6" s="57" t="n">
        <f aca="false">20_CASH_FLOW!AG11</f>
        <v>0</v>
      </c>
      <c r="AH6" s="57" t="n">
        <f aca="false">20_CASH_FLOW!AH11</f>
        <v>0</v>
      </c>
      <c r="AI6" s="57" t="n">
        <f aca="false">20_CASH_FLOW!AI11</f>
        <v>0</v>
      </c>
      <c r="AJ6" s="57" t="n">
        <f aca="false">20_CASH_FLOW!AJ11</f>
        <v>0</v>
      </c>
      <c r="AK6" s="57" t="n">
        <f aca="false">20_CASH_FLOW!AK11</f>
        <v>0</v>
      </c>
      <c r="AL6" s="57" t="n">
        <f aca="false">20_CASH_FLOW!AL11</f>
        <v>0</v>
      </c>
      <c r="AM6" s="57" t="n">
        <f aca="false">20_CASH_FLOW!AM11</f>
        <v>0</v>
      </c>
      <c r="AN6" s="57" t="n">
        <f aca="false">20_CASH_FLOW!AN11</f>
        <v>0</v>
      </c>
      <c r="AO6" s="57" t="n">
        <f aca="false">20_CASH_FLOW!AO11</f>
        <v>0</v>
      </c>
      <c r="AP6" s="57" t="n">
        <f aca="false">20_CASH_FLOW!AP11</f>
        <v>0</v>
      </c>
      <c r="AQ6" s="57" t="n">
        <f aca="false">20_CASH_FLOW!AQ11</f>
        <v>0</v>
      </c>
      <c r="AR6" s="57" t="n">
        <f aca="false">20_CASH_FLOW!AR11</f>
        <v>0</v>
      </c>
    </row>
    <row r="7" customFormat="false" ht="15" hidden="false" customHeight="false" outlineLevel="0" collapsed="false">
      <c r="A7" s="8" t="s">
        <v>600</v>
      </c>
      <c r="B7" s="8" t="s">
        <v>84</v>
      </c>
      <c r="C7" s="34" t="n">
        <f aca="false">SUM(22_GOVERNMENT_SUPPORT!$E$7:$AR$7)</f>
        <v>55.502786458967</v>
      </c>
      <c r="E7" s="57" t="n">
        <f aca="false">20_CASH_FLOW!E8</f>
        <v>5.30004448924949</v>
      </c>
      <c r="F7" s="57" t="n">
        <f aca="false">20_CASH_FLOW!F8</f>
        <v>13.8756966147417</v>
      </c>
      <c r="G7" s="57" t="n">
        <f aca="false">20_CASH_FLOW!G8</f>
        <v>17.1513042509845</v>
      </c>
      <c r="H7" s="57" t="n">
        <f aca="false">20_CASH_FLOW!H8</f>
        <v>13.8756966147417</v>
      </c>
      <c r="I7" s="57" t="n">
        <f aca="false">20_CASH_FLOW!I8</f>
        <v>5.30004448924949</v>
      </c>
      <c r="J7" s="57" t="n">
        <f aca="false">20_CASH_FLOW!J8</f>
        <v>0</v>
      </c>
      <c r="K7" s="57" t="n">
        <f aca="false">20_CASH_FLOW!K8</f>
        <v>0</v>
      </c>
      <c r="L7" s="57" t="n">
        <f aca="false">20_CASH_FLOW!L8</f>
        <v>0</v>
      </c>
      <c r="M7" s="57" t="n">
        <f aca="false">20_CASH_FLOW!M8</f>
        <v>0</v>
      </c>
      <c r="N7" s="57" t="n">
        <f aca="false">20_CASH_FLOW!N8</f>
        <v>0</v>
      </c>
      <c r="O7" s="57" t="n">
        <f aca="false">20_CASH_FLOW!O8</f>
        <v>0</v>
      </c>
      <c r="P7" s="57" t="n">
        <f aca="false">20_CASH_FLOW!P8</f>
        <v>0</v>
      </c>
      <c r="Q7" s="57" t="n">
        <f aca="false">20_CASH_FLOW!Q8</f>
        <v>0</v>
      </c>
      <c r="R7" s="57" t="n">
        <f aca="false">20_CASH_FLOW!R8</f>
        <v>0</v>
      </c>
      <c r="S7" s="57" t="n">
        <f aca="false">20_CASH_FLOW!S8</f>
        <v>0</v>
      </c>
      <c r="T7" s="57" t="n">
        <f aca="false">20_CASH_FLOW!T8</f>
        <v>0</v>
      </c>
      <c r="U7" s="57" t="n">
        <f aca="false">20_CASH_FLOW!U8</f>
        <v>0</v>
      </c>
      <c r="V7" s="57" t="n">
        <f aca="false">20_CASH_FLOW!V8</f>
        <v>0</v>
      </c>
      <c r="W7" s="57" t="n">
        <f aca="false">20_CASH_FLOW!W8</f>
        <v>0</v>
      </c>
      <c r="X7" s="57" t="n">
        <f aca="false">20_CASH_FLOW!X8</f>
        <v>0</v>
      </c>
      <c r="Y7" s="57" t="n">
        <f aca="false">20_CASH_FLOW!Y8</f>
        <v>0</v>
      </c>
      <c r="Z7" s="57" t="n">
        <f aca="false">20_CASH_FLOW!Z8</f>
        <v>0</v>
      </c>
      <c r="AA7" s="57" t="n">
        <f aca="false">20_CASH_FLOW!AA8</f>
        <v>0</v>
      </c>
      <c r="AB7" s="57" t="n">
        <f aca="false">20_CASH_FLOW!AB8</f>
        <v>0</v>
      </c>
      <c r="AC7" s="57" t="n">
        <f aca="false">20_CASH_FLOW!AC8</f>
        <v>0</v>
      </c>
      <c r="AD7" s="57" t="n">
        <f aca="false">20_CASH_FLOW!AD8</f>
        <v>0</v>
      </c>
      <c r="AE7" s="57" t="n">
        <f aca="false">20_CASH_FLOW!AE8</f>
        <v>0</v>
      </c>
      <c r="AF7" s="57" t="n">
        <f aca="false">20_CASH_FLOW!AF8</f>
        <v>0</v>
      </c>
      <c r="AG7" s="57" t="n">
        <f aca="false">20_CASH_FLOW!AG8</f>
        <v>0</v>
      </c>
      <c r="AH7" s="57" t="n">
        <f aca="false">20_CASH_FLOW!AH8</f>
        <v>0</v>
      </c>
      <c r="AI7" s="57" t="n">
        <f aca="false">20_CASH_FLOW!AI8</f>
        <v>0</v>
      </c>
      <c r="AJ7" s="57" t="n">
        <f aca="false">20_CASH_FLOW!AJ8</f>
        <v>0</v>
      </c>
      <c r="AK7" s="57" t="n">
        <f aca="false">20_CASH_FLOW!AK8</f>
        <v>0</v>
      </c>
      <c r="AL7" s="57" t="n">
        <f aca="false">20_CASH_FLOW!AL8</f>
        <v>0</v>
      </c>
      <c r="AM7" s="57" t="n">
        <f aca="false">20_CASH_FLOW!AM8</f>
        <v>0</v>
      </c>
      <c r="AN7" s="57" t="n">
        <f aca="false">20_CASH_FLOW!AN8</f>
        <v>0</v>
      </c>
      <c r="AO7" s="57" t="n">
        <f aca="false">20_CASH_FLOW!AO8</f>
        <v>0</v>
      </c>
      <c r="AP7" s="57" t="n">
        <f aca="false">20_CASH_FLOW!AP8</f>
        <v>0</v>
      </c>
      <c r="AQ7" s="57" t="n">
        <f aca="false">20_CASH_FLOW!AQ8</f>
        <v>0</v>
      </c>
      <c r="AR7" s="57" t="n">
        <f aca="false">20_CASH_FLOW!AR8</f>
        <v>0</v>
      </c>
    </row>
    <row r="8" customFormat="false" ht="15" hidden="false" customHeight="false" outlineLevel="0" collapsed="false">
      <c r="A8" s="8" t="s">
        <v>807</v>
      </c>
      <c r="B8" s="8" t="s">
        <v>84</v>
      </c>
      <c r="C8" s="34" t="n">
        <f aca="false">SUM(22_GOVERNMENT_SUPPORT!$E$8:$AR$8)</f>
        <v>241.784156181641</v>
      </c>
      <c r="E8" s="57" t="n">
        <f aca="false">08_TRANSMISSION!E32</f>
        <v>0</v>
      </c>
      <c r="F8" s="57" t="n">
        <f aca="false">08_TRANSMISSION!F32</f>
        <v>0</v>
      </c>
      <c r="G8" s="57" t="n">
        <f aca="false">08_TRANSMISSION!G32</f>
        <v>78.613015625</v>
      </c>
      <c r="H8" s="57" t="n">
        <f aca="false">08_TRANSMISSION!H32</f>
        <v>80.578341015625</v>
      </c>
      <c r="I8" s="57" t="n">
        <f aca="false">08_TRANSMISSION!I32</f>
        <v>82.5927995410156</v>
      </c>
      <c r="J8" s="57" t="n">
        <f aca="false">08_TRANSMISSION!J32</f>
        <v>0</v>
      </c>
      <c r="K8" s="57" t="n">
        <f aca="false">08_TRANSMISSION!K32</f>
        <v>0</v>
      </c>
      <c r="L8" s="57" t="n">
        <f aca="false">08_TRANSMISSION!L32</f>
        <v>0</v>
      </c>
      <c r="M8" s="57" t="n">
        <f aca="false">08_TRANSMISSION!M32</f>
        <v>0</v>
      </c>
      <c r="N8" s="57" t="n">
        <f aca="false">08_TRANSMISSION!N32</f>
        <v>0</v>
      </c>
      <c r="O8" s="57" t="n">
        <f aca="false">08_TRANSMISSION!O32</f>
        <v>0</v>
      </c>
      <c r="P8" s="57" t="n">
        <f aca="false">08_TRANSMISSION!P32</f>
        <v>0</v>
      </c>
      <c r="Q8" s="57" t="n">
        <f aca="false">08_TRANSMISSION!Q32</f>
        <v>0</v>
      </c>
      <c r="R8" s="57" t="n">
        <f aca="false">08_TRANSMISSION!R32</f>
        <v>0</v>
      </c>
      <c r="S8" s="57" t="n">
        <f aca="false">08_TRANSMISSION!S32</f>
        <v>0</v>
      </c>
      <c r="T8" s="57" t="n">
        <f aca="false">08_TRANSMISSION!T32</f>
        <v>0</v>
      </c>
      <c r="U8" s="57" t="n">
        <f aca="false">08_TRANSMISSION!U32</f>
        <v>0</v>
      </c>
      <c r="V8" s="57" t="n">
        <f aca="false">08_TRANSMISSION!V32</f>
        <v>0</v>
      </c>
      <c r="W8" s="57" t="n">
        <f aca="false">08_TRANSMISSION!W32</f>
        <v>0</v>
      </c>
      <c r="X8" s="57" t="n">
        <f aca="false">08_TRANSMISSION!X32</f>
        <v>0</v>
      </c>
      <c r="Y8" s="57" t="n">
        <f aca="false">08_TRANSMISSION!Y32</f>
        <v>0</v>
      </c>
      <c r="Z8" s="57" t="n">
        <f aca="false">08_TRANSMISSION!Z32</f>
        <v>0</v>
      </c>
      <c r="AA8" s="57" t="n">
        <f aca="false">08_TRANSMISSION!AA32</f>
        <v>0</v>
      </c>
      <c r="AB8" s="57" t="n">
        <f aca="false">08_TRANSMISSION!AB32</f>
        <v>0</v>
      </c>
      <c r="AC8" s="57" t="n">
        <f aca="false">08_TRANSMISSION!AC32</f>
        <v>0</v>
      </c>
      <c r="AD8" s="57" t="n">
        <f aca="false">08_TRANSMISSION!AD32</f>
        <v>0</v>
      </c>
      <c r="AE8" s="57" t="n">
        <f aca="false">08_TRANSMISSION!AE32</f>
        <v>0</v>
      </c>
      <c r="AF8" s="57" t="n">
        <f aca="false">08_TRANSMISSION!AF32</f>
        <v>0</v>
      </c>
      <c r="AG8" s="57" t="n">
        <f aca="false">08_TRANSMISSION!AG32</f>
        <v>0</v>
      </c>
      <c r="AH8" s="57" t="n">
        <f aca="false">08_TRANSMISSION!AH32</f>
        <v>0</v>
      </c>
      <c r="AI8" s="57" t="n">
        <f aca="false">08_TRANSMISSION!AI32</f>
        <v>0</v>
      </c>
      <c r="AJ8" s="57" t="n">
        <f aca="false">08_TRANSMISSION!AJ32</f>
        <v>0</v>
      </c>
      <c r="AK8" s="57" t="n">
        <f aca="false">08_TRANSMISSION!AK32</f>
        <v>0</v>
      </c>
      <c r="AL8" s="57" t="n">
        <f aca="false">08_TRANSMISSION!AL32</f>
        <v>0</v>
      </c>
      <c r="AM8" s="57" t="n">
        <f aca="false">08_TRANSMISSION!AM32</f>
        <v>0</v>
      </c>
      <c r="AN8" s="57" t="n">
        <f aca="false">08_TRANSMISSION!AN32</f>
        <v>0</v>
      </c>
      <c r="AO8" s="57" t="n">
        <f aca="false">08_TRANSMISSION!AO32</f>
        <v>0</v>
      </c>
      <c r="AP8" s="57" t="n">
        <f aca="false">08_TRANSMISSION!AP32</f>
        <v>0</v>
      </c>
      <c r="AQ8" s="57" t="n">
        <f aca="false">08_TRANSMISSION!AQ32</f>
        <v>0</v>
      </c>
      <c r="AR8" s="57" t="n">
        <f aca="false">08_TRANSMISSION!AR32</f>
        <v>0</v>
      </c>
    </row>
    <row r="9" customFormat="false" ht="15" hidden="false" customHeight="false" outlineLevel="0" collapsed="false">
      <c r="A9" s="8" t="s">
        <v>808</v>
      </c>
      <c r="B9" s="8" t="s">
        <v>84</v>
      </c>
      <c r="C9" s="34" t="n">
        <f aca="false">SUM(22_GOVERNMENT_SUPPORT!$E$9:$AR$9)</f>
        <v>150.079318841192</v>
      </c>
      <c r="E9" s="34" t="n">
        <f aca="false">IF(08_TRANSMISSION!$C$17=1,08_TRANSMISSION!E34,0)</f>
        <v>0</v>
      </c>
      <c r="F9" s="34" t="n">
        <f aca="false">IF(08_TRANSMISSION!$C$17=1,08_TRANSMISSION!F34,0)</f>
        <v>0</v>
      </c>
      <c r="G9" s="34" t="n">
        <f aca="false">IF(08_TRANSMISSION!$C$17=1,08_TRANSMISSION!G34,0)</f>
        <v>0</v>
      </c>
      <c r="H9" s="34" t="n">
        <f aca="false">IF(08_TRANSMISSION!$C$17=1,08_TRANSMISSION!H34,0)</f>
        <v>0</v>
      </c>
      <c r="I9" s="34" t="n">
        <f aca="false">IF(08_TRANSMISSION!$C$17=1,08_TRANSMISSION!I34,0)</f>
        <v>0</v>
      </c>
      <c r="J9" s="34" t="n">
        <f aca="false">IF(08_TRANSMISSION!$C$17=1,08_TRANSMISSION!J34,0)</f>
        <v>3.69944354728224</v>
      </c>
      <c r="K9" s="34" t="n">
        <f aca="false">IF(08_TRANSMISSION!$C$17=1,08_TRANSMISSION!K34,0)</f>
        <v>3.77343241822788</v>
      </c>
      <c r="L9" s="34" t="n">
        <f aca="false">IF(08_TRANSMISSION!$C$17=1,08_TRANSMISSION!L34,0)</f>
        <v>3.84890106659244</v>
      </c>
      <c r="M9" s="34" t="n">
        <f aca="false">IF(08_TRANSMISSION!$C$17=1,08_TRANSMISSION!M34,0)</f>
        <v>3.92587908792429</v>
      </c>
      <c r="N9" s="34" t="n">
        <f aca="false">IF(08_TRANSMISSION!$C$17=1,08_TRANSMISSION!N34,0)</f>
        <v>4.00439666968278</v>
      </c>
      <c r="O9" s="34" t="n">
        <f aca="false">IF(08_TRANSMISSION!$C$17=1,08_TRANSMISSION!O34,0)</f>
        <v>4.08448460307643</v>
      </c>
      <c r="P9" s="34" t="n">
        <f aca="false">IF(08_TRANSMISSION!$C$17=1,08_TRANSMISSION!P34,0)</f>
        <v>4.16617429513796</v>
      </c>
      <c r="Q9" s="34" t="n">
        <f aca="false">IF(08_TRANSMISSION!$C$17=1,08_TRANSMISSION!Q34,0)</f>
        <v>4.24949778104072</v>
      </c>
      <c r="R9" s="34" t="n">
        <f aca="false">IF(08_TRANSMISSION!$C$17=1,08_TRANSMISSION!R34,0)</f>
        <v>4.33448773666154</v>
      </c>
      <c r="S9" s="34" t="n">
        <f aca="false">IF(08_TRANSMISSION!$C$17=1,08_TRANSMISSION!S34,0)</f>
        <v>4.42117749139477</v>
      </c>
      <c r="T9" s="34" t="n">
        <f aca="false">IF(08_TRANSMISSION!$C$17=1,08_TRANSMISSION!T34,0)</f>
        <v>4.50960104122266</v>
      </c>
      <c r="U9" s="34" t="n">
        <f aca="false">IF(08_TRANSMISSION!$C$17=1,08_TRANSMISSION!U34,0)</f>
        <v>4.59979306204712</v>
      </c>
      <c r="V9" s="34" t="n">
        <f aca="false">IF(08_TRANSMISSION!$C$17=1,08_TRANSMISSION!V34,0)</f>
        <v>4.69178892328806</v>
      </c>
      <c r="W9" s="34" t="n">
        <f aca="false">IF(08_TRANSMISSION!$C$17=1,08_TRANSMISSION!W34,0)</f>
        <v>4.78562470175382</v>
      </c>
      <c r="X9" s="34" t="n">
        <f aca="false">IF(08_TRANSMISSION!$C$17=1,08_TRANSMISSION!X34,0)</f>
        <v>4.8813371957889</v>
      </c>
      <c r="Y9" s="34" t="n">
        <f aca="false">IF(08_TRANSMISSION!$C$17=1,08_TRANSMISSION!Y34,0)</f>
        <v>4.97896393970467</v>
      </c>
      <c r="Z9" s="34" t="n">
        <f aca="false">IF(08_TRANSMISSION!$C$17=1,08_TRANSMISSION!Z34,0)</f>
        <v>5.07854321849877</v>
      </c>
      <c r="AA9" s="34" t="n">
        <f aca="false">IF(08_TRANSMISSION!$C$17=1,08_TRANSMISSION!AA34,0)</f>
        <v>5.18011408286874</v>
      </c>
      <c r="AB9" s="34" t="n">
        <f aca="false">IF(08_TRANSMISSION!$C$17=1,08_TRANSMISSION!AB34,0)</f>
        <v>5.28371636452612</v>
      </c>
      <c r="AC9" s="34" t="n">
        <f aca="false">IF(08_TRANSMISSION!$C$17=1,08_TRANSMISSION!AC34,0)</f>
        <v>5.38939069181664</v>
      </c>
      <c r="AD9" s="34" t="n">
        <f aca="false">IF(08_TRANSMISSION!$C$17=1,08_TRANSMISSION!AD34,0)</f>
        <v>5.49717850565297</v>
      </c>
      <c r="AE9" s="34" t="n">
        <f aca="false">IF(08_TRANSMISSION!$C$17=1,08_TRANSMISSION!AE34,0)</f>
        <v>5.60712207576603</v>
      </c>
      <c r="AF9" s="34" t="n">
        <f aca="false">IF(08_TRANSMISSION!$C$17=1,08_TRANSMISSION!AF34,0)</f>
        <v>5.71926451728135</v>
      </c>
      <c r="AG9" s="34" t="n">
        <f aca="false">IF(08_TRANSMISSION!$C$17=1,08_TRANSMISSION!AG34,0)</f>
        <v>5.83364980762698</v>
      </c>
      <c r="AH9" s="34" t="n">
        <f aca="false">IF(08_TRANSMISSION!$C$17=1,08_TRANSMISSION!AH34,0)</f>
        <v>5.95032280377952</v>
      </c>
      <c r="AI9" s="34" t="n">
        <f aca="false">IF(08_TRANSMISSION!$C$17=1,08_TRANSMISSION!AI34,0)</f>
        <v>6.06932925985511</v>
      </c>
      <c r="AJ9" s="34" t="n">
        <f aca="false">IF(08_TRANSMISSION!$C$17=1,08_TRANSMISSION!AJ34,0)</f>
        <v>6.19071584505221</v>
      </c>
      <c r="AK9" s="34" t="n">
        <f aca="false">IF(08_TRANSMISSION!$C$17=1,08_TRANSMISSION!AK34,0)</f>
        <v>6.31453016195326</v>
      </c>
      <c r="AL9" s="34" t="n">
        <f aca="false">IF(08_TRANSMISSION!$C$17=1,08_TRANSMISSION!AL34,0)</f>
        <v>6.44082076519232</v>
      </c>
      <c r="AM9" s="34" t="n">
        <f aca="false">IF(08_TRANSMISSION!$C$17=1,08_TRANSMISSION!AM34,0)</f>
        <v>6.56963718049617</v>
      </c>
      <c r="AN9" s="34" t="n">
        <f aca="false">IF(08_TRANSMISSION!$C$17=1,08_TRANSMISSION!AN34,0)</f>
        <v>0</v>
      </c>
      <c r="AO9" s="34" t="n">
        <f aca="false">IF(08_TRANSMISSION!$C$17=1,08_TRANSMISSION!AO34,0)</f>
        <v>0</v>
      </c>
      <c r="AP9" s="34" t="n">
        <f aca="false">IF(08_TRANSMISSION!$C$17=1,08_TRANSMISSION!AP34,0)</f>
        <v>0</v>
      </c>
      <c r="AQ9" s="34" t="n">
        <f aca="false">IF(08_TRANSMISSION!$C$17=1,08_TRANSMISSION!AQ34,0)</f>
        <v>0</v>
      </c>
      <c r="AR9" s="34" t="n">
        <f aca="false">IF(08_TRANSMISSION!$C$17=1,08_TRANSMISSION!AR34,0)</f>
        <v>0</v>
      </c>
    </row>
    <row r="10" customFormat="false" ht="15" hidden="false" customHeight="false" outlineLevel="0" collapsed="false">
      <c r="A10" s="8" t="s">
        <v>809</v>
      </c>
      <c r="B10" s="8" t="s">
        <v>84</v>
      </c>
      <c r="C10" s="34" t="n">
        <f aca="false">SUM(22_GOVERNMENT_SUPPORT!$E$10:$AR$10)</f>
        <v>0</v>
      </c>
      <c r="E10" s="57" t="n">
        <f aca="false">16_REVENUE!E19</f>
        <v>0</v>
      </c>
      <c r="F10" s="57" t="n">
        <f aca="false">16_REVENUE!F19</f>
        <v>0</v>
      </c>
      <c r="G10" s="57" t="n">
        <f aca="false">16_REVENUE!G19</f>
        <v>0</v>
      </c>
      <c r="H10" s="57" t="n">
        <f aca="false">16_REVENUE!H19</f>
        <v>0</v>
      </c>
      <c r="I10" s="57" t="n">
        <f aca="false">16_REVENUE!I19</f>
        <v>0</v>
      </c>
      <c r="J10" s="57" t="n">
        <f aca="false">16_REVENUE!J19</f>
        <v>0</v>
      </c>
      <c r="K10" s="57" t="n">
        <f aca="false">16_REVENUE!K19</f>
        <v>0</v>
      </c>
      <c r="L10" s="57" t="n">
        <f aca="false">16_REVENUE!L19</f>
        <v>0</v>
      </c>
      <c r="M10" s="57" t="n">
        <f aca="false">16_REVENUE!M19</f>
        <v>0</v>
      </c>
      <c r="N10" s="57" t="n">
        <f aca="false">16_REVENUE!N19</f>
        <v>0</v>
      </c>
      <c r="O10" s="57" t="n">
        <f aca="false">16_REVENUE!O19</f>
        <v>0</v>
      </c>
      <c r="P10" s="57" t="n">
        <f aca="false">16_REVENUE!P19</f>
        <v>0</v>
      </c>
      <c r="Q10" s="57" t="n">
        <f aca="false">16_REVENUE!Q19</f>
        <v>0</v>
      </c>
      <c r="R10" s="57" t="n">
        <f aca="false">16_REVENUE!R19</f>
        <v>0</v>
      </c>
      <c r="S10" s="57" t="n">
        <f aca="false">16_REVENUE!S19</f>
        <v>0</v>
      </c>
      <c r="T10" s="57" t="n">
        <f aca="false">16_REVENUE!T19</f>
        <v>0</v>
      </c>
      <c r="U10" s="57" t="n">
        <f aca="false">16_REVENUE!U19</f>
        <v>0</v>
      </c>
      <c r="V10" s="57" t="n">
        <f aca="false">16_REVENUE!V19</f>
        <v>0</v>
      </c>
      <c r="W10" s="57" t="n">
        <f aca="false">16_REVENUE!W19</f>
        <v>0</v>
      </c>
      <c r="X10" s="57" t="n">
        <f aca="false">16_REVENUE!X19</f>
        <v>0</v>
      </c>
      <c r="Y10" s="57" t="n">
        <f aca="false">16_REVENUE!Y19</f>
        <v>0</v>
      </c>
      <c r="Z10" s="57" t="n">
        <f aca="false">16_REVENUE!Z19</f>
        <v>0</v>
      </c>
      <c r="AA10" s="57" t="n">
        <f aca="false">16_REVENUE!AA19</f>
        <v>0</v>
      </c>
      <c r="AB10" s="57" t="n">
        <f aca="false">16_REVENUE!AB19</f>
        <v>0</v>
      </c>
      <c r="AC10" s="57" t="n">
        <f aca="false">16_REVENUE!AC19</f>
        <v>0</v>
      </c>
      <c r="AD10" s="57" t="n">
        <f aca="false">16_REVENUE!AD19</f>
        <v>0</v>
      </c>
      <c r="AE10" s="57" t="n">
        <f aca="false">16_REVENUE!AE19</f>
        <v>0</v>
      </c>
      <c r="AF10" s="57" t="n">
        <f aca="false">16_REVENUE!AF19</f>
        <v>0</v>
      </c>
      <c r="AG10" s="57" t="n">
        <f aca="false">16_REVENUE!AG19</f>
        <v>0</v>
      </c>
      <c r="AH10" s="57" t="n">
        <f aca="false">16_REVENUE!AH19</f>
        <v>0</v>
      </c>
      <c r="AI10" s="57" t="n">
        <f aca="false">16_REVENUE!AI19</f>
        <v>0</v>
      </c>
      <c r="AJ10" s="57" t="n">
        <f aca="false">16_REVENUE!AJ19</f>
        <v>0</v>
      </c>
      <c r="AK10" s="57" t="n">
        <f aca="false">16_REVENUE!AK19</f>
        <v>0</v>
      </c>
      <c r="AL10" s="57" t="n">
        <f aca="false">16_REVENUE!AL19</f>
        <v>0</v>
      </c>
      <c r="AM10" s="57" t="n">
        <f aca="false">16_REVENUE!AM19</f>
        <v>0</v>
      </c>
      <c r="AN10" s="57" t="n">
        <f aca="false">16_REVENUE!AN19</f>
        <v>0</v>
      </c>
      <c r="AO10" s="57" t="n">
        <f aca="false">16_REVENUE!AO19</f>
        <v>0</v>
      </c>
      <c r="AP10" s="57" t="n">
        <f aca="false">16_REVENUE!AP19</f>
        <v>0</v>
      </c>
      <c r="AQ10" s="57" t="n">
        <f aca="false">16_REVENUE!AQ19</f>
        <v>0</v>
      </c>
      <c r="AR10" s="57" t="n">
        <f aca="false">16_REVENUE!AR19</f>
        <v>0</v>
      </c>
    </row>
    <row r="11" customFormat="false" ht="15" hidden="false" customHeight="false" outlineLevel="0" collapsed="false">
      <c r="A11" s="4" t="s">
        <v>810</v>
      </c>
      <c r="B11" s="8" t="s">
        <v>84</v>
      </c>
      <c r="C11" s="34" t="n">
        <f aca="false">SUM(22_GOVERNMENT_SUPPORT!$E$11:$AR$11)</f>
        <v>558.371834399734</v>
      </c>
      <c r="E11" s="50" t="n">
        <f aca="false">22_GOVERNMENT_SUPPORT!E6+22_GOVERNMENT_SUPPORT!E7+22_GOVERNMENT_SUPPORT!E8+22_GOVERNMENT_SUPPORT!E9+22_GOVERNMENT_SUPPORT!E10</f>
        <v>14.8723146839573</v>
      </c>
      <c r="F11" s="50" t="n">
        <f aca="false">22_GOVERNMENT_SUPPORT!F6+22_GOVERNMENT_SUPPORT!F7+22_GOVERNMENT_SUPPORT!F8+22_GOVERNMENT_SUPPORT!F9+22_GOVERNMENT_SUPPORT!F10</f>
        <v>24.9686548197286</v>
      </c>
      <c r="G11" s="50" t="n">
        <f aca="false">22_GOVERNMENT_SUPPORT!G6+22_GOVERNMENT_SUPPORT!G7+22_GOVERNMENT_SUPPORT!G8+22_GOVERNMENT_SUPPORT!G9+22_GOVERNMENT_SUPPORT!G10</f>
        <v>117.596597328611</v>
      </c>
      <c r="H11" s="50" t="n">
        <f aca="false">22_GOVERNMENT_SUPPORT!H6+22_GOVERNMENT_SUPPORT!H7+22_GOVERNMENT_SUPPORT!H8+22_GOVERNMENT_SUPPORT!H9+22_GOVERNMENT_SUPPORT!H10</f>
        <v>122.979721330636</v>
      </c>
      <c r="I11" s="50" t="n">
        <f aca="false">22_GOVERNMENT_SUPPORT!I6+22_GOVERNMENT_SUPPORT!I7+22_GOVERNMENT_SUPPORT!I8+22_GOVERNMENT_SUPPORT!I9+22_GOVERNMENT_SUPPORT!I10</f>
        <v>127.875227395609</v>
      </c>
      <c r="J11" s="50" t="n">
        <f aca="false">22_GOVERNMENT_SUPPORT!J6+22_GOVERNMENT_SUPPORT!J7+22_GOVERNMENT_SUPPORT!J8+22_GOVERNMENT_SUPPORT!J9+22_GOVERNMENT_SUPPORT!J10</f>
        <v>3.69944354728224</v>
      </c>
      <c r="K11" s="50" t="n">
        <f aca="false">22_GOVERNMENT_SUPPORT!K6+22_GOVERNMENT_SUPPORT!K7+22_GOVERNMENT_SUPPORT!K8+22_GOVERNMENT_SUPPORT!K9+22_GOVERNMENT_SUPPORT!K10</f>
        <v>3.77343241822788</v>
      </c>
      <c r="L11" s="50" t="n">
        <f aca="false">22_GOVERNMENT_SUPPORT!L6+22_GOVERNMENT_SUPPORT!L7+22_GOVERNMENT_SUPPORT!L8+22_GOVERNMENT_SUPPORT!L9+22_GOVERNMENT_SUPPORT!L10</f>
        <v>3.84890106659244</v>
      </c>
      <c r="M11" s="50" t="n">
        <f aca="false">22_GOVERNMENT_SUPPORT!M6+22_GOVERNMENT_SUPPORT!M7+22_GOVERNMENT_SUPPORT!M8+22_GOVERNMENT_SUPPORT!M9+22_GOVERNMENT_SUPPORT!M10</f>
        <v>3.92587908792429</v>
      </c>
      <c r="N11" s="50" t="n">
        <f aca="false">22_GOVERNMENT_SUPPORT!N6+22_GOVERNMENT_SUPPORT!N7+22_GOVERNMENT_SUPPORT!N8+22_GOVERNMENT_SUPPORT!N9+22_GOVERNMENT_SUPPORT!N10</f>
        <v>4.00439666968278</v>
      </c>
      <c r="O11" s="50" t="n">
        <f aca="false">22_GOVERNMENT_SUPPORT!O6+22_GOVERNMENT_SUPPORT!O7+22_GOVERNMENT_SUPPORT!O8+22_GOVERNMENT_SUPPORT!O9+22_GOVERNMENT_SUPPORT!O10</f>
        <v>4.08448460307643</v>
      </c>
      <c r="P11" s="50" t="n">
        <f aca="false">22_GOVERNMENT_SUPPORT!P6+22_GOVERNMENT_SUPPORT!P7+22_GOVERNMENT_SUPPORT!P8+22_GOVERNMENT_SUPPORT!P9+22_GOVERNMENT_SUPPORT!P10</f>
        <v>4.16617429513796</v>
      </c>
      <c r="Q11" s="50" t="n">
        <f aca="false">22_GOVERNMENT_SUPPORT!Q6+22_GOVERNMENT_SUPPORT!Q7+22_GOVERNMENT_SUPPORT!Q8+22_GOVERNMENT_SUPPORT!Q9+22_GOVERNMENT_SUPPORT!Q10</f>
        <v>4.24949778104072</v>
      </c>
      <c r="R11" s="50" t="n">
        <f aca="false">22_GOVERNMENT_SUPPORT!R6+22_GOVERNMENT_SUPPORT!R7+22_GOVERNMENT_SUPPORT!R8+22_GOVERNMENT_SUPPORT!R9+22_GOVERNMENT_SUPPORT!R10</f>
        <v>4.33448773666154</v>
      </c>
      <c r="S11" s="50" t="n">
        <f aca="false">22_GOVERNMENT_SUPPORT!S6+22_GOVERNMENT_SUPPORT!S7+22_GOVERNMENT_SUPPORT!S8+22_GOVERNMENT_SUPPORT!S9+22_GOVERNMENT_SUPPORT!S10</f>
        <v>4.42117749139477</v>
      </c>
      <c r="T11" s="50" t="n">
        <f aca="false">22_GOVERNMENT_SUPPORT!T6+22_GOVERNMENT_SUPPORT!T7+22_GOVERNMENT_SUPPORT!T8+22_GOVERNMENT_SUPPORT!T9+22_GOVERNMENT_SUPPORT!T10</f>
        <v>4.50960104122266</v>
      </c>
      <c r="U11" s="50" t="n">
        <f aca="false">22_GOVERNMENT_SUPPORT!U6+22_GOVERNMENT_SUPPORT!U7+22_GOVERNMENT_SUPPORT!U8+22_GOVERNMENT_SUPPORT!U9+22_GOVERNMENT_SUPPORT!U10</f>
        <v>4.59979306204712</v>
      </c>
      <c r="V11" s="50" t="n">
        <f aca="false">22_GOVERNMENT_SUPPORT!V6+22_GOVERNMENT_SUPPORT!V7+22_GOVERNMENT_SUPPORT!V8+22_GOVERNMENT_SUPPORT!V9+22_GOVERNMENT_SUPPORT!V10</f>
        <v>4.69178892328806</v>
      </c>
      <c r="W11" s="50" t="n">
        <f aca="false">22_GOVERNMENT_SUPPORT!W6+22_GOVERNMENT_SUPPORT!W7+22_GOVERNMENT_SUPPORT!W8+22_GOVERNMENT_SUPPORT!W9+22_GOVERNMENT_SUPPORT!W10</f>
        <v>4.78562470175382</v>
      </c>
      <c r="X11" s="50" t="n">
        <f aca="false">22_GOVERNMENT_SUPPORT!X6+22_GOVERNMENT_SUPPORT!X7+22_GOVERNMENT_SUPPORT!X8+22_GOVERNMENT_SUPPORT!X9+22_GOVERNMENT_SUPPORT!X10</f>
        <v>4.8813371957889</v>
      </c>
      <c r="Y11" s="50" t="n">
        <f aca="false">22_GOVERNMENT_SUPPORT!Y6+22_GOVERNMENT_SUPPORT!Y7+22_GOVERNMENT_SUPPORT!Y8+22_GOVERNMENT_SUPPORT!Y9+22_GOVERNMENT_SUPPORT!Y10</f>
        <v>4.97896393970467</v>
      </c>
      <c r="Z11" s="50" t="n">
        <f aca="false">22_GOVERNMENT_SUPPORT!Z6+22_GOVERNMENT_SUPPORT!Z7+22_GOVERNMENT_SUPPORT!Z8+22_GOVERNMENT_SUPPORT!Z9+22_GOVERNMENT_SUPPORT!Z10</f>
        <v>5.07854321849877</v>
      </c>
      <c r="AA11" s="50" t="n">
        <f aca="false">22_GOVERNMENT_SUPPORT!AA6+22_GOVERNMENT_SUPPORT!AA7+22_GOVERNMENT_SUPPORT!AA8+22_GOVERNMENT_SUPPORT!AA9+22_GOVERNMENT_SUPPORT!AA10</f>
        <v>5.18011408286874</v>
      </c>
      <c r="AB11" s="50" t="n">
        <f aca="false">22_GOVERNMENT_SUPPORT!AB6+22_GOVERNMENT_SUPPORT!AB7+22_GOVERNMENT_SUPPORT!AB8+22_GOVERNMENT_SUPPORT!AB9+22_GOVERNMENT_SUPPORT!AB10</f>
        <v>5.28371636452612</v>
      </c>
      <c r="AC11" s="50" t="n">
        <f aca="false">22_GOVERNMENT_SUPPORT!AC6+22_GOVERNMENT_SUPPORT!AC7+22_GOVERNMENT_SUPPORT!AC8+22_GOVERNMENT_SUPPORT!AC9+22_GOVERNMENT_SUPPORT!AC10</f>
        <v>5.38939069181664</v>
      </c>
      <c r="AD11" s="50" t="n">
        <f aca="false">22_GOVERNMENT_SUPPORT!AD6+22_GOVERNMENT_SUPPORT!AD7+22_GOVERNMENT_SUPPORT!AD8+22_GOVERNMENT_SUPPORT!AD9+22_GOVERNMENT_SUPPORT!AD10</f>
        <v>5.49717850565297</v>
      </c>
      <c r="AE11" s="50" t="n">
        <f aca="false">22_GOVERNMENT_SUPPORT!AE6+22_GOVERNMENT_SUPPORT!AE7+22_GOVERNMENT_SUPPORT!AE8+22_GOVERNMENT_SUPPORT!AE9+22_GOVERNMENT_SUPPORT!AE10</f>
        <v>5.60712207576603</v>
      </c>
      <c r="AF11" s="50" t="n">
        <f aca="false">22_GOVERNMENT_SUPPORT!AF6+22_GOVERNMENT_SUPPORT!AF7+22_GOVERNMENT_SUPPORT!AF8+22_GOVERNMENT_SUPPORT!AF9+22_GOVERNMENT_SUPPORT!AF10</f>
        <v>5.71926451728135</v>
      </c>
      <c r="AG11" s="50" t="n">
        <f aca="false">22_GOVERNMENT_SUPPORT!AG6+22_GOVERNMENT_SUPPORT!AG7+22_GOVERNMENT_SUPPORT!AG8+22_GOVERNMENT_SUPPORT!AG9+22_GOVERNMENT_SUPPORT!AG10</f>
        <v>5.83364980762698</v>
      </c>
      <c r="AH11" s="50" t="n">
        <f aca="false">22_GOVERNMENT_SUPPORT!AH6+22_GOVERNMENT_SUPPORT!AH7+22_GOVERNMENT_SUPPORT!AH8+22_GOVERNMENT_SUPPORT!AH9+22_GOVERNMENT_SUPPORT!AH10</f>
        <v>5.95032280377952</v>
      </c>
      <c r="AI11" s="50" t="n">
        <f aca="false">22_GOVERNMENT_SUPPORT!AI6+22_GOVERNMENT_SUPPORT!AI7+22_GOVERNMENT_SUPPORT!AI8+22_GOVERNMENT_SUPPORT!AI9+22_GOVERNMENT_SUPPORT!AI10</f>
        <v>6.06932925985511</v>
      </c>
      <c r="AJ11" s="50" t="n">
        <f aca="false">22_GOVERNMENT_SUPPORT!AJ6+22_GOVERNMENT_SUPPORT!AJ7+22_GOVERNMENT_SUPPORT!AJ8+22_GOVERNMENT_SUPPORT!AJ9+22_GOVERNMENT_SUPPORT!AJ10</f>
        <v>6.19071584505221</v>
      </c>
      <c r="AK11" s="50" t="n">
        <f aca="false">22_GOVERNMENT_SUPPORT!AK6+22_GOVERNMENT_SUPPORT!AK7+22_GOVERNMENT_SUPPORT!AK8+22_GOVERNMENT_SUPPORT!AK9+22_GOVERNMENT_SUPPORT!AK10</f>
        <v>6.31453016195326</v>
      </c>
      <c r="AL11" s="50" t="n">
        <f aca="false">22_GOVERNMENT_SUPPORT!AL6+22_GOVERNMENT_SUPPORT!AL7+22_GOVERNMENT_SUPPORT!AL8+22_GOVERNMENT_SUPPORT!AL9+22_GOVERNMENT_SUPPORT!AL10</f>
        <v>6.44082076519232</v>
      </c>
      <c r="AM11" s="50" t="n">
        <f aca="false">22_GOVERNMENT_SUPPORT!AM6+22_GOVERNMENT_SUPPORT!AM7+22_GOVERNMENT_SUPPORT!AM8+22_GOVERNMENT_SUPPORT!AM9+22_GOVERNMENT_SUPPORT!AM10</f>
        <v>6.56963718049617</v>
      </c>
      <c r="AN11" s="50" t="n">
        <f aca="false">22_GOVERNMENT_SUPPORT!AN6+22_GOVERNMENT_SUPPORT!AN7+22_GOVERNMENT_SUPPORT!AN8+22_GOVERNMENT_SUPPORT!AN9+22_GOVERNMENT_SUPPORT!AN10</f>
        <v>0</v>
      </c>
      <c r="AO11" s="50" t="n">
        <f aca="false">22_GOVERNMENT_SUPPORT!AO6+22_GOVERNMENT_SUPPORT!AO7+22_GOVERNMENT_SUPPORT!AO8+22_GOVERNMENT_SUPPORT!AO9+22_GOVERNMENT_SUPPORT!AO10</f>
        <v>0</v>
      </c>
      <c r="AP11" s="50" t="n">
        <f aca="false">22_GOVERNMENT_SUPPORT!AP6+22_GOVERNMENT_SUPPORT!AP7+22_GOVERNMENT_SUPPORT!AP8+22_GOVERNMENT_SUPPORT!AP9+22_GOVERNMENT_SUPPORT!AP10</f>
        <v>0</v>
      </c>
      <c r="AQ11" s="50" t="n">
        <f aca="false">22_GOVERNMENT_SUPPORT!AQ6+22_GOVERNMENT_SUPPORT!AQ7+22_GOVERNMENT_SUPPORT!AQ8+22_GOVERNMENT_SUPPORT!AQ9+22_GOVERNMENT_SUPPORT!AQ10</f>
        <v>0</v>
      </c>
      <c r="AR11" s="50" t="n">
        <f aca="false">22_GOVERNMENT_SUPPORT!AR6+22_GOVERNMENT_SUPPORT!AR7+22_GOVERNMENT_SUPPORT!AR8+22_GOVERNMENT_SUPPORT!AR9+22_GOVERNMENT_SUPPORT!AR10</f>
        <v>0</v>
      </c>
    </row>
    <row r="13" customFormat="false" ht="15" hidden="false" customHeight="false" outlineLevel="0" collapsed="false">
      <c r="A13" s="10" t="s">
        <v>811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812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813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814</v>
      </c>
      <c r="B6" s="8" t="s">
        <v>815</v>
      </c>
      <c r="C6" s="23" t="n">
        <v>12</v>
      </c>
      <c r="D6" s="10" t="s">
        <v>816</v>
      </c>
    </row>
    <row r="7" customFormat="false" ht="15" hidden="false" customHeight="false" outlineLevel="0" collapsed="false">
      <c r="A7" s="8" t="s">
        <v>817</v>
      </c>
      <c r="B7" s="8" t="s">
        <v>818</v>
      </c>
      <c r="C7" s="12" t="n">
        <v>0</v>
      </c>
    </row>
    <row r="8" customFormat="false" ht="15" hidden="false" customHeight="false" outlineLevel="0" collapsed="false">
      <c r="A8" s="8" t="s">
        <v>819</v>
      </c>
      <c r="B8" s="8" t="s">
        <v>84</v>
      </c>
      <c r="C8" s="34" t="n">
        <f aca="false">MAX(23_GUARANTEES!$E$8:$AR$8)</f>
        <v>383.866577006628</v>
      </c>
      <c r="E8" s="34" t="n">
        <f aca="false">(1-17A_STRUCTURES!$C$13)*17A_STRUCTURES!$C$12*18_DEBT!E42</f>
        <v>36.6559963178633</v>
      </c>
      <c r="F8" s="34" t="n">
        <f aca="false">(1-17A_STRUCTURES!$C$13)*17A_STRUCTURES!$C$12*18_DEBT!F42</f>
        <v>132.62264056952</v>
      </c>
      <c r="G8" s="34" t="n">
        <f aca="false">(1-17A_STRUCTURES!$C$13)*17A_STRUCTURES!$C$12*18_DEBT!G42</f>
        <v>251.243936437108</v>
      </c>
      <c r="H8" s="34" t="n">
        <f aca="false">(1-17A_STRUCTURES!$C$13)*17A_STRUCTURES!$C$12*18_DEBT!H42</f>
        <v>347.210580688765</v>
      </c>
      <c r="I8" s="34" t="n">
        <f aca="false">(1-17A_STRUCTURES!$C$13)*17A_STRUCTURES!$C$12*18_DEBT!I42</f>
        <v>383.866577006628</v>
      </c>
      <c r="J8" s="34" t="n">
        <f aca="false">(1-17A_STRUCTURES!$C$13)*17A_STRUCTURES!$C$12*18_DEBT!J42</f>
        <v>378.417896771093</v>
      </c>
      <c r="K8" s="34" t="n">
        <f aca="false">(1-17A_STRUCTURES!$C$13)*17A_STRUCTURES!$C$12*18_DEBT!K42</f>
        <v>365.927284494528</v>
      </c>
      <c r="L8" s="34" t="n">
        <f aca="false">(1-17A_STRUCTURES!$C$13)*17A_STRUCTURES!$C$12*18_DEBT!L42</f>
        <v>352.041279222237</v>
      </c>
      <c r="M8" s="34" t="n">
        <f aca="false">(1-17A_STRUCTURES!$C$13)*17A_STRUCTURES!$C$12*18_DEBT!M42</f>
        <v>336.64032663429</v>
      </c>
      <c r="N8" s="34" t="n">
        <f aca="false">(1-17A_STRUCTURES!$C$13)*17A_STRUCTURES!$C$12*18_DEBT!N42</f>
        <v>319.595149607557</v>
      </c>
      <c r="O8" s="34" t="n">
        <f aca="false">(1-17A_STRUCTURES!$C$13)*17A_STRUCTURES!$C$12*18_DEBT!O42</f>
        <v>306.648346140866</v>
      </c>
      <c r="P8" s="34" t="n">
        <f aca="false">(1-17A_STRUCTURES!$C$13)*17A_STRUCTURES!$C$12*18_DEBT!P42</f>
        <v>292.736813805207</v>
      </c>
      <c r="Q8" s="34" t="n">
        <f aca="false">(1-17A_STRUCTURES!$C$13)*17A_STRUCTURES!$C$12*18_DEBT!Q42</f>
        <v>277.777371104777</v>
      </c>
      <c r="R8" s="34" t="n">
        <f aca="false">(1-17A_STRUCTURES!$C$13)*17A_STRUCTURES!$C$12*18_DEBT!R42</f>
        <v>261.680061960386</v>
      </c>
      <c r="S8" s="34" t="n">
        <f aca="false">(1-17A_STRUCTURES!$C$13)*17A_STRUCTURES!$C$12*18_DEBT!S42</f>
        <v>244.347611341506</v>
      </c>
      <c r="T8" s="34" t="n">
        <f aca="false">(1-17A_STRUCTURES!$C$13)*17A_STRUCTURES!$C$12*18_DEBT!T42</f>
        <v>225.674837300868</v>
      </c>
      <c r="U8" s="34" t="n">
        <f aca="false">(1-17A_STRUCTURES!$C$13)*17A_STRUCTURES!$C$12*18_DEBT!U42</f>
        <v>205.548015922834</v>
      </c>
      <c r="V8" s="34" t="n">
        <f aca="false">(1-17A_STRUCTURES!$C$13)*17A_STRUCTURES!$C$12*18_DEBT!V42</f>
        <v>183.844195417677</v>
      </c>
      <c r="W8" s="34" t="n">
        <f aca="false">(1-17A_STRUCTURES!$C$13)*17A_STRUCTURES!$C$12*18_DEBT!W42</f>
        <v>160.43045529244</v>
      </c>
      <c r="X8" s="34" t="n">
        <f aca="false">(1-17A_STRUCTURES!$C$13)*17A_STRUCTURES!$C$12*18_DEBT!X42</f>
        <v>135.163106203469</v>
      </c>
      <c r="Y8" s="34" t="n">
        <f aca="false">(1-17A_STRUCTURES!$C$13)*17A_STRUCTURES!$C$12*18_DEBT!Y42</f>
        <v>107.886825744142</v>
      </c>
      <c r="Z8" s="34" t="n">
        <f aca="false">(1-17A_STRUCTURES!$C$13)*17A_STRUCTURES!$C$12*18_DEBT!Z42</f>
        <v>78.4337250415114</v>
      </c>
      <c r="AA8" s="34" t="n">
        <f aca="false">(1-17A_STRUCTURES!$C$13)*17A_STRUCTURES!$C$12*18_DEBT!AA42</f>
        <v>46.6223406255323</v>
      </c>
      <c r="AB8" s="34" t="n">
        <f aca="false">(1-17A_STRUCTURES!$C$13)*17A_STRUCTURES!$C$12*18_DEBT!AB42</f>
        <v>39.9620062504562</v>
      </c>
      <c r="AC8" s="34" t="n">
        <f aca="false">(1-17A_STRUCTURES!$C$13)*17A_STRUCTURES!$C$12*18_DEBT!AC42</f>
        <v>33.3016718753802</v>
      </c>
      <c r="AD8" s="34" t="n">
        <f aca="false">(1-17A_STRUCTURES!$C$13)*17A_STRUCTURES!$C$12*18_DEBT!AD42</f>
        <v>26.6413375003042</v>
      </c>
      <c r="AE8" s="34" t="n">
        <f aca="false">(1-17A_STRUCTURES!$C$13)*17A_STRUCTURES!$C$12*18_DEBT!AE42</f>
        <v>19.9810031252281</v>
      </c>
      <c r="AF8" s="34" t="n">
        <f aca="false">(1-17A_STRUCTURES!$C$13)*17A_STRUCTURES!$C$12*18_DEBT!AF42</f>
        <v>13.3206687501521</v>
      </c>
      <c r="AG8" s="34" t="n">
        <f aca="false">(1-17A_STRUCTURES!$C$13)*17A_STRUCTURES!$C$12*18_DEBT!AG42</f>
        <v>6.66033437507605</v>
      </c>
      <c r="AH8" s="34" t="n">
        <f aca="false">(1-17A_STRUCTURES!$C$13)*17A_STRUCTURES!$C$12*18_DEBT!AH42</f>
        <v>0</v>
      </c>
      <c r="AI8" s="34" t="n">
        <f aca="false">(1-17A_STRUCTURES!$C$13)*17A_STRUCTURES!$C$12*18_DEBT!AI42</f>
        <v>0</v>
      </c>
      <c r="AJ8" s="34" t="n">
        <f aca="false">(1-17A_STRUCTURES!$C$13)*17A_STRUCTURES!$C$12*18_DEBT!AJ42</f>
        <v>0</v>
      </c>
      <c r="AK8" s="34" t="n">
        <f aca="false">(1-17A_STRUCTURES!$C$13)*17A_STRUCTURES!$C$12*18_DEBT!AK42</f>
        <v>0</v>
      </c>
      <c r="AL8" s="34" t="n">
        <f aca="false">(1-17A_STRUCTURES!$C$13)*17A_STRUCTURES!$C$12*18_DEBT!AL42</f>
        <v>0</v>
      </c>
      <c r="AM8" s="34" t="n">
        <f aca="false">(1-17A_STRUCTURES!$C$13)*17A_STRUCTURES!$C$12*18_DEBT!AM42</f>
        <v>0</v>
      </c>
      <c r="AN8" s="34" t="n">
        <f aca="false">(1-17A_STRUCTURES!$C$13)*17A_STRUCTURES!$C$12*18_DEBT!AN42</f>
        <v>0</v>
      </c>
      <c r="AO8" s="34" t="n">
        <f aca="false">(1-17A_STRUCTURES!$C$13)*17A_STRUCTURES!$C$12*18_DEBT!AO42</f>
        <v>0</v>
      </c>
      <c r="AP8" s="34" t="n">
        <f aca="false">(1-17A_STRUCTURES!$C$13)*17A_STRUCTURES!$C$12*18_DEBT!AP42</f>
        <v>0</v>
      </c>
      <c r="AQ8" s="34" t="n">
        <f aca="false">(1-17A_STRUCTURES!$C$13)*17A_STRUCTURES!$C$12*18_DEBT!AQ42</f>
        <v>0</v>
      </c>
      <c r="AR8" s="34" t="n">
        <f aca="false">(1-17A_STRUCTURES!$C$13)*17A_STRUCTURES!$C$12*18_DEBT!AR42</f>
        <v>0</v>
      </c>
    </row>
    <row r="9" customFormat="false" ht="15" hidden="false" customHeight="false" outlineLevel="0" collapsed="false">
      <c r="A9" s="8" t="s">
        <v>820</v>
      </c>
      <c r="B9" s="8" t="s">
        <v>84</v>
      </c>
      <c r="C9" s="34" t="n">
        <f aca="false">MAX(23_GUARANTEES!$E$9:$AR$9)</f>
        <v>229.90978461521</v>
      </c>
      <c r="E9" s="34" t="n">
        <f aca="false">17A_STRUCTURES!$C$14*23_GUARANTEES!$C$6/12*16_REVENUE!E15</f>
        <v>0</v>
      </c>
      <c r="F9" s="34" t="n">
        <f aca="false">17A_STRUCTURES!$C$14*23_GUARANTEES!$C$6/12*16_REVENUE!F15</f>
        <v>0</v>
      </c>
      <c r="G9" s="34" t="n">
        <f aca="false">17A_STRUCTURES!$C$14*23_GUARANTEES!$C$6/12*16_REVENUE!G15</f>
        <v>0</v>
      </c>
      <c r="H9" s="34" t="n">
        <f aca="false">17A_STRUCTURES!$C$14*23_GUARANTEES!$C$6/12*16_REVENUE!H15</f>
        <v>0</v>
      </c>
      <c r="I9" s="34" t="n">
        <f aca="false">17A_STRUCTURES!$C$14*23_GUARANTEES!$C$6/12*16_REVENUE!I15</f>
        <v>0</v>
      </c>
      <c r="J9" s="34" t="n">
        <f aca="false">17A_STRUCTURES!$C$14*23_GUARANTEES!$C$6/12*16_REVENUE!J15</f>
        <v>129.741919549119</v>
      </c>
      <c r="K9" s="34" t="n">
        <f aca="false">17A_STRUCTURES!$C$14*23_GUARANTEES!$C$6/12*16_REVENUE!K15</f>
        <v>154.629503458943</v>
      </c>
      <c r="L9" s="34" t="n">
        <f aca="false">17A_STRUCTURES!$C$14*23_GUARANTEES!$C$6/12*16_REVENUE!L15</f>
        <v>156.661293528122</v>
      </c>
      <c r="M9" s="34" t="n">
        <f aca="false">17A_STRUCTURES!$C$14*23_GUARANTEES!$C$6/12*16_REVENUE!M15</f>
        <v>158.733719398684</v>
      </c>
      <c r="N9" s="34" t="n">
        <f aca="false">17A_STRUCTURES!$C$14*23_GUARANTEES!$C$6/12*16_REVENUE!N15</f>
        <v>160.847593786658</v>
      </c>
      <c r="O9" s="34" t="n">
        <f aca="false">17A_STRUCTURES!$C$14*23_GUARANTEES!$C$6/12*16_REVENUE!O15</f>
        <v>163.003745662391</v>
      </c>
      <c r="P9" s="34" t="n">
        <f aca="false">17A_STRUCTURES!$C$14*23_GUARANTEES!$C$6/12*16_REVENUE!P15</f>
        <v>165.203020575639</v>
      </c>
      <c r="Q9" s="34" t="n">
        <f aca="false">17A_STRUCTURES!$C$14*23_GUARANTEES!$C$6/12*16_REVENUE!Q15</f>
        <v>167.446280987152</v>
      </c>
      <c r="R9" s="34" t="n">
        <f aca="false">17A_STRUCTURES!$C$14*23_GUARANTEES!$C$6/12*16_REVENUE!R15</f>
        <v>169.734406606895</v>
      </c>
      <c r="S9" s="34" t="n">
        <f aca="false">17A_STRUCTURES!$C$14*23_GUARANTEES!$C$6/12*16_REVENUE!S15</f>
        <v>172.068294739033</v>
      </c>
      <c r="T9" s="34" t="n">
        <f aca="false">17A_STRUCTURES!$C$14*23_GUARANTEES!$C$6/12*16_REVENUE!T15</f>
        <v>174.448860633814</v>
      </c>
      <c r="U9" s="34" t="n">
        <f aca="false">17A_STRUCTURES!$C$14*23_GUARANTEES!$C$6/12*16_REVENUE!U15</f>
        <v>176.87703784649</v>
      </c>
      <c r="V9" s="34" t="n">
        <f aca="false">17A_STRUCTURES!$C$14*23_GUARANTEES!$C$6/12*16_REVENUE!V15</f>
        <v>179.35377860342</v>
      </c>
      <c r="W9" s="34" t="n">
        <f aca="false">17A_STRUCTURES!$C$14*23_GUARANTEES!$C$6/12*16_REVENUE!W15</f>
        <v>181.880054175488</v>
      </c>
      <c r="X9" s="34" t="n">
        <f aca="false">17A_STRUCTURES!$C$14*23_GUARANTEES!$C$6/12*16_REVENUE!X15</f>
        <v>184.456855258998</v>
      </c>
      <c r="Y9" s="34" t="n">
        <f aca="false">17A_STRUCTURES!$C$14*23_GUARANTEES!$C$6/12*16_REVENUE!Y15</f>
        <v>187.085192364178</v>
      </c>
      <c r="Z9" s="34" t="n">
        <f aca="false">17A_STRUCTURES!$C$14*23_GUARANTEES!$C$6/12*16_REVENUE!Z15</f>
        <v>189.766096211461</v>
      </c>
      <c r="AA9" s="34" t="n">
        <f aca="false">17A_STRUCTURES!$C$14*23_GUARANTEES!$C$6/12*16_REVENUE!AA15</f>
        <v>192.50061813569</v>
      </c>
      <c r="AB9" s="34" t="n">
        <f aca="false">17A_STRUCTURES!$C$14*23_GUARANTEES!$C$6/12*16_REVENUE!AB15</f>
        <v>195.289830498404</v>
      </c>
      <c r="AC9" s="34" t="n">
        <f aca="false">17A_STRUCTURES!$C$14*23_GUARANTEES!$C$6/12*16_REVENUE!AC15</f>
        <v>198.134827108372</v>
      </c>
      <c r="AD9" s="34" t="n">
        <f aca="false">17A_STRUCTURES!$C$14*23_GUARANTEES!$C$6/12*16_REVENUE!AD15</f>
        <v>201.03672365054</v>
      </c>
      <c r="AE9" s="34" t="n">
        <f aca="false">17A_STRUCTURES!$C$14*23_GUARANTEES!$C$6/12*16_REVENUE!AE15</f>
        <v>203.996658123551</v>
      </c>
      <c r="AF9" s="34" t="n">
        <f aca="false">17A_STRUCTURES!$C$14*23_GUARANTEES!$C$6/12*16_REVENUE!AF15</f>
        <v>207.015791286022</v>
      </c>
      <c r="AG9" s="34" t="n">
        <f aca="false">17A_STRUCTURES!$C$14*23_GUARANTEES!$C$6/12*16_REVENUE!AG15</f>
        <v>210.095307111742</v>
      </c>
      <c r="AH9" s="34" t="n">
        <f aca="false">17A_STRUCTURES!$C$14*23_GUARANTEES!$C$6/12*16_REVENUE!AH15</f>
        <v>213.236413253977</v>
      </c>
      <c r="AI9" s="34" t="n">
        <f aca="false">17A_STRUCTURES!$C$14*23_GUARANTEES!$C$6/12*16_REVENUE!AI15</f>
        <v>216.440341519056</v>
      </c>
      <c r="AJ9" s="34" t="n">
        <f aca="false">17A_STRUCTURES!$C$14*23_GUARANTEES!$C$6/12*16_REVENUE!AJ15</f>
        <v>219.708348349438</v>
      </c>
      <c r="AK9" s="34" t="n">
        <f aca="false">17A_STRUCTURES!$C$14*23_GUARANTEES!$C$6/12*16_REVENUE!AK15</f>
        <v>223.041715316426</v>
      </c>
      <c r="AL9" s="34" t="n">
        <f aca="false">17A_STRUCTURES!$C$14*23_GUARANTEES!$C$6/12*16_REVENUE!AL15</f>
        <v>226.441749622755</v>
      </c>
      <c r="AM9" s="34" t="n">
        <f aca="false">17A_STRUCTURES!$C$14*23_GUARANTEES!$C$6/12*16_REVENUE!AM15</f>
        <v>229.90978461521</v>
      </c>
      <c r="AN9" s="34" t="n">
        <f aca="false">17A_STRUCTURES!$C$14*23_GUARANTEES!$C$6/12*16_REVENUE!AN15</f>
        <v>0</v>
      </c>
      <c r="AO9" s="34" t="n">
        <f aca="false">17A_STRUCTURES!$C$14*23_GUARANTEES!$C$6/12*16_REVENUE!AO15</f>
        <v>0</v>
      </c>
      <c r="AP9" s="34" t="n">
        <f aca="false">17A_STRUCTURES!$C$14*23_GUARANTEES!$C$6/12*16_REVENUE!AP15</f>
        <v>0</v>
      </c>
      <c r="AQ9" s="34" t="n">
        <f aca="false">17A_STRUCTURES!$C$14*23_GUARANTEES!$C$6/12*16_REVENUE!AQ15</f>
        <v>0</v>
      </c>
      <c r="AR9" s="34" t="n">
        <f aca="false">17A_STRUCTURES!$C$14*23_GUARANTEES!$C$6/12*16_REVENUE!AR15</f>
        <v>0</v>
      </c>
    </row>
    <row r="10" customFormat="false" ht="15" hidden="false" customHeight="false" outlineLevel="0" collapsed="false">
      <c r="A10" s="8" t="s">
        <v>821</v>
      </c>
      <c r="B10" s="8" t="s">
        <v>84</v>
      </c>
      <c r="C10" s="34" t="n">
        <f aca="false">MAX(23_GUARANTEES!$E$10:$AR$10)</f>
        <v>1220.92785723634</v>
      </c>
      <c r="E10" s="34" t="n">
        <f aca="false">17A_STRUCTURES!$C$15*(06_CONSTRUCTION!E14+06_CONSTRUCTION!E13&gt;0)*(18_DEBT!E42+MAX(19_EQUITY!E18*(1+14_PPA!$C$14),19_EQUITY!E17))</f>
        <v>240.534216534136</v>
      </c>
      <c r="F10" s="34" t="n">
        <f aca="false">17A_STRUCTURES!$C$15*(06_CONSTRUCTION!F14+06_CONSTRUCTION!F13&gt;0)*(18_DEBT!F42+MAX(19_EQUITY!F18*(1+14_PPA!$C$14),19_EQUITY!F17))</f>
        <v>502.7849610242</v>
      </c>
      <c r="G10" s="34" t="n">
        <f aca="false">17A_STRUCTURES!$C$15*(06_CONSTRUCTION!G14+06_CONSTRUCTION!G13&gt;0)*(18_DEBT!G42+MAX(19_EQUITY!G18*(1+14_PPA!$C$14),19_EQUITY!G17))</f>
        <v>825.022454633229</v>
      </c>
      <c r="H10" s="34" t="n">
        <f aca="false">17A_STRUCTURES!$C$15*(06_CONSTRUCTION!H14+06_CONSTRUCTION!H13&gt;0)*(18_DEBT!H42+MAX(19_EQUITY!H18*(1+14_PPA!$C$14),19_EQUITY!H17))</f>
        <v>1094.47595729344</v>
      </c>
      <c r="I10" s="34" t="n">
        <f aca="false">17A_STRUCTURES!$C$15*(06_CONSTRUCTION!I14+06_CONSTRUCTION!I13&gt;0)*(18_DEBT!I42+MAX(19_EQUITY!I18*(1+14_PPA!$C$14),19_EQUITY!I17))</f>
        <v>1220.08337392383</v>
      </c>
      <c r="J10" s="34" t="n">
        <f aca="false">17A_STRUCTURES!$C$15*(06_CONSTRUCTION!J14+06_CONSTRUCTION!J13&gt;0)*(18_DEBT!J42+MAX(19_EQUITY!J18*(1+14_PPA!$C$14),19_EQUITY!J17))</f>
        <v>1220.92785723634</v>
      </c>
      <c r="K10" s="34" t="n">
        <f aca="false">17A_STRUCTURES!$C$15*(06_CONSTRUCTION!K14+06_CONSTRUCTION!K13&gt;0)*(18_DEBT!K42+MAX(19_EQUITY!K18*(1+14_PPA!$C$14),19_EQUITY!K17))</f>
        <v>1194.40891205636</v>
      </c>
      <c r="L10" s="34" t="n">
        <f aca="false">17A_STRUCTURES!$C$15*(06_CONSTRUCTION!L14+06_CONSTRUCTION!L13&gt;0)*(18_DEBT!L42+MAX(19_EQUITY!L18*(1+14_PPA!$C$14),19_EQUITY!L17))</f>
        <v>1164.65068587315</v>
      </c>
      <c r="M10" s="34" t="n">
        <f aca="false">17A_STRUCTURES!$C$15*(06_CONSTRUCTION!M14+06_CONSTRUCTION!M13&gt;0)*(18_DEBT!M42+MAX(19_EQUITY!M18*(1+14_PPA!$C$14),19_EQUITY!M17))</f>
        <v>1131.38253438298</v>
      </c>
      <c r="N10" s="34" t="n">
        <f aca="false">17A_STRUCTURES!$C$15*(06_CONSTRUCTION!N14+06_CONSTRUCTION!N13&gt;0)*(18_DEBT!N42+MAX(19_EQUITY!N18*(1+14_PPA!$C$14),19_EQUITY!N17))</f>
        <v>1089.66996054378</v>
      </c>
      <c r="O10" s="34" t="n">
        <f aca="false">17A_STRUCTURES!$C$15*(06_CONSTRUCTION!O14+06_CONSTRUCTION!O13&gt;0)*(18_DEBT!O42+MAX(19_EQUITY!O18*(1+14_PPA!$C$14),19_EQUITY!O17))</f>
        <v>1061.95400777446</v>
      </c>
      <c r="P10" s="34" t="n">
        <f aca="false">17A_STRUCTURES!$C$15*(06_CONSTRUCTION!P14+06_CONSTRUCTION!P13&gt;0)*(18_DEBT!P42+MAX(19_EQUITY!P18*(1+14_PPA!$C$14),19_EQUITY!P17))</f>
        <v>1032.52149011629</v>
      </c>
      <c r="Q10" s="34" t="n">
        <f aca="false">17A_STRUCTURES!$C$15*(06_CONSTRUCTION!Q14+06_CONSTRUCTION!Q13&gt;0)*(18_DEBT!Q42+MAX(19_EQUITY!Q18*(1+14_PPA!$C$14),19_EQUITY!Q17))</f>
        <v>1001.22715131257</v>
      </c>
      <c r="R10" s="34" t="n">
        <f aca="false">17A_STRUCTURES!$C$15*(06_CONSTRUCTION!R14+06_CONSTRUCTION!R13&gt;0)*(18_DEBT!R42+MAX(19_EQUITY!R18*(1+14_PPA!$C$14),19_EQUITY!R17))</f>
        <v>967.99243845772</v>
      </c>
      <c r="S10" s="34" t="n">
        <f aca="false">17A_STRUCTURES!$C$15*(06_CONSTRUCTION!S14+06_CONSTRUCTION!S13&gt;0)*(18_DEBT!S42+MAX(19_EQUITY!S18*(1+14_PPA!$C$14),19_EQUITY!S17))</f>
        <v>932.74571918316</v>
      </c>
      <c r="T10" s="34" t="n">
        <f aca="false">17A_STRUCTURES!$C$15*(06_CONSTRUCTION!T14+06_CONSTRUCTION!T13&gt;0)*(18_DEBT!T42+MAX(19_EQUITY!T18*(1+14_PPA!$C$14),19_EQUITY!T17))</f>
        <v>895.424868932667</v>
      </c>
      <c r="U10" s="34" t="n">
        <f aca="false">17A_STRUCTURES!$C$15*(06_CONSTRUCTION!U14+06_CONSTRUCTION!U13&gt;0)*(18_DEBT!U42+MAX(19_EQUITY!U18*(1+14_PPA!$C$14),19_EQUITY!U17))</f>
        <v>855.980371323031</v>
      </c>
      <c r="V10" s="34" t="n">
        <f aca="false">17A_STRUCTURES!$C$15*(06_CONSTRUCTION!V14+06_CONSTRUCTION!V13&gt;0)*(18_DEBT!V42+MAX(19_EQUITY!V18*(1+14_PPA!$C$14),19_EQUITY!V17))</f>
        <v>814.379018573402</v>
      </c>
      <c r="W10" s="34" t="n">
        <f aca="false">17A_STRUCTURES!$C$15*(06_CONSTRUCTION!W14+06_CONSTRUCTION!W13&gt;0)*(18_DEBT!W42+MAX(19_EQUITY!W18*(1+14_PPA!$C$14),19_EQUITY!W17))</f>
        <v>770.6083128364</v>
      </c>
      <c r="X10" s="34" t="n">
        <f aca="false">17A_STRUCTURES!$C$15*(06_CONSTRUCTION!X14+06_CONSTRUCTION!X13&gt;0)*(18_DEBT!X42+MAX(19_EQUITY!X18*(1+14_PPA!$C$14),19_EQUITY!X17))</f>
        <v>724.681685255284</v>
      </c>
      <c r="Y10" s="34" t="n">
        <f aca="false">17A_STRUCTURES!$C$15*(06_CONSTRUCTION!Y14+06_CONSTRUCTION!Y13&gt;0)*(18_DEBT!Y42+MAX(19_EQUITY!Y18*(1+14_PPA!$C$14),19_EQUITY!Y17))</f>
        <v>676.644668030644</v>
      </c>
      <c r="Z10" s="34" t="n">
        <f aca="false">17A_STRUCTURES!$C$15*(06_CONSTRUCTION!Z14+06_CONSTRUCTION!Z13&gt;0)*(18_DEBT!Z42+MAX(19_EQUITY!Z18*(1+14_PPA!$C$14),19_EQUITY!Z17))</f>
        <v>626.582176083034</v>
      </c>
      <c r="AA10" s="34" t="n">
        <f aca="false">17A_STRUCTURES!$C$15*(06_CONSTRUCTION!AA14+06_CONSTRUCTION!AA13&gt;0)*(18_DEBT!AA42+MAX(19_EQUITY!AA18*(1+14_PPA!$C$14),19_EQUITY!AA17))</f>
        <v>552.75615681392</v>
      </c>
      <c r="AB10" s="34" t="n">
        <f aca="false">17A_STRUCTURES!$C$15*(06_CONSTRUCTION!AB14+06_CONSTRUCTION!AB13&gt;0)*(18_DEBT!AB42+MAX(19_EQUITY!AB18*(1+14_PPA!$C$14),19_EQUITY!AB17))</f>
        <v>520.906394059347</v>
      </c>
      <c r="AC10" s="34" t="n">
        <f aca="false">17A_STRUCTURES!$C$15*(06_CONSTRUCTION!AC14+06_CONSTRUCTION!AC13&gt;0)*(18_DEBT!AC42+MAX(19_EQUITY!AC18*(1+14_PPA!$C$14),19_EQUITY!AC17))</f>
        <v>485.488926972533</v>
      </c>
      <c r="AD10" s="34" t="n">
        <f aca="false">17A_STRUCTURES!$C$15*(06_CONSTRUCTION!AD14+06_CONSTRUCTION!AD13&gt;0)*(18_DEBT!AD42+MAX(19_EQUITY!AD18*(1+14_PPA!$C$14),19_EQUITY!AD17))</f>
        <v>457.542586335172</v>
      </c>
      <c r="AE10" s="34" t="n">
        <f aca="false">17A_STRUCTURES!$C$15*(06_CONSTRUCTION!AE14+06_CONSTRUCTION!AE13&gt;0)*(18_DEBT!AE42+MAX(19_EQUITY!AE18*(1+14_PPA!$C$14),19_EQUITY!AE17))</f>
        <v>426.570946230268</v>
      </c>
      <c r="AF10" s="34" t="n">
        <f aca="false">17A_STRUCTURES!$C$15*(06_CONSTRUCTION!AF14+06_CONSTRUCTION!AF13&gt;0)*(18_DEBT!AF42+MAX(19_EQUITY!AF18*(1+14_PPA!$C$14),19_EQUITY!AF17))</f>
        <v>392.098008750374</v>
      </c>
      <c r="AG10" s="34" t="n">
        <f aca="false">17A_STRUCTURES!$C$15*(06_CONSTRUCTION!AG14+06_CONSTRUCTION!AG13&gt;0)*(18_DEBT!AG42+MAX(19_EQUITY!AG18*(1+14_PPA!$C$14),19_EQUITY!AG17))</f>
        <v>353.575932242179</v>
      </c>
      <c r="AH10" s="34" t="n">
        <f aca="false">17A_STRUCTURES!$C$15*(06_CONSTRUCTION!AH14+06_CONSTRUCTION!AH13&gt;0)*(18_DEBT!AH42+MAX(19_EQUITY!AH18*(1+14_PPA!$C$14),19_EQUITY!AH17))</f>
        <v>305.116522130838</v>
      </c>
      <c r="AI10" s="34" t="n">
        <f aca="false">17A_STRUCTURES!$C$15*(06_CONSTRUCTION!AI14+06_CONSTRUCTION!AI13&gt;0)*(18_DEBT!AI42+MAX(19_EQUITY!AI18*(1+14_PPA!$C$14),19_EQUITY!AI17))</f>
        <v>262.014184037784</v>
      </c>
      <c r="AJ10" s="34" t="n">
        <f aca="false">17A_STRUCTURES!$C$15*(06_CONSTRUCTION!AJ14+06_CONSTRUCTION!AJ13&gt;0)*(18_DEBT!AJ42+MAX(19_EQUITY!AJ18*(1+14_PPA!$C$14),19_EQUITY!AJ17))</f>
        <v>211.220800627282</v>
      </c>
      <c r="AK10" s="34" t="n">
        <f aca="false">17A_STRUCTURES!$C$15*(06_CONSTRUCTION!AK14+06_CONSTRUCTION!AK13&gt;0)*(18_DEBT!AK42+MAX(19_EQUITY!AK18*(1+14_PPA!$C$14),19_EQUITY!AK17))</f>
        <v>151.558201209646</v>
      </c>
      <c r="AL10" s="34" t="n">
        <f aca="false">17A_STRUCTURES!$C$15*(06_CONSTRUCTION!AL14+06_CONSTRUCTION!AL13&gt;0)*(18_DEBT!AL42+MAX(19_EQUITY!AL18*(1+14_PPA!$C$14),19_EQUITY!AL17))</f>
        <v>81.6709992138943</v>
      </c>
      <c r="AM10" s="34" t="n">
        <f aca="false">17A_STRUCTURES!$C$15*(06_CONSTRUCTION!AM14+06_CONSTRUCTION!AM13&gt;0)*(18_DEBT!AM42+MAX(19_EQUITY!AM18*(1+14_PPA!$C$14),19_EQUITY!AM17))</f>
        <v>0</v>
      </c>
      <c r="AN10" s="34" t="n">
        <f aca="false">17A_STRUCTURES!$C$15*(06_CONSTRUCTION!AN14+06_CONSTRUCTION!AN13&gt;0)*(18_DEBT!AN42+MAX(19_EQUITY!AN18*(1+14_PPA!$C$14),19_EQUITY!AN17))</f>
        <v>0</v>
      </c>
      <c r="AO10" s="34" t="n">
        <f aca="false">17A_STRUCTURES!$C$15*(06_CONSTRUCTION!AO14+06_CONSTRUCTION!AO13&gt;0)*(18_DEBT!AO42+MAX(19_EQUITY!AO18*(1+14_PPA!$C$14),19_EQUITY!AO17))</f>
        <v>0</v>
      </c>
      <c r="AP10" s="34" t="n">
        <f aca="false">17A_STRUCTURES!$C$15*(06_CONSTRUCTION!AP14+06_CONSTRUCTION!AP13&gt;0)*(18_DEBT!AP42+MAX(19_EQUITY!AP18*(1+14_PPA!$C$14),19_EQUITY!AP17))</f>
        <v>0</v>
      </c>
      <c r="AQ10" s="34" t="n">
        <f aca="false">17A_STRUCTURES!$C$15*(06_CONSTRUCTION!AQ14+06_CONSTRUCTION!AQ13&gt;0)*(18_DEBT!AQ42+MAX(19_EQUITY!AQ18*(1+14_PPA!$C$14),19_EQUITY!AQ17))</f>
        <v>0</v>
      </c>
      <c r="AR10" s="34" t="n">
        <f aca="false">17A_STRUCTURES!$C$15*(06_CONSTRUCTION!AR14+06_CONSTRUCTION!AR13&gt;0)*(18_DEBT!AR42+MAX(19_EQUITY!AR18*(1+14_PPA!$C$14),19_EQUITY!AR17))</f>
        <v>0</v>
      </c>
    </row>
    <row r="11" customFormat="false" ht="15" hidden="false" customHeight="false" outlineLevel="0" collapsed="false">
      <c r="A11" s="8" t="s">
        <v>822</v>
      </c>
      <c r="B11" s="8" t="s">
        <v>84</v>
      </c>
      <c r="C11" s="34" t="n">
        <f aca="false">MAX(23_GUARANTEES!$E$11:$AR$11)</f>
        <v>147.427109424229</v>
      </c>
      <c r="E11" s="34" t="n">
        <f aca="false">17A_STRUCTURES!$C$16*(18_DEBT!E40+19_EQUITY!E14)</f>
        <v>0</v>
      </c>
      <c r="F11" s="34" t="n">
        <f aca="false">17A_STRUCTURES!$C$16*(18_DEBT!F40+19_EQUITY!F14)</f>
        <v>0</v>
      </c>
      <c r="G11" s="34" t="n">
        <f aca="false">17A_STRUCTURES!$C$16*(18_DEBT!G40+19_EQUITY!G14)</f>
        <v>0</v>
      </c>
      <c r="H11" s="34" t="n">
        <f aca="false">17A_STRUCTURES!$C$16*(18_DEBT!H40+19_EQUITY!H14)</f>
        <v>0</v>
      </c>
      <c r="I11" s="34" t="n">
        <f aca="false">17A_STRUCTURES!$C$16*(18_DEBT!I40+19_EQUITY!I14)</f>
        <v>0</v>
      </c>
      <c r="J11" s="34" t="n">
        <f aca="false">17A_STRUCTURES!$C$16*(18_DEBT!J40+19_EQUITY!J14)</f>
        <v>98.3405358622078</v>
      </c>
      <c r="K11" s="34" t="n">
        <f aca="false">17A_STRUCTURES!$C$16*(18_DEBT!K40+19_EQUITY!K14)</f>
        <v>126.784155892807</v>
      </c>
      <c r="L11" s="34" t="n">
        <f aca="false">17A_STRUCTURES!$C$16*(18_DEBT!L40+19_EQUITY!L14)</f>
        <v>128.231452267433</v>
      </c>
      <c r="M11" s="34" t="n">
        <f aca="false">17A_STRUCTURES!$C$16*(18_DEBT!M40+19_EQUITY!M14)</f>
        <v>129.707694569552</v>
      </c>
      <c r="N11" s="34" t="n">
        <f aca="false">17A_STRUCTURES!$C$16*(18_DEBT!N40+19_EQUITY!N14)</f>
        <v>135.857060897957</v>
      </c>
      <c r="O11" s="34" t="n">
        <f aca="false">17A_STRUCTURES!$C$16*(18_DEBT!O40+19_EQUITY!O14)</f>
        <v>118.586459731883</v>
      </c>
      <c r="P11" s="34" t="n">
        <f aca="false">17A_STRUCTURES!$C$16*(18_DEBT!P40+19_EQUITY!P14)</f>
        <v>119.243864108877</v>
      </c>
      <c r="Q11" s="34" t="n">
        <f aca="false">17A_STRUCTURES!$C$16*(18_DEBT!Q40+19_EQUITY!Q14)</f>
        <v>119.957867561335</v>
      </c>
      <c r="R11" s="34" t="n">
        <f aca="false">17A_STRUCTURES!$C$16*(18_DEBT!R40+19_EQUITY!R14)</f>
        <v>120.654535061358</v>
      </c>
      <c r="S11" s="34" t="n">
        <f aca="false">17A_STRUCTURES!$C$16*(18_DEBT!S40+19_EQUITY!S14)</f>
        <v>121.330905449998</v>
      </c>
      <c r="T11" s="34" t="n">
        <f aca="false">17A_STRUCTURES!$C$16*(18_DEBT!T40+19_EQUITY!T14)</f>
        <v>121.983749189936</v>
      </c>
      <c r="U11" s="34" t="n">
        <f aca="false">17A_STRUCTURES!$C$16*(18_DEBT!U40+19_EQUITY!U14)</f>
        <v>122.609546265501</v>
      </c>
      <c r="V11" s="34" t="n">
        <f aca="false">17A_STRUCTURES!$C$16*(18_DEBT!V40+19_EQUITY!V14)</f>
        <v>123.20446230209</v>
      </c>
      <c r="W11" s="34" t="n">
        <f aca="false">17A_STRUCTURES!$C$16*(18_DEBT!W40+19_EQUITY!W14)</f>
        <v>123.764322762304</v>
      </c>
      <c r="X11" s="34" t="n">
        <f aca="false">17A_STRUCTURES!$C$16*(18_DEBT!X40+19_EQUITY!X14)</f>
        <v>124.284585064669</v>
      </c>
      <c r="Y11" s="34" t="n">
        <f aca="false">17A_STRUCTURES!$C$16*(18_DEBT!Y40+19_EQUITY!Y14)</f>
        <v>124.760308458481</v>
      </c>
      <c r="Z11" s="34" t="n">
        <f aca="false">17A_STRUCTURES!$C$16*(18_DEBT!Z40+19_EQUITY!Z14)</f>
        <v>125.186121475022</v>
      </c>
      <c r="AA11" s="34" t="n">
        <f aca="false">17A_STRUCTURES!$C$16*(18_DEBT!AA40+19_EQUITY!AA14)</f>
        <v>147.427109424229</v>
      </c>
      <c r="AB11" s="34" t="n">
        <f aca="false">17A_STRUCTURES!$C$16*(18_DEBT!AB40+19_EQUITY!AB14)</f>
        <v>100.776484089001</v>
      </c>
      <c r="AC11" s="34" t="n">
        <f aca="false">17A_STRUCTURES!$C$16*(18_DEBT!AC40+19_EQUITY!AC14)</f>
        <v>101.564824320579</v>
      </c>
      <c r="AD11" s="34" t="n">
        <f aca="false">17A_STRUCTURES!$C$16*(18_DEBT!AD40+19_EQUITY!AD14)</f>
        <v>90.7791781206273</v>
      </c>
      <c r="AE11" s="34" t="n">
        <f aca="false">17A_STRUCTURES!$C$16*(18_DEBT!AE40+19_EQUITY!AE14)</f>
        <v>91.6106268050882</v>
      </c>
      <c r="AF11" s="34" t="n">
        <f aca="false">17A_STRUCTURES!$C$16*(18_DEBT!AF40+19_EQUITY!AF14)</f>
        <v>92.4642784768655</v>
      </c>
      <c r="AG11" s="34" t="n">
        <f aca="false">17A_STRUCTURES!$C$16*(18_DEBT!AG40+19_EQUITY!AG14)</f>
        <v>93.3405771957056</v>
      </c>
      <c r="AH11" s="34" t="n">
        <f aca="false">17A_STRUCTURES!$C$16*(18_DEBT!AH40+19_EQUITY!AH14)</f>
        <v>99.4976996351446</v>
      </c>
      <c r="AI11" s="34" t="n">
        <f aca="false">17A_STRUCTURES!$C$16*(18_DEBT!AI40+19_EQUITY!AI14)</f>
        <v>88.8698164126799</v>
      </c>
      <c r="AJ11" s="34" t="n">
        <f aca="false">17A_STRUCTURES!$C$16*(18_DEBT!AJ40+19_EQUITY!AJ14)</f>
        <v>90.0955110161692</v>
      </c>
      <c r="AK11" s="34" t="n">
        <f aca="false">17A_STRUCTURES!$C$16*(18_DEBT!AK40+19_EQUITY!AK14)</f>
        <v>91.3457195117284</v>
      </c>
      <c r="AL11" s="34" t="n">
        <f aca="false">17A_STRUCTURES!$C$16*(18_DEBT!AL40+19_EQUITY!AL14)</f>
        <v>92.6209321771988</v>
      </c>
      <c r="AM11" s="34" t="n">
        <f aca="false">17A_STRUCTURES!$C$16*(18_DEBT!AM40+19_EQUITY!AM14)</f>
        <v>93.9216490959785</v>
      </c>
      <c r="AN11" s="34" t="n">
        <f aca="false">17A_STRUCTURES!$C$16*(18_DEBT!AN40+19_EQUITY!AN14)</f>
        <v>0</v>
      </c>
      <c r="AO11" s="34" t="n">
        <f aca="false">17A_STRUCTURES!$C$16*(18_DEBT!AO40+19_EQUITY!AO14)</f>
        <v>0</v>
      </c>
      <c r="AP11" s="34" t="n">
        <f aca="false">17A_STRUCTURES!$C$16*(18_DEBT!AP40+19_EQUITY!AP14)</f>
        <v>0</v>
      </c>
      <c r="AQ11" s="34" t="n">
        <f aca="false">17A_STRUCTURES!$C$16*(18_DEBT!AQ40+19_EQUITY!AQ14)</f>
        <v>0</v>
      </c>
      <c r="AR11" s="34" t="n">
        <f aca="false">17A_STRUCTURES!$C$16*(18_DEBT!AR40+19_EQUITY!AR14)</f>
        <v>0</v>
      </c>
    </row>
    <row r="12" customFormat="false" ht="15" hidden="false" customHeight="false" outlineLevel="0" collapsed="false">
      <c r="A12" s="8" t="s">
        <v>823</v>
      </c>
      <c r="B12" s="8" t="s">
        <v>84</v>
      </c>
      <c r="C12" s="34" t="n">
        <f aca="false">SUM(23_GUARANTEES!$E$12:$AR$12)</f>
        <v>0</v>
      </c>
      <c r="E12" s="34" t="n">
        <f aca="false">06_CONSTRUCTION!E14*MAX(0,23_GUARANTEES!$C$7*16_REVENUE!E11/MAX(0.0001,04_GENERATION!E14)-16_REVENUE!E25)</f>
        <v>0</v>
      </c>
      <c r="F12" s="34" t="n">
        <f aca="false">06_CONSTRUCTION!F14*MAX(0,23_GUARANTEES!$C$7*16_REVENUE!F11/MAX(0.0001,04_GENERATION!F14)-16_REVENUE!F25)</f>
        <v>0</v>
      </c>
      <c r="G12" s="34" t="n">
        <f aca="false">06_CONSTRUCTION!G14*MAX(0,23_GUARANTEES!$C$7*16_REVENUE!G11/MAX(0.0001,04_GENERATION!G14)-16_REVENUE!G25)</f>
        <v>0</v>
      </c>
      <c r="H12" s="34" t="n">
        <f aca="false">06_CONSTRUCTION!H14*MAX(0,23_GUARANTEES!$C$7*16_REVENUE!H11/MAX(0.0001,04_GENERATION!H14)-16_REVENUE!H25)</f>
        <v>0</v>
      </c>
      <c r="I12" s="34" t="n">
        <f aca="false">06_CONSTRUCTION!I14*MAX(0,23_GUARANTEES!$C$7*16_REVENUE!I11/MAX(0.0001,04_GENERATION!I14)-16_REVENUE!I25)</f>
        <v>0</v>
      </c>
      <c r="J12" s="34" t="n">
        <f aca="false">06_CONSTRUCTION!J14*MAX(0,23_GUARANTEES!$C$7*16_REVENUE!J11/MAX(0.0001,04_GENERATION!J14)-16_REVENUE!J25)</f>
        <v>0</v>
      </c>
      <c r="K12" s="34" t="n">
        <f aca="false">06_CONSTRUCTION!K14*MAX(0,23_GUARANTEES!$C$7*16_REVENUE!K11/MAX(0.0001,04_GENERATION!K14)-16_REVENUE!K25)</f>
        <v>0</v>
      </c>
      <c r="L12" s="34" t="n">
        <f aca="false">06_CONSTRUCTION!L14*MAX(0,23_GUARANTEES!$C$7*16_REVENUE!L11/MAX(0.0001,04_GENERATION!L14)-16_REVENUE!L25)</f>
        <v>0</v>
      </c>
      <c r="M12" s="34" t="n">
        <f aca="false">06_CONSTRUCTION!M14*MAX(0,23_GUARANTEES!$C$7*16_REVENUE!M11/MAX(0.0001,04_GENERATION!M14)-16_REVENUE!M25)</f>
        <v>0</v>
      </c>
      <c r="N12" s="34" t="n">
        <f aca="false">06_CONSTRUCTION!N14*MAX(0,23_GUARANTEES!$C$7*16_REVENUE!N11/MAX(0.0001,04_GENERATION!N14)-16_REVENUE!N25)</f>
        <v>0</v>
      </c>
      <c r="O12" s="34" t="n">
        <f aca="false">06_CONSTRUCTION!O14*MAX(0,23_GUARANTEES!$C$7*16_REVENUE!O11/MAX(0.0001,04_GENERATION!O14)-16_REVENUE!O25)</f>
        <v>0</v>
      </c>
      <c r="P12" s="34" t="n">
        <f aca="false">06_CONSTRUCTION!P14*MAX(0,23_GUARANTEES!$C$7*16_REVENUE!P11/MAX(0.0001,04_GENERATION!P14)-16_REVENUE!P25)</f>
        <v>0</v>
      </c>
      <c r="Q12" s="34" t="n">
        <f aca="false">06_CONSTRUCTION!Q14*MAX(0,23_GUARANTEES!$C$7*16_REVENUE!Q11/MAX(0.0001,04_GENERATION!Q14)-16_REVENUE!Q25)</f>
        <v>0</v>
      </c>
      <c r="R12" s="34" t="n">
        <f aca="false">06_CONSTRUCTION!R14*MAX(0,23_GUARANTEES!$C$7*16_REVENUE!R11/MAX(0.0001,04_GENERATION!R14)-16_REVENUE!R25)</f>
        <v>0</v>
      </c>
      <c r="S12" s="34" t="n">
        <f aca="false">06_CONSTRUCTION!S14*MAX(0,23_GUARANTEES!$C$7*16_REVENUE!S11/MAX(0.0001,04_GENERATION!S14)-16_REVENUE!S25)</f>
        <v>0</v>
      </c>
      <c r="T12" s="34" t="n">
        <f aca="false">06_CONSTRUCTION!T14*MAX(0,23_GUARANTEES!$C$7*16_REVENUE!T11/MAX(0.0001,04_GENERATION!T14)-16_REVENUE!T25)</f>
        <v>0</v>
      </c>
      <c r="U12" s="34" t="n">
        <f aca="false">06_CONSTRUCTION!U14*MAX(0,23_GUARANTEES!$C$7*16_REVENUE!U11/MAX(0.0001,04_GENERATION!U14)-16_REVENUE!U25)</f>
        <v>0</v>
      </c>
      <c r="V12" s="34" t="n">
        <f aca="false">06_CONSTRUCTION!V14*MAX(0,23_GUARANTEES!$C$7*16_REVENUE!V11/MAX(0.0001,04_GENERATION!V14)-16_REVENUE!V25)</f>
        <v>0</v>
      </c>
      <c r="W12" s="34" t="n">
        <f aca="false">06_CONSTRUCTION!W14*MAX(0,23_GUARANTEES!$C$7*16_REVENUE!W11/MAX(0.0001,04_GENERATION!W14)-16_REVENUE!W25)</f>
        <v>0</v>
      </c>
      <c r="X12" s="34" t="n">
        <f aca="false">06_CONSTRUCTION!X14*MAX(0,23_GUARANTEES!$C$7*16_REVENUE!X11/MAX(0.0001,04_GENERATION!X14)-16_REVENUE!X25)</f>
        <v>0</v>
      </c>
      <c r="Y12" s="34" t="n">
        <f aca="false">06_CONSTRUCTION!Y14*MAX(0,23_GUARANTEES!$C$7*16_REVENUE!Y11/MAX(0.0001,04_GENERATION!Y14)-16_REVENUE!Y25)</f>
        <v>0</v>
      </c>
      <c r="Z12" s="34" t="n">
        <f aca="false">06_CONSTRUCTION!Z14*MAX(0,23_GUARANTEES!$C$7*16_REVENUE!Z11/MAX(0.0001,04_GENERATION!Z14)-16_REVENUE!Z25)</f>
        <v>0</v>
      </c>
      <c r="AA12" s="34" t="n">
        <f aca="false">06_CONSTRUCTION!AA14*MAX(0,23_GUARANTEES!$C$7*16_REVENUE!AA11/MAX(0.0001,04_GENERATION!AA14)-16_REVENUE!AA25)</f>
        <v>0</v>
      </c>
      <c r="AB12" s="34" t="n">
        <f aca="false">06_CONSTRUCTION!AB14*MAX(0,23_GUARANTEES!$C$7*16_REVENUE!AB11/MAX(0.0001,04_GENERATION!AB14)-16_REVENUE!AB25)</f>
        <v>0</v>
      </c>
      <c r="AC12" s="34" t="n">
        <f aca="false">06_CONSTRUCTION!AC14*MAX(0,23_GUARANTEES!$C$7*16_REVENUE!AC11/MAX(0.0001,04_GENERATION!AC14)-16_REVENUE!AC25)</f>
        <v>0</v>
      </c>
      <c r="AD12" s="34" t="n">
        <f aca="false">06_CONSTRUCTION!AD14*MAX(0,23_GUARANTEES!$C$7*16_REVENUE!AD11/MAX(0.0001,04_GENERATION!AD14)-16_REVENUE!AD25)</f>
        <v>0</v>
      </c>
      <c r="AE12" s="34" t="n">
        <f aca="false">06_CONSTRUCTION!AE14*MAX(0,23_GUARANTEES!$C$7*16_REVENUE!AE11/MAX(0.0001,04_GENERATION!AE14)-16_REVENUE!AE25)</f>
        <v>0</v>
      </c>
      <c r="AF12" s="34" t="n">
        <f aca="false">06_CONSTRUCTION!AF14*MAX(0,23_GUARANTEES!$C$7*16_REVENUE!AF11/MAX(0.0001,04_GENERATION!AF14)-16_REVENUE!AF25)</f>
        <v>0</v>
      </c>
      <c r="AG12" s="34" t="n">
        <f aca="false">06_CONSTRUCTION!AG14*MAX(0,23_GUARANTEES!$C$7*16_REVENUE!AG11/MAX(0.0001,04_GENERATION!AG14)-16_REVENUE!AG25)</f>
        <v>0</v>
      </c>
      <c r="AH12" s="34" t="n">
        <f aca="false">06_CONSTRUCTION!AH14*MAX(0,23_GUARANTEES!$C$7*16_REVENUE!AH11/MAX(0.0001,04_GENERATION!AH14)-16_REVENUE!AH25)</f>
        <v>0</v>
      </c>
      <c r="AI12" s="34" t="n">
        <f aca="false">06_CONSTRUCTION!AI14*MAX(0,23_GUARANTEES!$C$7*16_REVENUE!AI11/MAX(0.0001,04_GENERATION!AI14)-16_REVENUE!AI25)</f>
        <v>0</v>
      </c>
      <c r="AJ12" s="34" t="n">
        <f aca="false">06_CONSTRUCTION!AJ14*MAX(0,23_GUARANTEES!$C$7*16_REVENUE!AJ11/MAX(0.0001,04_GENERATION!AJ14)-16_REVENUE!AJ25)</f>
        <v>0</v>
      </c>
      <c r="AK12" s="34" t="n">
        <f aca="false">06_CONSTRUCTION!AK14*MAX(0,23_GUARANTEES!$C$7*16_REVENUE!AK11/MAX(0.0001,04_GENERATION!AK14)-16_REVENUE!AK25)</f>
        <v>0</v>
      </c>
      <c r="AL12" s="34" t="n">
        <f aca="false">06_CONSTRUCTION!AL14*MAX(0,23_GUARANTEES!$C$7*16_REVENUE!AL11/MAX(0.0001,04_GENERATION!AL14)-16_REVENUE!AL25)</f>
        <v>0</v>
      </c>
      <c r="AM12" s="34" t="n">
        <f aca="false">06_CONSTRUCTION!AM14*MAX(0,23_GUARANTEES!$C$7*16_REVENUE!AM11/MAX(0.0001,04_GENERATION!AM14)-16_REVENUE!AM25)</f>
        <v>0</v>
      </c>
      <c r="AN12" s="34" t="n">
        <f aca="false">06_CONSTRUCTION!AN14*MAX(0,23_GUARANTEES!$C$7*16_REVENUE!AN11/MAX(0.0001,04_GENERATION!AN14)-16_REVENUE!AN25)</f>
        <v>0</v>
      </c>
      <c r="AO12" s="34" t="n">
        <f aca="false">06_CONSTRUCTION!AO14*MAX(0,23_GUARANTEES!$C$7*16_REVENUE!AO11/MAX(0.0001,04_GENERATION!AO14)-16_REVENUE!AO25)</f>
        <v>0</v>
      </c>
      <c r="AP12" s="34" t="n">
        <f aca="false">06_CONSTRUCTION!AP14*MAX(0,23_GUARANTEES!$C$7*16_REVENUE!AP11/MAX(0.0001,04_GENERATION!AP14)-16_REVENUE!AP25)</f>
        <v>0</v>
      </c>
      <c r="AQ12" s="34" t="n">
        <f aca="false">06_CONSTRUCTION!AQ14*MAX(0,23_GUARANTEES!$C$7*16_REVENUE!AQ11/MAX(0.0001,04_GENERATION!AQ14)-16_REVENUE!AQ25)</f>
        <v>0</v>
      </c>
      <c r="AR12" s="34" t="n">
        <f aca="false">06_CONSTRUCTION!AR14*MAX(0,23_GUARANTEES!$C$7*16_REVENUE!AR11/MAX(0.0001,04_GENERATION!AR14)-16_REVENUE!AR25)</f>
        <v>0</v>
      </c>
    </row>
    <row r="13" customFormat="false" ht="15" hidden="false" customHeight="false" outlineLevel="0" collapsed="false">
      <c r="A13" s="8" t="s">
        <v>824</v>
      </c>
      <c r="B13" s="8" t="s">
        <v>84</v>
      </c>
      <c r="C13" s="34" t="n">
        <f aca="false">MAX(23_GUARANTEES!$E$13:$AR$13)</f>
        <v>0</v>
      </c>
      <c r="E13" s="34" t="n">
        <f aca="false">17A_STRUCTURES!$C$13*18_DEBT!E42</f>
        <v>0</v>
      </c>
      <c r="F13" s="34" t="n">
        <f aca="false">17A_STRUCTURES!$C$13*18_DEBT!F42</f>
        <v>0</v>
      </c>
      <c r="G13" s="34" t="n">
        <f aca="false">17A_STRUCTURES!$C$13*18_DEBT!G42</f>
        <v>0</v>
      </c>
      <c r="H13" s="34" t="n">
        <f aca="false">17A_STRUCTURES!$C$13*18_DEBT!H42</f>
        <v>0</v>
      </c>
      <c r="I13" s="34" t="n">
        <f aca="false">17A_STRUCTURES!$C$13*18_DEBT!I42</f>
        <v>0</v>
      </c>
      <c r="J13" s="34" t="n">
        <f aca="false">17A_STRUCTURES!$C$13*18_DEBT!J42</f>
        <v>0</v>
      </c>
      <c r="K13" s="34" t="n">
        <f aca="false">17A_STRUCTURES!$C$13*18_DEBT!K42</f>
        <v>0</v>
      </c>
      <c r="L13" s="34" t="n">
        <f aca="false">17A_STRUCTURES!$C$13*18_DEBT!L42</f>
        <v>0</v>
      </c>
      <c r="M13" s="34" t="n">
        <f aca="false">17A_STRUCTURES!$C$13*18_DEBT!M42</f>
        <v>0</v>
      </c>
      <c r="N13" s="34" t="n">
        <f aca="false">17A_STRUCTURES!$C$13*18_DEBT!N42</f>
        <v>0</v>
      </c>
      <c r="O13" s="34" t="n">
        <f aca="false">17A_STRUCTURES!$C$13*18_DEBT!O42</f>
        <v>0</v>
      </c>
      <c r="P13" s="34" t="n">
        <f aca="false">17A_STRUCTURES!$C$13*18_DEBT!P42</f>
        <v>0</v>
      </c>
      <c r="Q13" s="34" t="n">
        <f aca="false">17A_STRUCTURES!$C$13*18_DEBT!Q42</f>
        <v>0</v>
      </c>
      <c r="R13" s="34" t="n">
        <f aca="false">17A_STRUCTURES!$C$13*18_DEBT!R42</f>
        <v>0</v>
      </c>
      <c r="S13" s="34" t="n">
        <f aca="false">17A_STRUCTURES!$C$13*18_DEBT!S42</f>
        <v>0</v>
      </c>
      <c r="T13" s="34" t="n">
        <f aca="false">17A_STRUCTURES!$C$13*18_DEBT!T42</f>
        <v>0</v>
      </c>
      <c r="U13" s="34" t="n">
        <f aca="false">17A_STRUCTURES!$C$13*18_DEBT!U42</f>
        <v>0</v>
      </c>
      <c r="V13" s="34" t="n">
        <f aca="false">17A_STRUCTURES!$C$13*18_DEBT!V42</f>
        <v>0</v>
      </c>
      <c r="W13" s="34" t="n">
        <f aca="false">17A_STRUCTURES!$C$13*18_DEBT!W42</f>
        <v>0</v>
      </c>
      <c r="X13" s="34" t="n">
        <f aca="false">17A_STRUCTURES!$C$13*18_DEBT!X42</f>
        <v>0</v>
      </c>
      <c r="Y13" s="34" t="n">
        <f aca="false">17A_STRUCTURES!$C$13*18_DEBT!Y42</f>
        <v>0</v>
      </c>
      <c r="Z13" s="34" t="n">
        <f aca="false">17A_STRUCTURES!$C$13*18_DEBT!Z42</f>
        <v>0</v>
      </c>
      <c r="AA13" s="34" t="n">
        <f aca="false">17A_STRUCTURES!$C$13*18_DEBT!AA42</f>
        <v>0</v>
      </c>
      <c r="AB13" s="34" t="n">
        <f aca="false">17A_STRUCTURES!$C$13*18_DEBT!AB42</f>
        <v>0</v>
      </c>
      <c r="AC13" s="34" t="n">
        <f aca="false">17A_STRUCTURES!$C$13*18_DEBT!AC42</f>
        <v>0</v>
      </c>
      <c r="AD13" s="34" t="n">
        <f aca="false">17A_STRUCTURES!$C$13*18_DEBT!AD42</f>
        <v>0</v>
      </c>
      <c r="AE13" s="34" t="n">
        <f aca="false">17A_STRUCTURES!$C$13*18_DEBT!AE42</f>
        <v>0</v>
      </c>
      <c r="AF13" s="34" t="n">
        <f aca="false">17A_STRUCTURES!$C$13*18_DEBT!AF42</f>
        <v>0</v>
      </c>
      <c r="AG13" s="34" t="n">
        <f aca="false">17A_STRUCTURES!$C$13*18_DEBT!AG42</f>
        <v>0</v>
      </c>
      <c r="AH13" s="34" t="n">
        <f aca="false">17A_STRUCTURES!$C$13*18_DEBT!AH42</f>
        <v>0</v>
      </c>
      <c r="AI13" s="34" t="n">
        <f aca="false">17A_STRUCTURES!$C$13*18_DEBT!AI42</f>
        <v>0</v>
      </c>
      <c r="AJ13" s="34" t="n">
        <f aca="false">17A_STRUCTURES!$C$13*18_DEBT!AJ42</f>
        <v>0</v>
      </c>
      <c r="AK13" s="34" t="n">
        <f aca="false">17A_STRUCTURES!$C$13*18_DEBT!AK42</f>
        <v>0</v>
      </c>
      <c r="AL13" s="34" t="n">
        <f aca="false">17A_STRUCTURES!$C$13*18_DEBT!AL42</f>
        <v>0</v>
      </c>
      <c r="AM13" s="34" t="n">
        <f aca="false">17A_STRUCTURES!$C$13*18_DEBT!AM42</f>
        <v>0</v>
      </c>
      <c r="AN13" s="34" t="n">
        <f aca="false">17A_STRUCTURES!$C$13*18_DEBT!AN42</f>
        <v>0</v>
      </c>
      <c r="AO13" s="34" t="n">
        <f aca="false">17A_STRUCTURES!$C$13*18_DEBT!AO42</f>
        <v>0</v>
      </c>
      <c r="AP13" s="34" t="n">
        <f aca="false">17A_STRUCTURES!$C$13*18_DEBT!AP42</f>
        <v>0</v>
      </c>
      <c r="AQ13" s="34" t="n">
        <f aca="false">17A_STRUCTURES!$C$13*18_DEBT!AQ42</f>
        <v>0</v>
      </c>
      <c r="AR13" s="34" t="n">
        <f aca="false">17A_STRUCTURES!$C$13*18_DEBT!AR42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825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826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827</v>
      </c>
      <c r="B6" s="8" t="s">
        <v>120</v>
      </c>
      <c r="C6" s="25" t="n">
        <v>0.02</v>
      </c>
      <c r="D6" s="10" t="s">
        <v>828</v>
      </c>
    </row>
    <row r="7" customFormat="false" ht="15" hidden="false" customHeight="false" outlineLevel="0" collapsed="false">
      <c r="A7" s="8" t="s">
        <v>829</v>
      </c>
      <c r="B7" s="8" t="s">
        <v>120</v>
      </c>
      <c r="C7" s="25" t="n">
        <v>0.08</v>
      </c>
      <c r="D7" s="10" t="s">
        <v>830</v>
      </c>
    </row>
    <row r="8" customFormat="false" ht="15" hidden="false" customHeight="false" outlineLevel="0" collapsed="false">
      <c r="A8" s="8" t="s">
        <v>831</v>
      </c>
      <c r="B8" s="8" t="s">
        <v>120</v>
      </c>
      <c r="C8" s="25" t="n">
        <v>0.005</v>
      </c>
      <c r="D8" s="10" t="s">
        <v>828</v>
      </c>
    </row>
    <row r="9" customFormat="false" ht="15" hidden="false" customHeight="false" outlineLevel="0" collapsed="false">
      <c r="A9" s="8" t="s">
        <v>832</v>
      </c>
      <c r="B9" s="8" t="s">
        <v>56</v>
      </c>
      <c r="C9" s="12" t="n">
        <v>0.6</v>
      </c>
      <c r="D9" s="10" t="s">
        <v>828</v>
      </c>
    </row>
    <row r="10" customFormat="false" ht="15" hidden="false" customHeight="false" outlineLevel="0" collapsed="false">
      <c r="A10" s="6" t="s">
        <v>833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</row>
    <row r="11" customFormat="false" ht="15" hidden="false" customHeight="false" outlineLevel="0" collapsed="false">
      <c r="A11" s="4" t="s">
        <v>834</v>
      </c>
      <c r="B11" s="8" t="s">
        <v>84</v>
      </c>
      <c r="C11" s="34" t="n">
        <f aca="false">MAX(24_CONTINGENT_LIABILITIES!$E$11:$AR$11)</f>
        <v>1220.92785723634</v>
      </c>
      <c r="E11" s="50" t="n">
        <f aca="false">MAX(23_GUARANTEES!E10,23_GUARANTEES!E8+23_GUARANTEES!E9+23_GUARANTEES!E11)</f>
        <v>240.534216534136</v>
      </c>
      <c r="F11" s="50" t="n">
        <f aca="false">MAX(23_GUARANTEES!F10,23_GUARANTEES!F8+23_GUARANTEES!F9+23_GUARANTEES!F11)</f>
        <v>502.7849610242</v>
      </c>
      <c r="G11" s="50" t="n">
        <f aca="false">MAX(23_GUARANTEES!G10,23_GUARANTEES!G8+23_GUARANTEES!G9+23_GUARANTEES!G11)</f>
        <v>825.022454633229</v>
      </c>
      <c r="H11" s="50" t="n">
        <f aca="false">MAX(23_GUARANTEES!H10,23_GUARANTEES!H8+23_GUARANTEES!H9+23_GUARANTEES!H11)</f>
        <v>1094.47595729344</v>
      </c>
      <c r="I11" s="50" t="n">
        <f aca="false">MAX(23_GUARANTEES!I10,23_GUARANTEES!I8+23_GUARANTEES!I9+23_GUARANTEES!I11)</f>
        <v>1220.08337392383</v>
      </c>
      <c r="J11" s="50" t="n">
        <f aca="false">MAX(23_GUARANTEES!J10,23_GUARANTEES!J8+23_GUARANTEES!J9+23_GUARANTEES!J11)</f>
        <v>1220.92785723634</v>
      </c>
      <c r="K11" s="50" t="n">
        <f aca="false">MAX(23_GUARANTEES!K10,23_GUARANTEES!K8+23_GUARANTEES!K9+23_GUARANTEES!K11)</f>
        <v>1194.40891205636</v>
      </c>
      <c r="L11" s="50" t="n">
        <f aca="false">MAX(23_GUARANTEES!L10,23_GUARANTEES!L8+23_GUARANTEES!L9+23_GUARANTEES!L11)</f>
        <v>1164.65068587315</v>
      </c>
      <c r="M11" s="50" t="n">
        <f aca="false">MAX(23_GUARANTEES!M10,23_GUARANTEES!M8+23_GUARANTEES!M9+23_GUARANTEES!M11)</f>
        <v>1131.38253438298</v>
      </c>
      <c r="N11" s="50" t="n">
        <f aca="false">MAX(23_GUARANTEES!N10,23_GUARANTEES!N8+23_GUARANTEES!N9+23_GUARANTEES!N11)</f>
        <v>1089.66996054378</v>
      </c>
      <c r="O11" s="50" t="n">
        <f aca="false">MAX(23_GUARANTEES!O10,23_GUARANTEES!O8+23_GUARANTEES!O9+23_GUARANTEES!O11)</f>
        <v>1061.95400777446</v>
      </c>
      <c r="P11" s="50" t="n">
        <f aca="false">MAX(23_GUARANTEES!P10,23_GUARANTEES!P8+23_GUARANTEES!P9+23_GUARANTEES!P11)</f>
        <v>1032.52149011629</v>
      </c>
      <c r="Q11" s="50" t="n">
        <f aca="false">MAX(23_GUARANTEES!Q10,23_GUARANTEES!Q8+23_GUARANTEES!Q9+23_GUARANTEES!Q11)</f>
        <v>1001.22715131257</v>
      </c>
      <c r="R11" s="50" t="n">
        <f aca="false">MAX(23_GUARANTEES!R10,23_GUARANTEES!R8+23_GUARANTEES!R9+23_GUARANTEES!R11)</f>
        <v>967.99243845772</v>
      </c>
      <c r="S11" s="50" t="n">
        <f aca="false">MAX(23_GUARANTEES!S10,23_GUARANTEES!S8+23_GUARANTEES!S9+23_GUARANTEES!S11)</f>
        <v>932.74571918316</v>
      </c>
      <c r="T11" s="50" t="n">
        <f aca="false">MAX(23_GUARANTEES!T10,23_GUARANTEES!T8+23_GUARANTEES!T9+23_GUARANTEES!T11)</f>
        <v>895.424868932667</v>
      </c>
      <c r="U11" s="50" t="n">
        <f aca="false">MAX(23_GUARANTEES!U10,23_GUARANTEES!U8+23_GUARANTEES!U9+23_GUARANTEES!U11)</f>
        <v>855.980371323031</v>
      </c>
      <c r="V11" s="50" t="n">
        <f aca="false">MAX(23_GUARANTEES!V10,23_GUARANTEES!V8+23_GUARANTEES!V9+23_GUARANTEES!V11)</f>
        <v>814.379018573402</v>
      </c>
      <c r="W11" s="50" t="n">
        <f aca="false">MAX(23_GUARANTEES!W10,23_GUARANTEES!W8+23_GUARANTEES!W9+23_GUARANTEES!W11)</f>
        <v>770.6083128364</v>
      </c>
      <c r="X11" s="50" t="n">
        <f aca="false">MAX(23_GUARANTEES!X10,23_GUARANTEES!X8+23_GUARANTEES!X9+23_GUARANTEES!X11)</f>
        <v>724.681685255284</v>
      </c>
      <c r="Y11" s="50" t="n">
        <f aca="false">MAX(23_GUARANTEES!Y10,23_GUARANTEES!Y8+23_GUARANTEES!Y9+23_GUARANTEES!Y11)</f>
        <v>676.644668030644</v>
      </c>
      <c r="Z11" s="50" t="n">
        <f aca="false">MAX(23_GUARANTEES!Z10,23_GUARANTEES!Z8+23_GUARANTEES!Z9+23_GUARANTEES!Z11)</f>
        <v>626.582176083034</v>
      </c>
      <c r="AA11" s="50" t="n">
        <f aca="false">MAX(23_GUARANTEES!AA10,23_GUARANTEES!AA8+23_GUARANTEES!AA9+23_GUARANTEES!AA11)</f>
        <v>552.75615681392</v>
      </c>
      <c r="AB11" s="50" t="n">
        <f aca="false">MAX(23_GUARANTEES!AB10,23_GUARANTEES!AB8+23_GUARANTEES!AB9+23_GUARANTEES!AB11)</f>
        <v>520.906394059347</v>
      </c>
      <c r="AC11" s="50" t="n">
        <f aca="false">MAX(23_GUARANTEES!AC10,23_GUARANTEES!AC8+23_GUARANTEES!AC9+23_GUARANTEES!AC11)</f>
        <v>485.488926972533</v>
      </c>
      <c r="AD11" s="50" t="n">
        <f aca="false">MAX(23_GUARANTEES!AD10,23_GUARANTEES!AD8+23_GUARANTEES!AD9+23_GUARANTEES!AD11)</f>
        <v>457.542586335172</v>
      </c>
      <c r="AE11" s="50" t="n">
        <f aca="false">MAX(23_GUARANTEES!AE10,23_GUARANTEES!AE8+23_GUARANTEES!AE9+23_GUARANTEES!AE11)</f>
        <v>426.570946230268</v>
      </c>
      <c r="AF11" s="50" t="n">
        <f aca="false">MAX(23_GUARANTEES!AF10,23_GUARANTEES!AF8+23_GUARANTEES!AF9+23_GUARANTEES!AF11)</f>
        <v>392.098008750374</v>
      </c>
      <c r="AG11" s="50" t="n">
        <f aca="false">MAX(23_GUARANTEES!AG10,23_GUARANTEES!AG8+23_GUARANTEES!AG9+23_GUARANTEES!AG11)</f>
        <v>353.575932242179</v>
      </c>
      <c r="AH11" s="50" t="n">
        <f aca="false">MAX(23_GUARANTEES!AH10,23_GUARANTEES!AH8+23_GUARANTEES!AH9+23_GUARANTEES!AH11)</f>
        <v>312.734112889122</v>
      </c>
      <c r="AI11" s="50" t="n">
        <f aca="false">MAX(23_GUARANTEES!AI10,23_GUARANTEES!AI8+23_GUARANTEES!AI9+23_GUARANTEES!AI11)</f>
        <v>305.310157931736</v>
      </c>
      <c r="AJ11" s="50" t="n">
        <f aca="false">MAX(23_GUARANTEES!AJ10,23_GUARANTEES!AJ8+23_GUARANTEES!AJ9+23_GUARANTEES!AJ11)</f>
        <v>309.803859365607</v>
      </c>
      <c r="AK11" s="50" t="n">
        <f aca="false">MAX(23_GUARANTEES!AK10,23_GUARANTEES!AK8+23_GUARANTEES!AK9+23_GUARANTEES!AK11)</f>
        <v>314.387434828155</v>
      </c>
      <c r="AL11" s="50" t="n">
        <f aca="false">MAX(23_GUARANTEES!AL10,23_GUARANTEES!AL8+23_GUARANTEES!AL9+23_GUARANTEES!AL11)</f>
        <v>319.062681799954</v>
      </c>
      <c r="AM11" s="50" t="n">
        <f aca="false">MAX(23_GUARANTEES!AM10,23_GUARANTEES!AM8+23_GUARANTEES!AM9+23_GUARANTEES!AM11)</f>
        <v>323.831433711189</v>
      </c>
      <c r="AN11" s="50" t="n">
        <f aca="false">MAX(23_GUARANTEES!AN10,23_GUARANTEES!AN8+23_GUARANTEES!AN9+23_GUARANTEES!AN11)</f>
        <v>0</v>
      </c>
      <c r="AO11" s="50" t="n">
        <f aca="false">MAX(23_GUARANTEES!AO10,23_GUARANTEES!AO8+23_GUARANTEES!AO9+23_GUARANTEES!AO11)</f>
        <v>0</v>
      </c>
      <c r="AP11" s="50" t="n">
        <f aca="false">MAX(23_GUARANTEES!AP10,23_GUARANTEES!AP8+23_GUARANTEES!AP9+23_GUARANTEES!AP11)</f>
        <v>0</v>
      </c>
      <c r="AQ11" s="50" t="n">
        <f aca="false">MAX(23_GUARANTEES!AQ10,23_GUARANTEES!AQ8+23_GUARANTEES!AQ9+23_GUARANTEES!AQ11)</f>
        <v>0</v>
      </c>
      <c r="AR11" s="50" t="n">
        <f aca="false">MAX(23_GUARANTEES!AR10,23_GUARANTEES!AR8+23_GUARANTEES!AR9+23_GUARANTEES!AR11)</f>
        <v>0</v>
      </c>
    </row>
    <row r="12" customFormat="false" ht="15" hidden="false" customHeight="false" outlineLevel="0" collapsed="false">
      <c r="A12" s="6" t="s">
        <v>835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</row>
    <row r="13" customFormat="false" ht="15" hidden="false" customHeight="false" outlineLevel="0" collapsed="false">
      <c r="A13" s="8" t="s">
        <v>836</v>
      </c>
      <c r="B13" s="8" t="s">
        <v>84</v>
      </c>
      <c r="C13" s="34" t="n">
        <f aca="false">SUM(24_CONTINGENT_LIABILITIES!$E$13:$AR$13)</f>
        <v>0</v>
      </c>
      <c r="E13" s="57" t="n">
        <f aca="false">16_REVENUE!E22</f>
        <v>0</v>
      </c>
      <c r="F13" s="57" t="n">
        <f aca="false">16_REVENUE!F22</f>
        <v>0</v>
      </c>
      <c r="G13" s="57" t="n">
        <f aca="false">16_REVENUE!G22</f>
        <v>0</v>
      </c>
      <c r="H13" s="57" t="n">
        <f aca="false">16_REVENUE!H22</f>
        <v>0</v>
      </c>
      <c r="I13" s="57" t="n">
        <f aca="false">16_REVENUE!I22</f>
        <v>0</v>
      </c>
      <c r="J13" s="57" t="n">
        <f aca="false">16_REVENUE!J22</f>
        <v>0</v>
      </c>
      <c r="K13" s="57" t="n">
        <f aca="false">16_REVENUE!K22</f>
        <v>0</v>
      </c>
      <c r="L13" s="57" t="n">
        <f aca="false">16_REVENUE!L22</f>
        <v>0</v>
      </c>
      <c r="M13" s="57" t="n">
        <f aca="false">16_REVENUE!M22</f>
        <v>0</v>
      </c>
      <c r="N13" s="57" t="n">
        <f aca="false">16_REVENUE!N22</f>
        <v>0</v>
      </c>
      <c r="O13" s="57" t="n">
        <f aca="false">16_REVENUE!O22</f>
        <v>0</v>
      </c>
      <c r="P13" s="57" t="n">
        <f aca="false">16_REVENUE!P22</f>
        <v>0</v>
      </c>
      <c r="Q13" s="57" t="n">
        <f aca="false">16_REVENUE!Q22</f>
        <v>0</v>
      </c>
      <c r="R13" s="57" t="n">
        <f aca="false">16_REVENUE!R22</f>
        <v>0</v>
      </c>
      <c r="S13" s="57" t="n">
        <f aca="false">16_REVENUE!S22</f>
        <v>0</v>
      </c>
      <c r="T13" s="57" t="n">
        <f aca="false">16_REVENUE!T22</f>
        <v>0</v>
      </c>
      <c r="U13" s="57" t="n">
        <f aca="false">16_REVENUE!U22</f>
        <v>0</v>
      </c>
      <c r="V13" s="57" t="n">
        <f aca="false">16_REVENUE!V22</f>
        <v>0</v>
      </c>
      <c r="W13" s="57" t="n">
        <f aca="false">16_REVENUE!W22</f>
        <v>0</v>
      </c>
      <c r="X13" s="57" t="n">
        <f aca="false">16_REVENUE!X22</f>
        <v>0</v>
      </c>
      <c r="Y13" s="57" t="n">
        <f aca="false">16_REVENUE!Y22</f>
        <v>0</v>
      </c>
      <c r="Z13" s="57" t="n">
        <f aca="false">16_REVENUE!Z22</f>
        <v>0</v>
      </c>
      <c r="AA13" s="57" t="n">
        <f aca="false">16_REVENUE!AA22</f>
        <v>0</v>
      </c>
      <c r="AB13" s="57" t="n">
        <f aca="false">16_REVENUE!AB22</f>
        <v>0</v>
      </c>
      <c r="AC13" s="57" t="n">
        <f aca="false">16_REVENUE!AC22</f>
        <v>0</v>
      </c>
      <c r="AD13" s="57" t="n">
        <f aca="false">16_REVENUE!AD22</f>
        <v>0</v>
      </c>
      <c r="AE13" s="57" t="n">
        <f aca="false">16_REVENUE!AE22</f>
        <v>0</v>
      </c>
      <c r="AF13" s="57" t="n">
        <f aca="false">16_REVENUE!AF22</f>
        <v>0</v>
      </c>
      <c r="AG13" s="57" t="n">
        <f aca="false">16_REVENUE!AG22</f>
        <v>0</v>
      </c>
      <c r="AH13" s="57" t="n">
        <f aca="false">16_REVENUE!AH22</f>
        <v>0</v>
      </c>
      <c r="AI13" s="57" t="n">
        <f aca="false">16_REVENUE!AI22</f>
        <v>0</v>
      </c>
      <c r="AJ13" s="57" t="n">
        <f aca="false">16_REVENUE!AJ22</f>
        <v>0</v>
      </c>
      <c r="AK13" s="57" t="n">
        <f aca="false">16_REVENUE!AK22</f>
        <v>0</v>
      </c>
      <c r="AL13" s="57" t="n">
        <f aca="false">16_REVENUE!AL22</f>
        <v>0</v>
      </c>
      <c r="AM13" s="57" t="n">
        <f aca="false">16_REVENUE!AM22</f>
        <v>0</v>
      </c>
      <c r="AN13" s="57" t="n">
        <f aca="false">16_REVENUE!AN22</f>
        <v>0</v>
      </c>
      <c r="AO13" s="57" t="n">
        <f aca="false">16_REVENUE!AO22</f>
        <v>0</v>
      </c>
      <c r="AP13" s="57" t="n">
        <f aca="false">16_REVENUE!AP22</f>
        <v>0</v>
      </c>
      <c r="AQ13" s="57" t="n">
        <f aca="false">16_REVENUE!AQ22</f>
        <v>0</v>
      </c>
      <c r="AR13" s="57" t="n">
        <f aca="false">16_REVENUE!AR22</f>
        <v>0</v>
      </c>
    </row>
    <row r="14" customFormat="false" ht="15" hidden="false" customHeight="false" outlineLevel="0" collapsed="false">
      <c r="A14" s="8" t="s">
        <v>837</v>
      </c>
      <c r="B14" s="8" t="s">
        <v>84</v>
      </c>
      <c r="C14" s="34" t="n">
        <f aca="false">SUM(24_CONTINGENT_LIABILITIES!$E$14:$AR$14)</f>
        <v>0</v>
      </c>
      <c r="E14" s="57" t="n">
        <f aca="false">20_CASH_FLOW!E37</f>
        <v>-0</v>
      </c>
      <c r="F14" s="57" t="n">
        <f aca="false">20_CASH_FLOW!F37</f>
        <v>-0</v>
      </c>
      <c r="G14" s="57" t="n">
        <f aca="false">20_CASH_FLOW!G37</f>
        <v>-0</v>
      </c>
      <c r="H14" s="57" t="n">
        <f aca="false">20_CASH_FLOW!H37</f>
        <v>-0</v>
      </c>
      <c r="I14" s="57" t="n">
        <f aca="false">20_CASH_FLOW!I37</f>
        <v>-0</v>
      </c>
      <c r="J14" s="57" t="n">
        <f aca="false">20_CASH_FLOW!J37</f>
        <v>0</v>
      </c>
      <c r="K14" s="57" t="n">
        <f aca="false">20_CASH_FLOW!K37</f>
        <v>0</v>
      </c>
      <c r="L14" s="57" t="n">
        <f aca="false">20_CASH_FLOW!L37</f>
        <v>0</v>
      </c>
      <c r="M14" s="57" t="n">
        <f aca="false">20_CASH_FLOW!M37</f>
        <v>0</v>
      </c>
      <c r="N14" s="57" t="n">
        <f aca="false">20_CASH_FLOW!N37</f>
        <v>0</v>
      </c>
      <c r="O14" s="57" t="n">
        <f aca="false">20_CASH_FLOW!O37</f>
        <v>0</v>
      </c>
      <c r="P14" s="57" t="n">
        <f aca="false">20_CASH_FLOW!P37</f>
        <v>0</v>
      </c>
      <c r="Q14" s="57" t="n">
        <f aca="false">20_CASH_FLOW!Q37</f>
        <v>0</v>
      </c>
      <c r="R14" s="57" t="n">
        <f aca="false">20_CASH_FLOW!R37</f>
        <v>0</v>
      </c>
      <c r="S14" s="57" t="n">
        <f aca="false">20_CASH_FLOW!S37</f>
        <v>0</v>
      </c>
      <c r="T14" s="57" t="n">
        <f aca="false">20_CASH_FLOW!T37</f>
        <v>0</v>
      </c>
      <c r="U14" s="57" t="n">
        <f aca="false">20_CASH_FLOW!U37</f>
        <v>0</v>
      </c>
      <c r="V14" s="57" t="n">
        <f aca="false">20_CASH_FLOW!V37</f>
        <v>0</v>
      </c>
      <c r="W14" s="57" t="n">
        <f aca="false">20_CASH_FLOW!W37</f>
        <v>0</v>
      </c>
      <c r="X14" s="57" t="n">
        <f aca="false">20_CASH_FLOW!X37</f>
        <v>0</v>
      </c>
      <c r="Y14" s="57" t="n">
        <f aca="false">20_CASH_FLOW!Y37</f>
        <v>0</v>
      </c>
      <c r="Z14" s="57" t="n">
        <f aca="false">20_CASH_FLOW!Z37</f>
        <v>0</v>
      </c>
      <c r="AA14" s="57" t="n">
        <f aca="false">20_CASH_FLOW!AA37</f>
        <v>0</v>
      </c>
      <c r="AB14" s="57" t="n">
        <f aca="false">20_CASH_FLOW!AB37</f>
        <v>0</v>
      </c>
      <c r="AC14" s="57" t="n">
        <f aca="false">20_CASH_FLOW!AC37</f>
        <v>0</v>
      </c>
      <c r="AD14" s="57" t="n">
        <f aca="false">20_CASH_FLOW!AD37</f>
        <v>0</v>
      </c>
      <c r="AE14" s="57" t="n">
        <f aca="false">20_CASH_FLOW!AE37</f>
        <v>0</v>
      </c>
      <c r="AF14" s="57" t="n">
        <f aca="false">20_CASH_FLOW!AF37</f>
        <v>0</v>
      </c>
      <c r="AG14" s="57" t="n">
        <f aca="false">20_CASH_FLOW!AG37</f>
        <v>0</v>
      </c>
      <c r="AH14" s="57" t="n">
        <f aca="false">20_CASH_FLOW!AH37</f>
        <v>0</v>
      </c>
      <c r="AI14" s="57" t="n">
        <f aca="false">20_CASH_FLOW!AI37</f>
        <v>0</v>
      </c>
      <c r="AJ14" s="57" t="n">
        <f aca="false">20_CASH_FLOW!AJ37</f>
        <v>0</v>
      </c>
      <c r="AK14" s="57" t="n">
        <f aca="false">20_CASH_FLOW!AK37</f>
        <v>0</v>
      </c>
      <c r="AL14" s="57" t="n">
        <f aca="false">20_CASH_FLOW!AL37</f>
        <v>0</v>
      </c>
      <c r="AM14" s="57" t="n">
        <f aca="false">20_CASH_FLOW!AM37</f>
        <v>0</v>
      </c>
      <c r="AN14" s="57" t="n">
        <f aca="false">20_CASH_FLOW!AN37</f>
        <v>-0</v>
      </c>
      <c r="AO14" s="57" t="n">
        <f aca="false">20_CASH_FLOW!AO37</f>
        <v>-0</v>
      </c>
      <c r="AP14" s="57" t="n">
        <f aca="false">20_CASH_FLOW!AP37</f>
        <v>-0</v>
      </c>
      <c r="AQ14" s="57" t="n">
        <f aca="false">20_CASH_FLOW!AQ37</f>
        <v>-0</v>
      </c>
      <c r="AR14" s="57" t="n">
        <f aca="false">20_CASH_FLOW!AR37</f>
        <v>-0</v>
      </c>
    </row>
    <row r="15" customFormat="false" ht="15" hidden="false" customHeight="false" outlineLevel="0" collapsed="false">
      <c r="A15" s="8" t="s">
        <v>838</v>
      </c>
      <c r="B15" s="8" t="s">
        <v>84</v>
      </c>
      <c r="C15" s="34" t="n">
        <f aca="false">SUM(24_CONTINGENT_LIABILITIES!$E$15:$AR$15)</f>
        <v>0</v>
      </c>
      <c r="E15" s="57" t="n">
        <f aca="false">23_GUARANTEES!E12</f>
        <v>0</v>
      </c>
      <c r="F15" s="57" t="n">
        <f aca="false">23_GUARANTEES!F12</f>
        <v>0</v>
      </c>
      <c r="G15" s="57" t="n">
        <f aca="false">23_GUARANTEES!G12</f>
        <v>0</v>
      </c>
      <c r="H15" s="57" t="n">
        <f aca="false">23_GUARANTEES!H12</f>
        <v>0</v>
      </c>
      <c r="I15" s="57" t="n">
        <f aca="false">23_GUARANTEES!I12</f>
        <v>0</v>
      </c>
      <c r="J15" s="57" t="n">
        <f aca="false">23_GUARANTEES!J12</f>
        <v>0</v>
      </c>
      <c r="K15" s="57" t="n">
        <f aca="false">23_GUARANTEES!K12</f>
        <v>0</v>
      </c>
      <c r="L15" s="57" t="n">
        <f aca="false">23_GUARANTEES!L12</f>
        <v>0</v>
      </c>
      <c r="M15" s="57" t="n">
        <f aca="false">23_GUARANTEES!M12</f>
        <v>0</v>
      </c>
      <c r="N15" s="57" t="n">
        <f aca="false">23_GUARANTEES!N12</f>
        <v>0</v>
      </c>
      <c r="O15" s="57" t="n">
        <f aca="false">23_GUARANTEES!O12</f>
        <v>0</v>
      </c>
      <c r="P15" s="57" t="n">
        <f aca="false">23_GUARANTEES!P12</f>
        <v>0</v>
      </c>
      <c r="Q15" s="57" t="n">
        <f aca="false">23_GUARANTEES!Q12</f>
        <v>0</v>
      </c>
      <c r="R15" s="57" t="n">
        <f aca="false">23_GUARANTEES!R12</f>
        <v>0</v>
      </c>
      <c r="S15" s="57" t="n">
        <f aca="false">23_GUARANTEES!S12</f>
        <v>0</v>
      </c>
      <c r="T15" s="57" t="n">
        <f aca="false">23_GUARANTEES!T12</f>
        <v>0</v>
      </c>
      <c r="U15" s="57" t="n">
        <f aca="false">23_GUARANTEES!U12</f>
        <v>0</v>
      </c>
      <c r="V15" s="57" t="n">
        <f aca="false">23_GUARANTEES!V12</f>
        <v>0</v>
      </c>
      <c r="W15" s="57" t="n">
        <f aca="false">23_GUARANTEES!W12</f>
        <v>0</v>
      </c>
      <c r="X15" s="57" t="n">
        <f aca="false">23_GUARANTEES!X12</f>
        <v>0</v>
      </c>
      <c r="Y15" s="57" t="n">
        <f aca="false">23_GUARANTEES!Y12</f>
        <v>0</v>
      </c>
      <c r="Z15" s="57" t="n">
        <f aca="false">23_GUARANTEES!Z12</f>
        <v>0</v>
      </c>
      <c r="AA15" s="57" t="n">
        <f aca="false">23_GUARANTEES!AA12</f>
        <v>0</v>
      </c>
      <c r="AB15" s="57" t="n">
        <f aca="false">23_GUARANTEES!AB12</f>
        <v>0</v>
      </c>
      <c r="AC15" s="57" t="n">
        <f aca="false">23_GUARANTEES!AC12</f>
        <v>0</v>
      </c>
      <c r="AD15" s="57" t="n">
        <f aca="false">23_GUARANTEES!AD12</f>
        <v>0</v>
      </c>
      <c r="AE15" s="57" t="n">
        <f aca="false">23_GUARANTEES!AE12</f>
        <v>0</v>
      </c>
      <c r="AF15" s="57" t="n">
        <f aca="false">23_GUARANTEES!AF12</f>
        <v>0</v>
      </c>
      <c r="AG15" s="57" t="n">
        <f aca="false">23_GUARANTEES!AG12</f>
        <v>0</v>
      </c>
      <c r="AH15" s="57" t="n">
        <f aca="false">23_GUARANTEES!AH12</f>
        <v>0</v>
      </c>
      <c r="AI15" s="57" t="n">
        <f aca="false">23_GUARANTEES!AI12</f>
        <v>0</v>
      </c>
      <c r="AJ15" s="57" t="n">
        <f aca="false">23_GUARANTEES!AJ12</f>
        <v>0</v>
      </c>
      <c r="AK15" s="57" t="n">
        <f aca="false">23_GUARANTEES!AK12</f>
        <v>0</v>
      </c>
      <c r="AL15" s="57" t="n">
        <f aca="false">23_GUARANTEES!AL12</f>
        <v>0</v>
      </c>
      <c r="AM15" s="57" t="n">
        <f aca="false">23_GUARANTEES!AM12</f>
        <v>0</v>
      </c>
      <c r="AN15" s="57" t="n">
        <f aca="false">23_GUARANTEES!AN12</f>
        <v>0</v>
      </c>
      <c r="AO15" s="57" t="n">
        <f aca="false">23_GUARANTEES!AO12</f>
        <v>0</v>
      </c>
      <c r="AP15" s="57" t="n">
        <f aca="false">23_GUARANTEES!AP12</f>
        <v>0</v>
      </c>
      <c r="AQ15" s="57" t="n">
        <f aca="false">23_GUARANTEES!AQ12</f>
        <v>0</v>
      </c>
      <c r="AR15" s="57" t="n">
        <f aca="false">23_GUARANTEES!AR12</f>
        <v>0</v>
      </c>
    </row>
    <row r="16" customFormat="false" ht="15" hidden="false" customHeight="false" outlineLevel="0" collapsed="false">
      <c r="A16" s="4" t="s">
        <v>839</v>
      </c>
      <c r="B16" s="8" t="s">
        <v>84</v>
      </c>
      <c r="C16" s="34" t="n">
        <f aca="false">SUM(24_CONTINGENT_LIABILITIES!$E$16:$AR$16)</f>
        <v>0</v>
      </c>
      <c r="E16" s="50" t="n">
        <f aca="false">24_CONTINGENT_LIABILITIES!E13+24_CONTINGENT_LIABILITIES!E14+24_CONTINGENT_LIABILITIES!E15</f>
        <v>0</v>
      </c>
      <c r="F16" s="50" t="n">
        <f aca="false">24_CONTINGENT_LIABILITIES!F13+24_CONTINGENT_LIABILITIES!F14+24_CONTINGENT_LIABILITIES!F15</f>
        <v>0</v>
      </c>
      <c r="G16" s="50" t="n">
        <f aca="false">24_CONTINGENT_LIABILITIES!G13+24_CONTINGENT_LIABILITIES!G14+24_CONTINGENT_LIABILITIES!G15</f>
        <v>0</v>
      </c>
      <c r="H16" s="50" t="n">
        <f aca="false">24_CONTINGENT_LIABILITIES!H13+24_CONTINGENT_LIABILITIES!H14+24_CONTINGENT_LIABILITIES!H15</f>
        <v>0</v>
      </c>
      <c r="I16" s="50" t="n">
        <f aca="false">24_CONTINGENT_LIABILITIES!I13+24_CONTINGENT_LIABILITIES!I14+24_CONTINGENT_LIABILITIES!I15</f>
        <v>0</v>
      </c>
      <c r="J16" s="50" t="n">
        <f aca="false">24_CONTINGENT_LIABILITIES!J13+24_CONTINGENT_LIABILITIES!J14+24_CONTINGENT_LIABILITIES!J15</f>
        <v>0</v>
      </c>
      <c r="K16" s="50" t="n">
        <f aca="false">24_CONTINGENT_LIABILITIES!K13+24_CONTINGENT_LIABILITIES!K14+24_CONTINGENT_LIABILITIES!K15</f>
        <v>0</v>
      </c>
      <c r="L16" s="50" t="n">
        <f aca="false">24_CONTINGENT_LIABILITIES!L13+24_CONTINGENT_LIABILITIES!L14+24_CONTINGENT_LIABILITIES!L15</f>
        <v>0</v>
      </c>
      <c r="M16" s="50" t="n">
        <f aca="false">24_CONTINGENT_LIABILITIES!M13+24_CONTINGENT_LIABILITIES!M14+24_CONTINGENT_LIABILITIES!M15</f>
        <v>0</v>
      </c>
      <c r="N16" s="50" t="n">
        <f aca="false">24_CONTINGENT_LIABILITIES!N13+24_CONTINGENT_LIABILITIES!N14+24_CONTINGENT_LIABILITIES!N15</f>
        <v>0</v>
      </c>
      <c r="O16" s="50" t="n">
        <f aca="false">24_CONTINGENT_LIABILITIES!O13+24_CONTINGENT_LIABILITIES!O14+24_CONTINGENT_LIABILITIES!O15</f>
        <v>0</v>
      </c>
      <c r="P16" s="50" t="n">
        <f aca="false">24_CONTINGENT_LIABILITIES!P13+24_CONTINGENT_LIABILITIES!P14+24_CONTINGENT_LIABILITIES!P15</f>
        <v>0</v>
      </c>
      <c r="Q16" s="50" t="n">
        <f aca="false">24_CONTINGENT_LIABILITIES!Q13+24_CONTINGENT_LIABILITIES!Q14+24_CONTINGENT_LIABILITIES!Q15</f>
        <v>0</v>
      </c>
      <c r="R16" s="50" t="n">
        <f aca="false">24_CONTINGENT_LIABILITIES!R13+24_CONTINGENT_LIABILITIES!R14+24_CONTINGENT_LIABILITIES!R15</f>
        <v>0</v>
      </c>
      <c r="S16" s="50" t="n">
        <f aca="false">24_CONTINGENT_LIABILITIES!S13+24_CONTINGENT_LIABILITIES!S14+24_CONTINGENT_LIABILITIES!S15</f>
        <v>0</v>
      </c>
      <c r="T16" s="50" t="n">
        <f aca="false">24_CONTINGENT_LIABILITIES!T13+24_CONTINGENT_LIABILITIES!T14+24_CONTINGENT_LIABILITIES!T15</f>
        <v>0</v>
      </c>
      <c r="U16" s="50" t="n">
        <f aca="false">24_CONTINGENT_LIABILITIES!U13+24_CONTINGENT_LIABILITIES!U14+24_CONTINGENT_LIABILITIES!U15</f>
        <v>0</v>
      </c>
      <c r="V16" s="50" t="n">
        <f aca="false">24_CONTINGENT_LIABILITIES!V13+24_CONTINGENT_LIABILITIES!V14+24_CONTINGENT_LIABILITIES!V15</f>
        <v>0</v>
      </c>
      <c r="W16" s="50" t="n">
        <f aca="false">24_CONTINGENT_LIABILITIES!W13+24_CONTINGENT_LIABILITIES!W14+24_CONTINGENT_LIABILITIES!W15</f>
        <v>0</v>
      </c>
      <c r="X16" s="50" t="n">
        <f aca="false">24_CONTINGENT_LIABILITIES!X13+24_CONTINGENT_LIABILITIES!X14+24_CONTINGENT_LIABILITIES!X15</f>
        <v>0</v>
      </c>
      <c r="Y16" s="50" t="n">
        <f aca="false">24_CONTINGENT_LIABILITIES!Y13+24_CONTINGENT_LIABILITIES!Y14+24_CONTINGENT_LIABILITIES!Y15</f>
        <v>0</v>
      </c>
      <c r="Z16" s="50" t="n">
        <f aca="false">24_CONTINGENT_LIABILITIES!Z13+24_CONTINGENT_LIABILITIES!Z14+24_CONTINGENT_LIABILITIES!Z15</f>
        <v>0</v>
      </c>
      <c r="AA16" s="50" t="n">
        <f aca="false">24_CONTINGENT_LIABILITIES!AA13+24_CONTINGENT_LIABILITIES!AA14+24_CONTINGENT_LIABILITIES!AA15</f>
        <v>0</v>
      </c>
      <c r="AB16" s="50" t="n">
        <f aca="false">24_CONTINGENT_LIABILITIES!AB13+24_CONTINGENT_LIABILITIES!AB14+24_CONTINGENT_LIABILITIES!AB15</f>
        <v>0</v>
      </c>
      <c r="AC16" s="50" t="n">
        <f aca="false">24_CONTINGENT_LIABILITIES!AC13+24_CONTINGENT_LIABILITIES!AC14+24_CONTINGENT_LIABILITIES!AC15</f>
        <v>0</v>
      </c>
      <c r="AD16" s="50" t="n">
        <f aca="false">24_CONTINGENT_LIABILITIES!AD13+24_CONTINGENT_LIABILITIES!AD14+24_CONTINGENT_LIABILITIES!AD15</f>
        <v>0</v>
      </c>
      <c r="AE16" s="50" t="n">
        <f aca="false">24_CONTINGENT_LIABILITIES!AE13+24_CONTINGENT_LIABILITIES!AE14+24_CONTINGENT_LIABILITIES!AE15</f>
        <v>0</v>
      </c>
      <c r="AF16" s="50" t="n">
        <f aca="false">24_CONTINGENT_LIABILITIES!AF13+24_CONTINGENT_LIABILITIES!AF14+24_CONTINGENT_LIABILITIES!AF15</f>
        <v>0</v>
      </c>
      <c r="AG16" s="50" t="n">
        <f aca="false">24_CONTINGENT_LIABILITIES!AG13+24_CONTINGENT_LIABILITIES!AG14+24_CONTINGENT_LIABILITIES!AG15</f>
        <v>0</v>
      </c>
      <c r="AH16" s="50" t="n">
        <f aca="false">24_CONTINGENT_LIABILITIES!AH13+24_CONTINGENT_LIABILITIES!AH14+24_CONTINGENT_LIABILITIES!AH15</f>
        <v>0</v>
      </c>
      <c r="AI16" s="50" t="n">
        <f aca="false">24_CONTINGENT_LIABILITIES!AI13+24_CONTINGENT_LIABILITIES!AI14+24_CONTINGENT_LIABILITIES!AI15</f>
        <v>0</v>
      </c>
      <c r="AJ16" s="50" t="n">
        <f aca="false">24_CONTINGENT_LIABILITIES!AJ13+24_CONTINGENT_LIABILITIES!AJ14+24_CONTINGENT_LIABILITIES!AJ15</f>
        <v>0</v>
      </c>
      <c r="AK16" s="50" t="n">
        <f aca="false">24_CONTINGENT_LIABILITIES!AK13+24_CONTINGENT_LIABILITIES!AK14+24_CONTINGENT_LIABILITIES!AK15</f>
        <v>0</v>
      </c>
      <c r="AL16" s="50" t="n">
        <f aca="false">24_CONTINGENT_LIABILITIES!AL13+24_CONTINGENT_LIABILITIES!AL14+24_CONTINGENT_LIABILITIES!AL15</f>
        <v>0</v>
      </c>
      <c r="AM16" s="50" t="n">
        <f aca="false">24_CONTINGENT_LIABILITIES!AM13+24_CONTINGENT_LIABILITIES!AM14+24_CONTINGENT_LIABILITIES!AM15</f>
        <v>0</v>
      </c>
      <c r="AN16" s="50" t="n">
        <f aca="false">24_CONTINGENT_LIABILITIES!AN13+24_CONTINGENT_LIABILITIES!AN14+24_CONTINGENT_LIABILITIES!AN15</f>
        <v>0</v>
      </c>
      <c r="AO16" s="50" t="n">
        <f aca="false">24_CONTINGENT_LIABILITIES!AO13+24_CONTINGENT_LIABILITIES!AO14+24_CONTINGENT_LIABILITIES!AO15</f>
        <v>0</v>
      </c>
      <c r="AP16" s="50" t="n">
        <f aca="false">24_CONTINGENT_LIABILITIES!AP13+24_CONTINGENT_LIABILITIES!AP14+24_CONTINGENT_LIABILITIES!AP15</f>
        <v>0</v>
      </c>
      <c r="AQ16" s="50" t="n">
        <f aca="false">24_CONTINGENT_LIABILITIES!AQ13+24_CONTINGENT_LIABILITIES!AQ14+24_CONTINGENT_LIABILITIES!AQ15</f>
        <v>0</v>
      </c>
      <c r="AR16" s="50" t="n">
        <f aca="false">24_CONTINGENT_LIABILITIES!AR13+24_CONTINGENT_LIABILITIES!AR14+24_CONTINGENT_LIABILITIES!AR15</f>
        <v>0</v>
      </c>
    </row>
    <row r="17" customFormat="false" ht="15" hidden="false" customHeight="false" outlineLevel="0" collapsed="false">
      <c r="A17" s="6" t="s">
        <v>840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</row>
    <row r="18" customFormat="false" ht="15" hidden="false" customHeight="false" outlineLevel="0" collapsed="false">
      <c r="A18" s="8" t="s">
        <v>841</v>
      </c>
      <c r="B18" s="8" t="s">
        <v>84</v>
      </c>
      <c r="C18" s="34" t="n">
        <f aca="false">SUM(24_CONTINGENT_LIABILITIES!$E$18:$AR$18)</f>
        <v>392.095265574685</v>
      </c>
      <c r="E18" s="34" t="n">
        <f aca="false">(24_CONTINGENT_LIABILITIES!$C$6*23_GUARANTEES!E8+24_CONTINGENT_LIABILITIES!$C$7*MAX(0,23_GUARANTEES!E9-16_REVENUE!E22)+24_CONTINGENT_LIABILITIES!$C$8*MAX(0,23_GUARANTEES!E10-23_GUARANTEES!E8))*24_CONTINGENT_LIABILITIES!$C$9</f>
        <v>1.05150661646318</v>
      </c>
      <c r="F18" s="34" t="n">
        <f aca="false">(24_CONTINGENT_LIABILITIES!$C$6*23_GUARANTEES!F8+24_CONTINGENT_LIABILITIES!$C$7*MAX(0,23_GUARANTEES!F9-16_REVENUE!F22)+24_CONTINGENT_LIABILITIES!$C$8*MAX(0,23_GUARANTEES!F10-23_GUARANTEES!F8))*24_CONTINGENT_LIABILITIES!$C$9</f>
        <v>2.70195864819828</v>
      </c>
      <c r="G18" s="34" t="n">
        <f aca="false">(24_CONTINGENT_LIABILITIES!$C$6*23_GUARANTEES!G8+24_CONTINGENT_LIABILITIES!$C$7*MAX(0,23_GUARANTEES!G9-16_REVENUE!G22)+24_CONTINGENT_LIABILITIES!$C$8*MAX(0,23_GUARANTEES!G10-23_GUARANTEES!G8))*24_CONTINGENT_LIABILITIES!$C$9</f>
        <v>4.73626279183366</v>
      </c>
      <c r="H18" s="34" t="n">
        <f aca="false">(24_CONTINGENT_LIABILITIES!$C$6*23_GUARANTEES!H8+24_CONTINGENT_LIABILITIES!$C$7*MAX(0,23_GUARANTEES!H9-16_REVENUE!H22)+24_CONTINGENT_LIABILITIES!$C$8*MAX(0,23_GUARANTEES!H10-23_GUARANTEES!H8))*24_CONTINGENT_LIABILITIES!$C$9</f>
        <v>6.4083230980792</v>
      </c>
      <c r="I18" s="34" t="n">
        <f aca="false">(24_CONTINGENT_LIABILITIES!$C$6*23_GUARANTEES!I8+24_CONTINGENT_LIABILITIES!$C$7*MAX(0,23_GUARANTEES!I9-16_REVENUE!I22)+24_CONTINGENT_LIABILITIES!$C$8*MAX(0,23_GUARANTEES!I10-23_GUARANTEES!I8))*24_CONTINGENT_LIABILITIES!$C$9</f>
        <v>7.11504931483114</v>
      </c>
      <c r="J18" s="34" t="n">
        <f aca="false">(24_CONTINGENT_LIABILITIES!$C$6*23_GUARANTEES!J8+24_CONTINGENT_LIABILITIES!$C$7*MAX(0,23_GUARANTEES!J9-16_REVENUE!J22)+24_CONTINGENT_LIABILITIES!$C$8*MAX(0,23_GUARANTEES!J10-23_GUARANTEES!J8))*24_CONTINGENT_LIABILITIES!$C$9</f>
        <v>13.2961567810066</v>
      </c>
      <c r="K18" s="34" t="n">
        <f aca="false">(24_CONTINGENT_LIABILITIES!$C$6*23_GUARANTEES!K8+24_CONTINGENT_LIABILITIES!$C$7*MAX(0,23_GUARANTEES!K9-16_REVENUE!K22)+24_CONTINGENT_LIABILITIES!$C$8*MAX(0,23_GUARANTEES!K10-23_GUARANTEES!K8))*24_CONTINGENT_LIABILITIES!$C$9</f>
        <v>14.2987884626491</v>
      </c>
      <c r="L18" s="34" t="n">
        <f aca="false">(24_CONTINGENT_LIABILITIES!$C$6*23_GUARANTEES!L8+24_CONTINGENT_LIABILITIES!$C$7*MAX(0,23_GUARANTEES!L9-16_REVENUE!L22)+24_CONTINGENT_LIABILITIES!$C$8*MAX(0,23_GUARANTEES!L10-23_GUARANTEES!L8))*24_CONTINGENT_LIABILITIES!$C$9</f>
        <v>14.1820656599694</v>
      </c>
      <c r="M18" s="34" t="n">
        <f aca="false">(24_CONTINGENT_LIABILITIES!$C$6*23_GUARANTEES!M8+24_CONTINGENT_LIABILITIES!$C$7*MAX(0,23_GUARANTEES!M9-16_REVENUE!M22)+24_CONTINGENT_LIABILITIES!$C$8*MAX(0,23_GUARANTEES!M10-23_GUARANTEES!M8))*24_CONTINGENT_LIABILITIES!$C$9</f>
        <v>14.0431290739944</v>
      </c>
      <c r="N18" s="34" t="n">
        <f aca="false">(24_CONTINGENT_LIABILITIES!$C$6*23_GUARANTEES!N8+24_CONTINGENT_LIABILITIES!$C$7*MAX(0,23_GUARANTEES!N9-16_REVENUE!N22)+24_CONTINGENT_LIABILITIES!$C$8*MAX(0,23_GUARANTEES!N10-23_GUARANTEES!N8))*24_CONTINGENT_LIABILITIES!$C$9</f>
        <v>13.866050729859</v>
      </c>
      <c r="O18" s="34" t="n">
        <f aca="false">(24_CONTINGENT_LIABILITIES!$C$6*23_GUARANTEES!O8+24_CONTINGENT_LIABILITIES!$C$7*MAX(0,23_GUARANTEES!O9-16_REVENUE!O22)+24_CONTINGENT_LIABILITIES!$C$8*MAX(0,23_GUARANTEES!O10-23_GUARANTEES!O8))*24_CONTINGENT_LIABILITIES!$C$9</f>
        <v>13.7698769303859</v>
      </c>
      <c r="P18" s="34" t="n">
        <f aca="false">(24_CONTINGENT_LIABILITIES!$C$6*23_GUARANTEES!P8+24_CONTINGENT_LIABILITIES!$C$7*MAX(0,23_GUARANTEES!P9-16_REVENUE!P22)+24_CONTINGENT_LIABILITIES!$C$8*MAX(0,23_GUARANTEES!P10-23_GUARANTEES!P8))*24_CONTINGENT_LIABILITIES!$C$9</f>
        <v>13.6619407822264</v>
      </c>
      <c r="Q18" s="34" t="n">
        <f aca="false">(24_CONTINGENT_LIABILITIES!$C$6*23_GUARANTEES!Q8+24_CONTINGENT_LIABILITIES!$C$7*MAX(0,23_GUARANTEES!Q9-16_REVENUE!Q22)+24_CONTINGENT_LIABILITIES!$C$8*MAX(0,23_GUARANTEES!Q10-23_GUARANTEES!Q8))*24_CONTINGENT_LIABILITIES!$C$9</f>
        <v>13.541099281264</v>
      </c>
      <c r="R18" s="34" t="n">
        <f aca="false">(24_CONTINGENT_LIABILITIES!$C$6*23_GUARANTEES!R8+24_CONTINGENT_LIABILITIES!$C$7*MAX(0,23_GUARANTEES!R9-16_REVENUE!R22)+24_CONTINGENT_LIABILITIES!$C$8*MAX(0,23_GUARANTEES!R10-23_GUARANTEES!R8))*24_CONTINGENT_LIABILITIES!$C$9</f>
        <v>13.4063493901476</v>
      </c>
      <c r="S18" s="34" t="n">
        <f aca="false">(24_CONTINGENT_LIABILITIES!$C$6*23_GUARANTEES!S8+24_CONTINGENT_LIABILITIES!$C$7*MAX(0,23_GUARANTEES!S9-16_REVENUE!S22)+24_CONTINGENT_LIABILITIES!$C$8*MAX(0,23_GUARANTEES!S10-23_GUARANTEES!S8))*24_CONTINGENT_LIABILITIES!$C$9</f>
        <v>13.2566438070966</v>
      </c>
      <c r="T18" s="34" t="n">
        <f aca="false">(24_CONTINGENT_LIABILITIES!$C$6*23_GUARANTEES!T8+24_CONTINGENT_LIABILITIES!$C$7*MAX(0,23_GUARANTEES!T9-16_REVENUE!T22)+24_CONTINGENT_LIABILITIES!$C$8*MAX(0,23_GUARANTEES!T10-23_GUARANTEES!T8))*24_CONTINGENT_LIABILITIES!$C$9</f>
        <v>13.0908934529289</v>
      </c>
      <c r="U18" s="34" t="n">
        <f aca="false">(24_CONTINGENT_LIABILITIES!$C$6*23_GUARANTEES!U8+24_CONTINGENT_LIABILITIES!$C$7*MAX(0,23_GUARANTEES!U9-16_REVENUE!U22)+24_CONTINGENT_LIABILITIES!$C$8*MAX(0,23_GUARANTEES!U10-23_GUARANTEES!U8))*24_CONTINGENT_LIABILITIES!$C$9</f>
        <v>12.9079710739061</v>
      </c>
      <c r="V18" s="34" t="n">
        <f aca="false">(24_CONTINGENT_LIABILITIES!$C$6*23_GUARANTEES!V8+24_CONTINGENT_LIABILITIES!$C$7*MAX(0,23_GUARANTEES!V9-16_REVENUE!V22)+24_CONTINGENT_LIABILITIES!$C$8*MAX(0,23_GUARANTEES!V10-23_GUARANTEES!V8))*24_CONTINGENT_LIABILITIES!$C$9</f>
        <v>12.7067161874434</v>
      </c>
      <c r="W18" s="34" t="n">
        <f aca="false">(24_CONTINGENT_LIABILITIES!$C$6*23_GUARANTEES!W8+24_CONTINGENT_LIABILITIES!$C$7*MAX(0,23_GUARANTEES!W9-16_REVENUE!W22)+24_CONTINGENT_LIABILITIES!$C$8*MAX(0,23_GUARANTEES!W10-23_GUARANTEES!W8))*24_CONTINGENT_LIABILITIES!$C$9</f>
        <v>12.4859416365646</v>
      </c>
      <c r="X18" s="34" t="n">
        <f aca="false">(24_CONTINGENT_LIABILITIES!$C$6*23_GUARANTEES!X8+24_CONTINGENT_LIABILITIES!$C$7*MAX(0,23_GUARANTEES!X9-16_REVENUE!X22)+24_CONTINGENT_LIABILITIES!$C$8*MAX(0,23_GUARANTEES!X10-23_GUARANTEES!X8))*24_CONTINGENT_LIABILITIES!$C$9</f>
        <v>12.244442064029</v>
      </c>
      <c r="Y18" s="34" t="n">
        <f aca="false">(24_CONTINGENT_LIABILITIES!$C$6*23_GUARANTEES!Y8+24_CONTINGENT_LIABILITIES!$C$7*MAX(0,23_GUARANTEES!Y9-16_REVENUE!Y22)+24_CONTINGENT_LIABILITIES!$C$8*MAX(0,23_GUARANTEES!Y10-23_GUARANTEES!Y8))*24_CONTINGENT_LIABILITIES!$C$9</f>
        <v>11.9810046692697</v>
      </c>
      <c r="Z18" s="34" t="n">
        <f aca="false">(24_CONTINGENT_LIABILITIES!$C$6*23_GUARANTEES!Z8+24_CONTINGENT_LIABILITIES!$C$7*MAX(0,23_GUARANTEES!Z9-16_REVENUE!Z22)+24_CONTINGENT_LIABILITIES!$C$8*MAX(0,23_GUARANTEES!Z10-23_GUARANTEES!Z8))*24_CONTINGENT_LIABILITIES!$C$9</f>
        <v>11.6944226717728</v>
      </c>
      <c r="AA18" s="34" t="n">
        <f aca="false">(24_CONTINGENT_LIABILITIES!$C$6*23_GUARANTEES!AA8+24_CONTINGENT_LIABILITIES!$C$7*MAX(0,23_GUARANTEES!AA9-16_REVENUE!AA22)+24_CONTINGENT_LIABILITIES!$C$8*MAX(0,23_GUARANTEES!AA10-23_GUARANTEES!AA8))*24_CONTINGENT_LIABILITIES!$C$9</f>
        <v>11.3178992065847</v>
      </c>
      <c r="AB18" s="34" t="n">
        <f aca="false">(24_CONTINGENT_LIABILITIES!$C$6*23_GUARANTEES!AB8+24_CONTINGENT_LIABILITIES!$C$7*MAX(0,23_GUARANTEES!AB9-16_REVENUE!AB22)+24_CONTINGENT_LIABILITIES!$C$8*MAX(0,23_GUARANTEES!AB10-23_GUARANTEES!AB8))*24_CONTINGENT_LIABILITIES!$C$9</f>
        <v>11.2962891023556</v>
      </c>
      <c r="AC18" s="34" t="n">
        <f aca="false">(24_CONTINGENT_LIABILITIES!$C$6*23_GUARANTEES!AC8+24_CONTINGENT_LIABILITIES!$C$7*MAX(0,23_GUARANTEES!AC9-16_REVENUE!AC22)+24_CONTINGENT_LIABILITIES!$C$8*MAX(0,23_GUARANTEES!AC10-23_GUARANTEES!AC8))*24_CONTINGENT_LIABILITIES!$C$9</f>
        <v>11.2666535289979</v>
      </c>
      <c r="AD18" s="34" t="n">
        <f aca="false">(24_CONTINGENT_LIABILITIES!$C$6*23_GUARANTEES!AD8+24_CONTINGENT_LIABILITIES!$C$7*MAX(0,23_GUARANTEES!AD9-16_REVENUE!AD22)+24_CONTINGENT_LIABILITIES!$C$8*MAX(0,23_GUARANTEES!AD10-23_GUARANTEES!AD8))*24_CONTINGENT_LIABILITIES!$C$9</f>
        <v>11.2621625317342</v>
      </c>
      <c r="AE18" s="34" t="n">
        <f aca="false">(24_CONTINGENT_LIABILITIES!$C$6*23_GUARANTEES!AE8+24_CONTINGENT_LIABILITIES!$C$7*MAX(0,23_GUARANTEES!AE9-16_REVENUE!AE22)+24_CONTINGENT_LIABILITIES!$C$8*MAX(0,23_GUARANTEES!AE10-23_GUARANTEES!AE8))*24_CONTINGENT_LIABILITIES!$C$9</f>
        <v>11.2513814567483</v>
      </c>
      <c r="AF18" s="34" t="n">
        <f aca="false">(24_CONTINGENT_LIABILITIES!$C$6*23_GUARANTEES!AF8+24_CONTINGENT_LIABILITIES!$C$7*MAX(0,23_GUARANTEES!AF9-16_REVENUE!AF22)+24_CONTINGENT_LIABILITIES!$C$8*MAX(0,23_GUARANTEES!AF10-23_GUARANTEES!AF8))*24_CONTINGENT_LIABILITIES!$C$9</f>
        <v>11.2329380267315</v>
      </c>
      <c r="AG18" s="34" t="n">
        <f aca="false">(24_CONTINGENT_LIABILITIES!$C$6*23_GUARANTEES!AG8+24_CONTINGENT_LIABILITIES!$C$7*MAX(0,23_GUARANTEES!AG9-16_REVENUE!AG22)+24_CONTINGENT_LIABILITIES!$C$8*MAX(0,23_GUARANTEES!AG10-23_GUARANTEES!AG8))*24_CONTINGENT_LIABILITIES!$C$9</f>
        <v>11.2052455474658</v>
      </c>
      <c r="AH18" s="34" t="n">
        <f aca="false">(24_CONTINGENT_LIABILITIES!$C$6*23_GUARANTEES!AH8+24_CONTINGENT_LIABILITIES!$C$7*MAX(0,23_GUARANTEES!AH9-16_REVENUE!AH22)+24_CONTINGENT_LIABILITIES!$C$8*MAX(0,23_GUARANTEES!AH10-23_GUARANTEES!AH8))*24_CONTINGENT_LIABILITIES!$C$9</f>
        <v>11.1506974025834</v>
      </c>
      <c r="AI18" s="34" t="n">
        <f aca="false">(24_CONTINGENT_LIABILITIES!$C$6*23_GUARANTEES!AI8+24_CONTINGENT_LIABILITIES!$C$7*MAX(0,23_GUARANTEES!AI9-16_REVENUE!AI22)+24_CONTINGENT_LIABILITIES!$C$8*MAX(0,23_GUARANTEES!AI10-23_GUARANTEES!AI8))*24_CONTINGENT_LIABILITIES!$C$9</f>
        <v>11.1751789450281</v>
      </c>
      <c r="AJ18" s="34" t="n">
        <f aca="false">(24_CONTINGENT_LIABILITIES!$C$6*23_GUARANTEES!AJ8+24_CONTINGENT_LIABILITIES!$C$7*MAX(0,23_GUARANTEES!AJ9-16_REVENUE!AJ22)+24_CONTINGENT_LIABILITIES!$C$8*MAX(0,23_GUARANTEES!AJ10-23_GUARANTEES!AJ8))*24_CONTINGENT_LIABILITIES!$C$9</f>
        <v>11.1796631226549</v>
      </c>
      <c r="AK18" s="34" t="n">
        <f aca="false">(24_CONTINGENT_LIABILITIES!$C$6*23_GUARANTEES!AK8+24_CONTINGENT_LIABILITIES!$C$7*MAX(0,23_GUARANTEES!AK9-16_REVENUE!AK22)+24_CONTINGENT_LIABILITIES!$C$8*MAX(0,23_GUARANTEES!AK10-23_GUARANTEES!AK8))*24_CONTINGENT_LIABILITIES!$C$9</f>
        <v>11.1606769388174</v>
      </c>
      <c r="AL18" s="34" t="n">
        <f aca="false">(24_CONTINGENT_LIABILITIES!$C$6*23_GUARANTEES!AL8+24_CONTINGENT_LIABILITIES!$C$7*MAX(0,23_GUARANTEES!AL9-16_REVENUE!AL22)+24_CONTINGENT_LIABILITIES!$C$8*MAX(0,23_GUARANTEES!AL10-23_GUARANTEES!AL8))*24_CONTINGENT_LIABILITIES!$C$9</f>
        <v>11.1142169795339</v>
      </c>
      <c r="AM18" s="34" t="n">
        <f aca="false">(24_CONTINGENT_LIABILITIES!$C$6*23_GUARANTEES!AM8+24_CONTINGENT_LIABILITIES!$C$7*MAX(0,23_GUARANTEES!AM9-16_REVENUE!AM22)+24_CONTINGENT_LIABILITIES!$C$8*MAX(0,23_GUARANTEES!AM10-23_GUARANTEES!AM8))*24_CONTINGENT_LIABILITIES!$C$9</f>
        <v>11.0356696615301</v>
      </c>
      <c r="AN18" s="34" t="n">
        <f aca="false">(24_CONTINGENT_LIABILITIES!$C$6*23_GUARANTEES!AN8+24_CONTINGENT_LIABILITIES!$C$7*MAX(0,23_GUARANTEES!AN9-16_REVENUE!AN22)+24_CONTINGENT_LIABILITIES!$C$8*MAX(0,23_GUARANTEES!AN10-23_GUARANTEES!AN8))*24_CONTINGENT_LIABILITIES!$C$9</f>
        <v>0</v>
      </c>
      <c r="AO18" s="34" t="n">
        <f aca="false">(24_CONTINGENT_LIABILITIES!$C$6*23_GUARANTEES!AO8+24_CONTINGENT_LIABILITIES!$C$7*MAX(0,23_GUARANTEES!AO9-16_REVENUE!AO22)+24_CONTINGENT_LIABILITIES!$C$8*MAX(0,23_GUARANTEES!AO10-23_GUARANTEES!AO8))*24_CONTINGENT_LIABILITIES!$C$9</f>
        <v>0</v>
      </c>
      <c r="AP18" s="34" t="n">
        <f aca="false">(24_CONTINGENT_LIABILITIES!$C$6*23_GUARANTEES!AP8+24_CONTINGENT_LIABILITIES!$C$7*MAX(0,23_GUARANTEES!AP9-16_REVENUE!AP22)+24_CONTINGENT_LIABILITIES!$C$8*MAX(0,23_GUARANTEES!AP10-23_GUARANTEES!AP8))*24_CONTINGENT_LIABILITIES!$C$9</f>
        <v>0</v>
      </c>
      <c r="AQ18" s="34" t="n">
        <f aca="false">(24_CONTINGENT_LIABILITIES!$C$6*23_GUARANTEES!AQ8+24_CONTINGENT_LIABILITIES!$C$7*MAX(0,23_GUARANTEES!AQ9-16_REVENUE!AQ22)+24_CONTINGENT_LIABILITIES!$C$8*MAX(0,23_GUARANTEES!AQ10-23_GUARANTEES!AQ8))*24_CONTINGENT_LIABILITIES!$C$9</f>
        <v>0</v>
      </c>
      <c r="AR18" s="34" t="n">
        <f aca="false">(24_CONTINGENT_LIABILITIES!$C$6*23_GUARANTEES!AR8+24_CONTINGENT_LIABILITIES!$C$7*MAX(0,23_GUARANTEES!AR9-16_REVENUE!AR22)+24_CONTINGENT_LIABILITIES!$C$8*MAX(0,23_GUARANTEES!AR10-23_GUARANTEES!AR8))*24_CONTINGENT_LIABILITIES!$C$9</f>
        <v>0</v>
      </c>
    </row>
    <row r="19" customFormat="false" ht="15" hidden="false" customHeight="false" outlineLevel="0" collapsed="false">
      <c r="A19" s="8" t="s">
        <v>842</v>
      </c>
      <c r="B19" s="8" t="s">
        <v>82</v>
      </c>
      <c r="E19" s="40" t="n">
        <f aca="false">1/(1+02_PROJECT_INPUTS!$C$24)^1</f>
        <v>0.925925925925926</v>
      </c>
      <c r="F19" s="40" t="n">
        <f aca="false">1/(1+02_PROJECT_INPUTS!$C$24)^2</f>
        <v>0.857338820301783</v>
      </c>
      <c r="G19" s="40" t="n">
        <f aca="false">1/(1+02_PROJECT_INPUTS!$C$24)^3</f>
        <v>0.79383224102017</v>
      </c>
      <c r="H19" s="40" t="n">
        <f aca="false">1/(1+02_PROJECT_INPUTS!$C$24)^4</f>
        <v>0.735029852796453</v>
      </c>
      <c r="I19" s="40" t="n">
        <f aca="false">1/(1+02_PROJECT_INPUTS!$C$24)^5</f>
        <v>0.680583197033753</v>
      </c>
      <c r="J19" s="40" t="n">
        <f aca="false">1/(1+02_PROJECT_INPUTS!$C$24)^6</f>
        <v>0.630169626883105</v>
      </c>
      <c r="K19" s="40" t="n">
        <f aca="false">1/(1+02_PROJECT_INPUTS!$C$24)^7</f>
        <v>0.583490395262134</v>
      </c>
      <c r="L19" s="40" t="n">
        <f aca="false">1/(1+02_PROJECT_INPUTS!$C$24)^8</f>
        <v>0.540268884501976</v>
      </c>
      <c r="M19" s="40" t="n">
        <f aca="false">1/(1+02_PROJECT_INPUTS!$C$24)^9</f>
        <v>0.500248967131459</v>
      </c>
      <c r="N19" s="40" t="n">
        <f aca="false">1/(1+02_PROJECT_INPUTS!$C$24)^10</f>
        <v>0.463193488084684</v>
      </c>
      <c r="O19" s="40" t="n">
        <f aca="false">1/(1+02_PROJECT_INPUTS!$C$24)^11</f>
        <v>0.428882859337671</v>
      </c>
      <c r="P19" s="40" t="n">
        <f aca="false">1/(1+02_PROJECT_INPUTS!$C$24)^12</f>
        <v>0.397113758645991</v>
      </c>
      <c r="Q19" s="40" t="n">
        <f aca="false">1/(1+02_PROJECT_INPUTS!$C$24)^13</f>
        <v>0.367697924672214</v>
      </c>
      <c r="R19" s="40" t="n">
        <f aca="false">1/(1+02_PROJECT_INPUTS!$C$24)^14</f>
        <v>0.340461041363161</v>
      </c>
      <c r="S19" s="40" t="n">
        <f aca="false">1/(1+02_PROJECT_INPUTS!$C$24)^15</f>
        <v>0.31524170496589</v>
      </c>
      <c r="T19" s="40" t="n">
        <f aca="false">1/(1+02_PROJECT_INPUTS!$C$24)^16</f>
        <v>0.291890467561009</v>
      </c>
      <c r="U19" s="40" t="n">
        <f aca="false">1/(1+02_PROJECT_INPUTS!$C$24)^17</f>
        <v>0.270268951445379</v>
      </c>
      <c r="V19" s="40" t="n">
        <f aca="false">1/(1+02_PROJECT_INPUTS!$C$24)^18</f>
        <v>0.250249029116092</v>
      </c>
      <c r="W19" s="40" t="n">
        <f aca="false">1/(1+02_PROJECT_INPUTS!$C$24)^19</f>
        <v>0.231712063996381</v>
      </c>
      <c r="X19" s="40" t="n">
        <f aca="false">1/(1+02_PROJECT_INPUTS!$C$24)^20</f>
        <v>0.214548207404056</v>
      </c>
      <c r="Y19" s="40" t="n">
        <f aca="false">1/(1+02_PROJECT_INPUTS!$C$24)^21</f>
        <v>0.198655747596349</v>
      </c>
      <c r="Z19" s="40" t="n">
        <f aca="false">1/(1+02_PROJECT_INPUTS!$C$24)^22</f>
        <v>0.183940507033656</v>
      </c>
      <c r="AA19" s="40" t="n">
        <f aca="false">1/(1+02_PROJECT_INPUTS!$C$24)^23</f>
        <v>0.170315284290422</v>
      </c>
      <c r="AB19" s="40" t="n">
        <f aca="false">1/(1+02_PROJECT_INPUTS!$C$24)^24</f>
        <v>0.157699337305947</v>
      </c>
      <c r="AC19" s="40" t="n">
        <f aca="false">1/(1+02_PROJECT_INPUTS!$C$24)^25</f>
        <v>0.146017904912913</v>
      </c>
      <c r="AD19" s="40" t="n">
        <f aca="false">1/(1+02_PROJECT_INPUTS!$C$24)^26</f>
        <v>0.135201763808253</v>
      </c>
      <c r="AE19" s="40" t="n">
        <f aca="false">1/(1+02_PROJECT_INPUTS!$C$24)^27</f>
        <v>0.125186818340975</v>
      </c>
      <c r="AF19" s="40" t="n">
        <f aca="false">1/(1+02_PROJECT_INPUTS!$C$24)^28</f>
        <v>0.115913720686088</v>
      </c>
      <c r="AG19" s="40" t="n">
        <f aca="false">1/(1+02_PROJECT_INPUTS!$C$24)^29</f>
        <v>0.107327519153785</v>
      </c>
      <c r="AH19" s="40" t="n">
        <f aca="false">1/(1+02_PROJECT_INPUTS!$C$24)^30</f>
        <v>0.0993773325498012</v>
      </c>
      <c r="AI19" s="40" t="n">
        <f aca="false">1/(1+02_PROJECT_INPUTS!$C$24)^31</f>
        <v>0.0920160486572233</v>
      </c>
      <c r="AJ19" s="40" t="n">
        <f aca="false">1/(1+02_PROJECT_INPUTS!$C$24)^32</f>
        <v>0.0852000450529845</v>
      </c>
      <c r="AK19" s="40" t="n">
        <f aca="false">1/(1+02_PROJECT_INPUTS!$C$24)^33</f>
        <v>0.0788889306046153</v>
      </c>
      <c r="AL19" s="40" t="n">
        <f aca="false">1/(1+02_PROJECT_INPUTS!$C$24)^34</f>
        <v>0.0730453061153845</v>
      </c>
      <c r="AM19" s="40" t="n">
        <f aca="false">1/(1+02_PROJECT_INPUTS!$C$24)^35</f>
        <v>0.0676345426994301</v>
      </c>
      <c r="AN19" s="40" t="n">
        <f aca="false">1/(1+02_PROJECT_INPUTS!$C$24)^36</f>
        <v>0.0626245765735464</v>
      </c>
      <c r="AO19" s="40" t="n">
        <f aca="false">1/(1+02_PROJECT_INPUTS!$C$24)^37</f>
        <v>0.05798571904958</v>
      </c>
      <c r="AP19" s="40" t="n">
        <f aca="false">1/(1+02_PROJECT_INPUTS!$C$24)^38</f>
        <v>0.053690480601463</v>
      </c>
      <c r="AQ19" s="40" t="n">
        <f aca="false">1/(1+02_PROJECT_INPUTS!$C$24)^39</f>
        <v>0.0497134079643176</v>
      </c>
      <c r="AR19" s="40" t="n">
        <f aca="false">1/(1+02_PROJECT_INPUTS!$C$24)^40</f>
        <v>0.046030933300294</v>
      </c>
    </row>
    <row r="20" customFormat="false" ht="15" hidden="false" customHeight="false" outlineLevel="0" collapsed="false">
      <c r="A20" s="4" t="s">
        <v>843</v>
      </c>
      <c r="B20" s="8" t="s">
        <v>84</v>
      </c>
      <c r="C20" s="44" t="n">
        <f aca="false">24_CONTINGENT_LIABILITIES!$C$11</f>
        <v>1220.92785723634</v>
      </c>
    </row>
    <row r="21" customFormat="false" ht="15" hidden="false" customHeight="false" outlineLevel="0" collapsed="false">
      <c r="A21" s="4" t="s">
        <v>844</v>
      </c>
      <c r="B21" s="8" t="s">
        <v>84</v>
      </c>
      <c r="C21" s="44" t="n">
        <f aca="false">SUMPRODUCT(24_CONTINGENT_LIABILITIES!$E$18:$AR$18,24_CONTINGENT_LIABILITIES!$E$19:$AR$19)</f>
        <v>116.346490081085</v>
      </c>
    </row>
    <row r="22" customFormat="false" ht="15" hidden="false" customHeight="false" outlineLevel="0" collapsed="false">
      <c r="A22" s="4" t="s">
        <v>845</v>
      </c>
      <c r="B22" s="8" t="s">
        <v>84</v>
      </c>
      <c r="C22" s="44" t="n">
        <f aca="false">SUMPRODUCT(24_CONTINGENT_LIABILITIES!$E$16:$AR$16,24_CONTINGENT_LIABILITIES!$E$19:$AR$19)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846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847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848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849</v>
      </c>
      <c r="B7" s="8" t="s">
        <v>84</v>
      </c>
      <c r="C7" s="34" t="n">
        <f aca="false">SUM(25_FISCAL_IMPACT!$E$7:$AR$7)</f>
        <v>-558.371834399734</v>
      </c>
      <c r="E7" s="34" t="n">
        <f aca="false">-22_GOVERNMENT_SUPPORT!E11</f>
        <v>-14.8723146839573</v>
      </c>
      <c r="F7" s="34" t="n">
        <f aca="false">-22_GOVERNMENT_SUPPORT!F11</f>
        <v>-24.9686548197286</v>
      </c>
      <c r="G7" s="34" t="n">
        <f aca="false">-22_GOVERNMENT_SUPPORT!G11</f>
        <v>-117.596597328611</v>
      </c>
      <c r="H7" s="34" t="n">
        <f aca="false">-22_GOVERNMENT_SUPPORT!H11</f>
        <v>-122.979721330636</v>
      </c>
      <c r="I7" s="34" t="n">
        <f aca="false">-22_GOVERNMENT_SUPPORT!I11</f>
        <v>-127.875227395609</v>
      </c>
      <c r="J7" s="34" t="n">
        <f aca="false">-22_GOVERNMENT_SUPPORT!J11</f>
        <v>-3.69944354728224</v>
      </c>
      <c r="K7" s="34" t="n">
        <f aca="false">-22_GOVERNMENT_SUPPORT!K11</f>
        <v>-3.77343241822788</v>
      </c>
      <c r="L7" s="34" t="n">
        <f aca="false">-22_GOVERNMENT_SUPPORT!L11</f>
        <v>-3.84890106659244</v>
      </c>
      <c r="M7" s="34" t="n">
        <f aca="false">-22_GOVERNMENT_SUPPORT!M11</f>
        <v>-3.92587908792429</v>
      </c>
      <c r="N7" s="34" t="n">
        <f aca="false">-22_GOVERNMENT_SUPPORT!N11</f>
        <v>-4.00439666968278</v>
      </c>
      <c r="O7" s="34" t="n">
        <f aca="false">-22_GOVERNMENT_SUPPORT!O11</f>
        <v>-4.08448460307643</v>
      </c>
      <c r="P7" s="34" t="n">
        <f aca="false">-22_GOVERNMENT_SUPPORT!P11</f>
        <v>-4.16617429513796</v>
      </c>
      <c r="Q7" s="34" t="n">
        <f aca="false">-22_GOVERNMENT_SUPPORT!Q11</f>
        <v>-4.24949778104072</v>
      </c>
      <c r="R7" s="34" t="n">
        <f aca="false">-22_GOVERNMENT_SUPPORT!R11</f>
        <v>-4.33448773666154</v>
      </c>
      <c r="S7" s="34" t="n">
        <f aca="false">-22_GOVERNMENT_SUPPORT!S11</f>
        <v>-4.42117749139477</v>
      </c>
      <c r="T7" s="34" t="n">
        <f aca="false">-22_GOVERNMENT_SUPPORT!T11</f>
        <v>-4.50960104122266</v>
      </c>
      <c r="U7" s="34" t="n">
        <f aca="false">-22_GOVERNMENT_SUPPORT!U11</f>
        <v>-4.59979306204712</v>
      </c>
      <c r="V7" s="34" t="n">
        <f aca="false">-22_GOVERNMENT_SUPPORT!V11</f>
        <v>-4.69178892328806</v>
      </c>
      <c r="W7" s="34" t="n">
        <f aca="false">-22_GOVERNMENT_SUPPORT!W11</f>
        <v>-4.78562470175382</v>
      </c>
      <c r="X7" s="34" t="n">
        <f aca="false">-22_GOVERNMENT_SUPPORT!X11</f>
        <v>-4.8813371957889</v>
      </c>
      <c r="Y7" s="34" t="n">
        <f aca="false">-22_GOVERNMENT_SUPPORT!Y11</f>
        <v>-4.97896393970467</v>
      </c>
      <c r="Z7" s="34" t="n">
        <f aca="false">-22_GOVERNMENT_SUPPORT!Z11</f>
        <v>-5.07854321849877</v>
      </c>
      <c r="AA7" s="34" t="n">
        <f aca="false">-22_GOVERNMENT_SUPPORT!AA11</f>
        <v>-5.18011408286874</v>
      </c>
      <c r="AB7" s="34" t="n">
        <f aca="false">-22_GOVERNMENT_SUPPORT!AB11</f>
        <v>-5.28371636452612</v>
      </c>
      <c r="AC7" s="34" t="n">
        <f aca="false">-22_GOVERNMENT_SUPPORT!AC11</f>
        <v>-5.38939069181664</v>
      </c>
      <c r="AD7" s="34" t="n">
        <f aca="false">-22_GOVERNMENT_SUPPORT!AD11</f>
        <v>-5.49717850565297</v>
      </c>
      <c r="AE7" s="34" t="n">
        <f aca="false">-22_GOVERNMENT_SUPPORT!AE11</f>
        <v>-5.60712207576603</v>
      </c>
      <c r="AF7" s="34" t="n">
        <f aca="false">-22_GOVERNMENT_SUPPORT!AF11</f>
        <v>-5.71926451728135</v>
      </c>
      <c r="AG7" s="34" t="n">
        <f aca="false">-22_GOVERNMENT_SUPPORT!AG11</f>
        <v>-5.83364980762698</v>
      </c>
      <c r="AH7" s="34" t="n">
        <f aca="false">-22_GOVERNMENT_SUPPORT!AH11</f>
        <v>-5.95032280377952</v>
      </c>
      <c r="AI7" s="34" t="n">
        <f aca="false">-22_GOVERNMENT_SUPPORT!AI11</f>
        <v>-6.06932925985511</v>
      </c>
      <c r="AJ7" s="34" t="n">
        <f aca="false">-22_GOVERNMENT_SUPPORT!AJ11</f>
        <v>-6.19071584505221</v>
      </c>
      <c r="AK7" s="34" t="n">
        <f aca="false">-22_GOVERNMENT_SUPPORT!AK11</f>
        <v>-6.31453016195326</v>
      </c>
      <c r="AL7" s="34" t="n">
        <f aca="false">-22_GOVERNMENT_SUPPORT!AL11</f>
        <v>-6.44082076519232</v>
      </c>
      <c r="AM7" s="34" t="n">
        <f aca="false">-22_GOVERNMENT_SUPPORT!AM11</f>
        <v>-6.56963718049617</v>
      </c>
      <c r="AN7" s="34" t="n">
        <f aca="false">-22_GOVERNMENT_SUPPORT!AN11</f>
        <v>-0</v>
      </c>
      <c r="AO7" s="34" t="n">
        <f aca="false">-22_GOVERNMENT_SUPPORT!AO11</f>
        <v>-0</v>
      </c>
      <c r="AP7" s="34" t="n">
        <f aca="false">-22_GOVERNMENT_SUPPORT!AP11</f>
        <v>-0</v>
      </c>
      <c r="AQ7" s="34" t="n">
        <f aca="false">-22_GOVERNMENT_SUPPORT!AQ11</f>
        <v>-0</v>
      </c>
      <c r="AR7" s="34" t="n">
        <f aca="false">-22_GOVERNMENT_SUPPORT!AR11</f>
        <v>-0</v>
      </c>
    </row>
    <row r="8" customFormat="false" ht="15" hidden="false" customHeight="false" outlineLevel="0" collapsed="false">
      <c r="A8" s="8" t="s">
        <v>850</v>
      </c>
      <c r="B8" s="8" t="s">
        <v>84</v>
      </c>
      <c r="C8" s="34" t="n">
        <f aca="false">SUM(25_FISCAL_IMPACT!$E$8:$AR$8)</f>
        <v>0</v>
      </c>
      <c r="E8" s="34" t="n">
        <f aca="false">-24_CONTINGENT_LIABILITIES!E16</f>
        <v>-0</v>
      </c>
      <c r="F8" s="34" t="n">
        <f aca="false">-24_CONTINGENT_LIABILITIES!F16</f>
        <v>-0</v>
      </c>
      <c r="G8" s="34" t="n">
        <f aca="false">-24_CONTINGENT_LIABILITIES!G16</f>
        <v>-0</v>
      </c>
      <c r="H8" s="34" t="n">
        <f aca="false">-24_CONTINGENT_LIABILITIES!H16</f>
        <v>-0</v>
      </c>
      <c r="I8" s="34" t="n">
        <f aca="false">-24_CONTINGENT_LIABILITIES!I16</f>
        <v>-0</v>
      </c>
      <c r="J8" s="34" t="n">
        <f aca="false">-24_CONTINGENT_LIABILITIES!J16</f>
        <v>-0</v>
      </c>
      <c r="K8" s="34" t="n">
        <f aca="false">-24_CONTINGENT_LIABILITIES!K16</f>
        <v>-0</v>
      </c>
      <c r="L8" s="34" t="n">
        <f aca="false">-24_CONTINGENT_LIABILITIES!L16</f>
        <v>-0</v>
      </c>
      <c r="M8" s="34" t="n">
        <f aca="false">-24_CONTINGENT_LIABILITIES!M16</f>
        <v>-0</v>
      </c>
      <c r="N8" s="34" t="n">
        <f aca="false">-24_CONTINGENT_LIABILITIES!N16</f>
        <v>-0</v>
      </c>
      <c r="O8" s="34" t="n">
        <f aca="false">-24_CONTINGENT_LIABILITIES!O16</f>
        <v>-0</v>
      </c>
      <c r="P8" s="34" t="n">
        <f aca="false">-24_CONTINGENT_LIABILITIES!P16</f>
        <v>-0</v>
      </c>
      <c r="Q8" s="34" t="n">
        <f aca="false">-24_CONTINGENT_LIABILITIES!Q16</f>
        <v>-0</v>
      </c>
      <c r="R8" s="34" t="n">
        <f aca="false">-24_CONTINGENT_LIABILITIES!R16</f>
        <v>-0</v>
      </c>
      <c r="S8" s="34" t="n">
        <f aca="false">-24_CONTINGENT_LIABILITIES!S16</f>
        <v>-0</v>
      </c>
      <c r="T8" s="34" t="n">
        <f aca="false">-24_CONTINGENT_LIABILITIES!T16</f>
        <v>-0</v>
      </c>
      <c r="U8" s="34" t="n">
        <f aca="false">-24_CONTINGENT_LIABILITIES!U16</f>
        <v>-0</v>
      </c>
      <c r="V8" s="34" t="n">
        <f aca="false">-24_CONTINGENT_LIABILITIES!V16</f>
        <v>-0</v>
      </c>
      <c r="W8" s="34" t="n">
        <f aca="false">-24_CONTINGENT_LIABILITIES!W16</f>
        <v>-0</v>
      </c>
      <c r="X8" s="34" t="n">
        <f aca="false">-24_CONTINGENT_LIABILITIES!X16</f>
        <v>-0</v>
      </c>
      <c r="Y8" s="34" t="n">
        <f aca="false">-24_CONTINGENT_LIABILITIES!Y16</f>
        <v>-0</v>
      </c>
      <c r="Z8" s="34" t="n">
        <f aca="false">-24_CONTINGENT_LIABILITIES!Z16</f>
        <v>-0</v>
      </c>
      <c r="AA8" s="34" t="n">
        <f aca="false">-24_CONTINGENT_LIABILITIES!AA16</f>
        <v>-0</v>
      </c>
      <c r="AB8" s="34" t="n">
        <f aca="false">-24_CONTINGENT_LIABILITIES!AB16</f>
        <v>-0</v>
      </c>
      <c r="AC8" s="34" t="n">
        <f aca="false">-24_CONTINGENT_LIABILITIES!AC16</f>
        <v>-0</v>
      </c>
      <c r="AD8" s="34" t="n">
        <f aca="false">-24_CONTINGENT_LIABILITIES!AD16</f>
        <v>-0</v>
      </c>
      <c r="AE8" s="34" t="n">
        <f aca="false">-24_CONTINGENT_LIABILITIES!AE16</f>
        <v>-0</v>
      </c>
      <c r="AF8" s="34" t="n">
        <f aca="false">-24_CONTINGENT_LIABILITIES!AF16</f>
        <v>-0</v>
      </c>
      <c r="AG8" s="34" t="n">
        <f aca="false">-24_CONTINGENT_LIABILITIES!AG16</f>
        <v>-0</v>
      </c>
      <c r="AH8" s="34" t="n">
        <f aca="false">-24_CONTINGENT_LIABILITIES!AH16</f>
        <v>-0</v>
      </c>
      <c r="AI8" s="34" t="n">
        <f aca="false">-24_CONTINGENT_LIABILITIES!AI16</f>
        <v>-0</v>
      </c>
      <c r="AJ8" s="34" t="n">
        <f aca="false">-24_CONTINGENT_LIABILITIES!AJ16</f>
        <v>-0</v>
      </c>
      <c r="AK8" s="34" t="n">
        <f aca="false">-24_CONTINGENT_LIABILITIES!AK16</f>
        <v>-0</v>
      </c>
      <c r="AL8" s="34" t="n">
        <f aca="false">-24_CONTINGENT_LIABILITIES!AL16</f>
        <v>-0</v>
      </c>
      <c r="AM8" s="34" t="n">
        <f aca="false">-24_CONTINGENT_LIABILITIES!AM16</f>
        <v>-0</v>
      </c>
      <c r="AN8" s="34" t="n">
        <f aca="false">-24_CONTINGENT_LIABILITIES!AN16</f>
        <v>-0</v>
      </c>
      <c r="AO8" s="34" t="n">
        <f aca="false">-24_CONTINGENT_LIABILITIES!AO16</f>
        <v>-0</v>
      </c>
      <c r="AP8" s="34" t="n">
        <f aca="false">-24_CONTINGENT_LIABILITIES!AP16</f>
        <v>-0</v>
      </c>
      <c r="AQ8" s="34" t="n">
        <f aca="false">-24_CONTINGENT_LIABILITIES!AQ16</f>
        <v>-0</v>
      </c>
      <c r="AR8" s="34" t="n">
        <f aca="false">-24_CONTINGENT_LIABILITIES!AR16</f>
        <v>-0</v>
      </c>
    </row>
    <row r="9" customFormat="false" ht="15" hidden="false" customHeight="false" outlineLevel="0" collapsed="false">
      <c r="A9" s="6" t="s">
        <v>851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</row>
    <row r="10" customFormat="false" ht="15" hidden="false" customHeight="false" outlineLevel="0" collapsed="false">
      <c r="A10" s="8" t="s">
        <v>852</v>
      </c>
      <c r="B10" s="8" t="s">
        <v>84</v>
      </c>
      <c r="C10" s="34" t="n">
        <f aca="false">SUM(25_FISCAL_IMPACT!$E$10:$AR$10)</f>
        <v>962.231722910022</v>
      </c>
      <c r="E10" s="57" t="n">
        <f aca="false">21_TAX!E18</f>
        <v>0</v>
      </c>
      <c r="F10" s="57" t="n">
        <f aca="false">21_TAX!F18</f>
        <v>0</v>
      </c>
      <c r="G10" s="57" t="n">
        <f aca="false">21_TAX!G18</f>
        <v>0</v>
      </c>
      <c r="H10" s="57" t="n">
        <f aca="false">21_TAX!H18</f>
        <v>0</v>
      </c>
      <c r="I10" s="57" t="n">
        <f aca="false">21_TAX!I18</f>
        <v>0</v>
      </c>
      <c r="J10" s="57" t="n">
        <f aca="false">21_TAX!J18</f>
        <v>0</v>
      </c>
      <c r="K10" s="57" t="n">
        <f aca="false">21_TAX!K18</f>
        <v>0</v>
      </c>
      <c r="L10" s="57" t="n">
        <f aca="false">21_TAX!L18</f>
        <v>0</v>
      </c>
      <c r="M10" s="57" t="n">
        <f aca="false">21_TAX!M18</f>
        <v>0</v>
      </c>
      <c r="N10" s="57" t="n">
        <f aca="false">21_TAX!N18</f>
        <v>0</v>
      </c>
      <c r="O10" s="57" t="n">
        <f aca="false">21_TAX!O18</f>
        <v>14.054523832191</v>
      </c>
      <c r="P10" s="57" t="n">
        <f aca="false">21_TAX!P18</f>
        <v>15.2541175991287</v>
      </c>
      <c r="Q10" s="57" t="n">
        <f aca="false">21_TAX!Q18</f>
        <v>16.4100133437786</v>
      </c>
      <c r="R10" s="57" t="n">
        <f aca="false">21_TAX!R18</f>
        <v>17.6402030371862</v>
      </c>
      <c r="S10" s="57" t="n">
        <f aca="false">21_TAX!S18</f>
        <v>18.9503124306405</v>
      </c>
      <c r="T10" s="57" t="n">
        <f aca="false">21_TAX!T18</f>
        <v>20.3464109802413</v>
      </c>
      <c r="U10" s="57" t="n">
        <f aca="false">21_TAX!U18</f>
        <v>21.8350472161782</v>
      </c>
      <c r="V10" s="57" t="n">
        <f aca="false">21_TAX!V18</f>
        <v>23.4232869390101</v>
      </c>
      <c r="W10" s="57" t="n">
        <f aca="false">21_TAX!W18</f>
        <v>25.1187544690537</v>
      </c>
      <c r="X10" s="57" t="n">
        <f aca="false">21_TAX!X18</f>
        <v>26.9296771930782</v>
      </c>
      <c r="Y10" s="57" t="n">
        <f aca="false">21_TAX!Y18</f>
        <v>28.8649336720381</v>
      </c>
      <c r="Z10" s="57" t="n">
        <f aca="false">21_TAX!Z18</f>
        <v>30.9341055946732</v>
      </c>
      <c r="AA10" s="57" t="n">
        <f aca="false">21_TAX!AA18</f>
        <v>33.1475338845892</v>
      </c>
      <c r="AB10" s="57" t="n">
        <f aca="false">21_TAX!AB18</f>
        <v>35.5163792930427</v>
      </c>
      <c r="AC10" s="57" t="n">
        <f aca="false">21_TAX!AC18</f>
        <v>36.3903601966932</v>
      </c>
      <c r="AD10" s="57" t="n">
        <f aca="false">21_TAX!AD18</f>
        <v>55.6396106213948</v>
      </c>
      <c r="AE10" s="57" t="n">
        <f aca="false">21_TAX!AE18</f>
        <v>56.5428461096059</v>
      </c>
      <c r="AF10" s="57" t="n">
        <f aca="false">21_TAX!AF18</f>
        <v>57.4611491571123</v>
      </c>
      <c r="AG10" s="57" t="n">
        <f aca="false">21_TAX!AG18</f>
        <v>58.3948211151002</v>
      </c>
      <c r="AH10" s="57" t="n">
        <f aca="false">21_TAX!AH18</f>
        <v>59.3441693617789</v>
      </c>
      <c r="AI10" s="57" t="n">
        <f aca="false">21_TAX!AI18</f>
        <v>60.3095074229225</v>
      </c>
      <c r="AJ10" s="57" t="n">
        <f aca="false">21_TAX!AJ18</f>
        <v>61.1412975713809</v>
      </c>
      <c r="AK10" s="57" t="n">
        <f aca="false">21_TAX!AK18</f>
        <v>61.9897235228086</v>
      </c>
      <c r="AL10" s="57" t="n">
        <f aca="false">21_TAX!AL18</f>
        <v>62.8551179932648</v>
      </c>
      <c r="AM10" s="57" t="n">
        <f aca="false">21_TAX!AM18</f>
        <v>63.73782035313</v>
      </c>
      <c r="AN10" s="57" t="n">
        <f aca="false">21_TAX!AN18</f>
        <v>0</v>
      </c>
      <c r="AO10" s="57" t="n">
        <f aca="false">21_TAX!AO18</f>
        <v>0</v>
      </c>
      <c r="AP10" s="57" t="n">
        <f aca="false">21_TAX!AP18</f>
        <v>0</v>
      </c>
      <c r="AQ10" s="57" t="n">
        <f aca="false">21_TAX!AQ18</f>
        <v>0</v>
      </c>
      <c r="AR10" s="57" t="n">
        <f aca="false">21_TAX!AR18</f>
        <v>0</v>
      </c>
    </row>
    <row r="11" customFormat="false" ht="15" hidden="false" customHeight="false" outlineLevel="0" collapsed="false">
      <c r="A11" s="8" t="s">
        <v>755</v>
      </c>
      <c r="B11" s="8" t="s">
        <v>84</v>
      </c>
      <c r="C11" s="34" t="n">
        <f aca="false">SUM(25_FISCAL_IMPACT!$E$11:$AR$11)</f>
        <v>189.56506006346</v>
      </c>
      <c r="E11" s="57" t="n">
        <f aca="false">07_OPEX!E21</f>
        <v>0</v>
      </c>
      <c r="F11" s="57" t="n">
        <f aca="false">07_OPEX!F21</f>
        <v>0</v>
      </c>
      <c r="G11" s="57" t="n">
        <f aca="false">07_OPEX!G21</f>
        <v>0</v>
      </c>
      <c r="H11" s="57" t="n">
        <f aca="false">07_OPEX!H21</f>
        <v>0</v>
      </c>
      <c r="I11" s="57" t="n">
        <f aca="false">07_OPEX!I21</f>
        <v>0</v>
      </c>
      <c r="J11" s="57" t="n">
        <f aca="false">07_OPEX!J21</f>
        <v>3.9865897692966</v>
      </c>
      <c r="K11" s="57" t="n">
        <f aca="false">07_OPEX!K21</f>
        <v>4.78390772315592</v>
      </c>
      <c r="L11" s="57" t="n">
        <f aca="false">07_OPEX!L21</f>
        <v>4.87958587761904</v>
      </c>
      <c r="M11" s="57" t="n">
        <f aca="false">07_OPEX!M21</f>
        <v>4.97717759517142</v>
      </c>
      <c r="N11" s="57" t="n">
        <f aca="false">07_OPEX!N21</f>
        <v>5.07672114707485</v>
      </c>
      <c r="O11" s="57" t="n">
        <f aca="false">07_OPEX!O21</f>
        <v>5.17825557001635</v>
      </c>
      <c r="P11" s="57" t="n">
        <f aca="false">07_OPEX!P21</f>
        <v>5.28182068141667</v>
      </c>
      <c r="Q11" s="57" t="n">
        <f aca="false">07_OPEX!Q21</f>
        <v>5.38745709504501</v>
      </c>
      <c r="R11" s="57" t="n">
        <f aca="false">07_OPEX!R21</f>
        <v>5.49520623694591</v>
      </c>
      <c r="S11" s="57" t="n">
        <f aca="false">07_OPEX!S21</f>
        <v>5.60511036168483</v>
      </c>
      <c r="T11" s="57" t="n">
        <f aca="false">07_OPEX!T21</f>
        <v>5.71721256891852</v>
      </c>
      <c r="U11" s="57" t="n">
        <f aca="false">07_OPEX!U21</f>
        <v>5.83155682029689</v>
      </c>
      <c r="V11" s="57" t="n">
        <f aca="false">07_OPEX!V21</f>
        <v>5.94818795670283</v>
      </c>
      <c r="W11" s="57" t="n">
        <f aca="false">07_OPEX!W21</f>
        <v>6.06715171583689</v>
      </c>
      <c r="X11" s="57" t="n">
        <f aca="false">07_OPEX!X21</f>
        <v>6.18849475015362</v>
      </c>
      <c r="Y11" s="57" t="n">
        <f aca="false">07_OPEX!Y21</f>
        <v>6.3122646451567</v>
      </c>
      <c r="Z11" s="57" t="n">
        <f aca="false">07_OPEX!Z21</f>
        <v>6.43850993805983</v>
      </c>
      <c r="AA11" s="57" t="n">
        <f aca="false">07_OPEX!AA21</f>
        <v>6.56728013682103</v>
      </c>
      <c r="AB11" s="57" t="n">
        <f aca="false">07_OPEX!AB21</f>
        <v>6.69862573955745</v>
      </c>
      <c r="AC11" s="57" t="n">
        <f aca="false">07_OPEX!AC21</f>
        <v>6.8325982543486</v>
      </c>
      <c r="AD11" s="57" t="n">
        <f aca="false">07_OPEX!AD21</f>
        <v>6.96925021943557</v>
      </c>
      <c r="AE11" s="57" t="n">
        <f aca="false">07_OPEX!AE21</f>
        <v>7.10863522382428</v>
      </c>
      <c r="AF11" s="57" t="n">
        <f aca="false">07_OPEX!AF21</f>
        <v>7.25080792830077</v>
      </c>
      <c r="AG11" s="57" t="n">
        <f aca="false">07_OPEX!AG21</f>
        <v>7.39582408686678</v>
      </c>
      <c r="AH11" s="57" t="n">
        <f aca="false">07_OPEX!AH21</f>
        <v>7.54374056860412</v>
      </c>
      <c r="AI11" s="57" t="n">
        <f aca="false">07_OPEX!AI21</f>
        <v>7.6946153799762</v>
      </c>
      <c r="AJ11" s="57" t="n">
        <f aca="false">07_OPEX!AJ21</f>
        <v>7.84850768757572</v>
      </c>
      <c r="AK11" s="57" t="n">
        <f aca="false">07_OPEX!AK21</f>
        <v>8.00547784132724</v>
      </c>
      <c r="AL11" s="57" t="n">
        <f aca="false">07_OPEX!AL21</f>
        <v>8.16558739815378</v>
      </c>
      <c r="AM11" s="57" t="n">
        <f aca="false">07_OPEX!AM21</f>
        <v>8.32889914611686</v>
      </c>
      <c r="AN11" s="57" t="n">
        <f aca="false">07_OPEX!AN21</f>
        <v>0</v>
      </c>
      <c r="AO11" s="57" t="n">
        <f aca="false">07_OPEX!AO21</f>
        <v>0</v>
      </c>
      <c r="AP11" s="57" t="n">
        <f aca="false">07_OPEX!AP21</f>
        <v>0</v>
      </c>
      <c r="AQ11" s="57" t="n">
        <f aca="false">07_OPEX!AQ21</f>
        <v>0</v>
      </c>
      <c r="AR11" s="57" t="n">
        <f aca="false">07_OPEX!AR21</f>
        <v>0</v>
      </c>
    </row>
    <row r="12" customFormat="false" ht="15" hidden="false" customHeight="false" outlineLevel="0" collapsed="false">
      <c r="A12" s="8" t="s">
        <v>853</v>
      </c>
      <c r="B12" s="8" t="s">
        <v>84</v>
      </c>
      <c r="C12" s="34" t="n">
        <f aca="false">SUM(25_FISCAL_IMPACT!$E$12:$AR$12)</f>
        <v>989.901900074116</v>
      </c>
      <c r="E12" s="34" t="n">
        <f aca="false">19_EQUITY!E16-20_CASH_FLOW!E38*19_EQUITY!$C$7</f>
        <v>0</v>
      </c>
      <c r="F12" s="34" t="n">
        <f aca="false">19_EQUITY!F16-20_CASH_FLOW!F38*19_EQUITY!$C$7</f>
        <v>0</v>
      </c>
      <c r="G12" s="34" t="n">
        <f aca="false">19_EQUITY!G16-20_CASH_FLOW!G38*19_EQUITY!$C$7</f>
        <v>0</v>
      </c>
      <c r="H12" s="34" t="n">
        <f aca="false">19_EQUITY!H16-20_CASH_FLOW!H38*19_EQUITY!$C$7</f>
        <v>0</v>
      </c>
      <c r="I12" s="34" t="n">
        <f aca="false">19_EQUITY!I16-20_CASH_FLOW!I38*19_EQUITY!$C$7</f>
        <v>0</v>
      </c>
      <c r="J12" s="34" t="n">
        <f aca="false">19_EQUITY!J16-20_CASH_FLOW!J38*19_EQUITY!$C$7</f>
        <v>14.351096175425</v>
      </c>
      <c r="K12" s="34" t="n">
        <f aca="false">19_EQUITY!K16-20_CASH_FLOW!K38*19_EQUITY!$C$7</f>
        <v>21.3109655489354</v>
      </c>
      <c r="L12" s="34" t="n">
        <f aca="false">19_EQUITY!L16-20_CASH_FLOW!L38*19_EQUITY!$C$7</f>
        <v>21.5775716031442</v>
      </c>
      <c r="M12" s="34" t="n">
        <f aca="false">19_EQUITY!M16-20_CASH_FLOW!M38*19_EQUITY!$C$7</f>
        <v>21.8495097784371</v>
      </c>
      <c r="N12" s="34" t="n">
        <f aca="false">19_EQUITY!N16-20_CASH_FLOW!N38*19_EQUITY!$C$7</f>
        <v>24.8362611851982</v>
      </c>
      <c r="O12" s="34" t="n">
        <f aca="false">19_EQUITY!O16-20_CASH_FLOW!O38*19_EQUITY!$C$7</f>
        <v>22.7266689769816</v>
      </c>
      <c r="P12" s="34" t="n">
        <f aca="false">19_EQUITY!P16-20_CASH_FLOW!P38*19_EQUITY!$C$7</f>
        <v>22.7280699337752</v>
      </c>
      <c r="Q12" s="34" t="n">
        <f aca="false">19_EQUITY!Q16-20_CASH_FLOW!Q38*19_EQUITY!$C$7</f>
        <v>22.7537378194069</v>
      </c>
      <c r="R12" s="34" t="n">
        <f aca="false">19_EQUITY!R16-20_CASH_FLOW!R38*19_EQUITY!$C$7</f>
        <v>22.7603590503709</v>
      </c>
      <c r="S12" s="34" t="n">
        <f aca="false">19_EQUITY!S16-20_CASH_FLOW!S38*19_EQUITY!$C$7</f>
        <v>22.7460272611591</v>
      </c>
      <c r="T12" s="34" t="n">
        <f aca="false">19_EQUITY!T16-20_CASH_FLOW!T38*19_EQUITY!$C$7</f>
        <v>22.7086759243601</v>
      </c>
      <c r="U12" s="34" t="n">
        <f aca="false">19_EQUITY!U16-20_CASH_FLOW!U38*19_EQUITY!$C$7</f>
        <v>22.6460653846537</v>
      </c>
      <c r="V12" s="34" t="n">
        <f aca="false">19_EQUITY!V16-20_CASH_FLOW!V38*19_EQUITY!$C$7</f>
        <v>22.5557688524636</v>
      </c>
      <c r="W12" s="34" t="n">
        <f aca="false">19_EQUITY!W16-20_CASH_FLOW!W38*19_EQUITY!$C$7</f>
        <v>22.4351572739807</v>
      </c>
      <c r="X12" s="34" t="n">
        <f aca="false">19_EQUITY!X16-20_CASH_FLOW!X38*19_EQUITY!$C$7</f>
        <v>22.2813829876031</v>
      </c>
      <c r="Y12" s="34" t="n">
        <f aca="false">19_EQUITY!Y16-20_CASH_FLOW!Y38*19_EQUITY!$C$7</f>
        <v>22.0913620696424</v>
      </c>
      <c r="Z12" s="34" t="n">
        <f aca="false">19_EQUITY!Z16-20_CASH_FLOW!Z38*19_EQUITY!$C$7</f>
        <v>21.8617552643746</v>
      </c>
      <c r="AA12" s="34" t="n">
        <f aca="false">19_EQUITY!AA16-20_CASH_FLOW!AA38*19_EQUITY!$C$7</f>
        <v>34.34985054548</v>
      </c>
      <c r="AB12" s="34" t="n">
        <f aca="false">19_EQUITY!AB16-20_CASH_FLOW!AB38*19_EQUITY!$C$7</f>
        <v>47.0441291922354</v>
      </c>
      <c r="AC12" s="34" t="n">
        <f aca="false">19_EQUITY!AC16-20_CASH_FLOW!AC38*19_EQUITY!$C$7</f>
        <v>47.795552657711</v>
      </c>
      <c r="AD12" s="34" t="n">
        <f aca="false">19_EQUITY!AD16-20_CASH_FLOW!AD38*19_EQUITY!$C$7</f>
        <v>41.7939679256795</v>
      </c>
      <c r="AE12" s="34" t="n">
        <f aca="false">19_EQUITY!AE16-20_CASH_FLOW!AE38*19_EQUITY!$C$7</f>
        <v>42.5705436355803</v>
      </c>
      <c r="AF12" s="34" t="n">
        <f aca="false">19_EQUITY!AF16-20_CASH_FLOW!AF38*19_EQUITY!$C$7</f>
        <v>43.3600739965208</v>
      </c>
      <c r="AG12" s="34" t="n">
        <f aca="false">19_EQUITY!AG16-20_CASH_FLOW!AG38*19_EQUITY!$C$7</f>
        <v>44.1628181015215</v>
      </c>
      <c r="AH12" s="34" t="n">
        <f aca="false">19_EQUITY!AH16-20_CASH_FLOW!AH38*19_EQUITY!$C$7</f>
        <v>48.046734461714</v>
      </c>
      <c r="AI12" s="34" t="n">
        <f aca="false">19_EQUITY!AI16-20_CASH_FLOW!AI38*19_EQUITY!$C$7</f>
        <v>51.8523675741393</v>
      </c>
      <c r="AJ12" s="34" t="n">
        <f aca="false">19_EQUITY!AJ16-20_CASH_FLOW!AJ38*19_EQUITY!$C$7</f>
        <v>52.5675166503863</v>
      </c>
      <c r="AK12" s="34" t="n">
        <f aca="false">19_EQUITY!AK16-20_CASH_FLOW!AK38*19_EQUITY!$C$7</f>
        <v>53.2969687081583</v>
      </c>
      <c r="AL12" s="34" t="n">
        <f aca="false">19_EQUITY!AL16-20_CASH_FLOW!AL38*19_EQUITY!$C$7</f>
        <v>54.0410098070857</v>
      </c>
      <c r="AM12" s="34" t="n">
        <f aca="false">19_EQUITY!AM16-20_CASH_FLOW!AM38*19_EQUITY!$C$7</f>
        <v>54.7999317279916</v>
      </c>
      <c r="AN12" s="34" t="n">
        <f aca="false">19_EQUITY!AN16-20_CASH_FLOW!AN38*19_EQUITY!$C$7</f>
        <v>0</v>
      </c>
      <c r="AO12" s="34" t="n">
        <f aca="false">19_EQUITY!AO16-20_CASH_FLOW!AO38*19_EQUITY!$C$7</f>
        <v>0</v>
      </c>
      <c r="AP12" s="34" t="n">
        <f aca="false">19_EQUITY!AP16-20_CASH_FLOW!AP38*19_EQUITY!$C$7</f>
        <v>0</v>
      </c>
      <c r="AQ12" s="34" t="n">
        <f aca="false">19_EQUITY!AQ16-20_CASH_FLOW!AQ38*19_EQUITY!$C$7</f>
        <v>0</v>
      </c>
      <c r="AR12" s="34" t="n">
        <f aca="false">19_EQUITY!AR16-20_CASH_FLOW!AR38*19_EQUITY!$C$7</f>
        <v>0</v>
      </c>
    </row>
    <row r="13" customFormat="false" ht="15" hidden="false" customHeight="false" outlineLevel="0" collapsed="false">
      <c r="A13" s="8" t="s">
        <v>854</v>
      </c>
      <c r="B13" s="8" t="s">
        <v>84</v>
      </c>
      <c r="C13" s="34" t="n">
        <f aca="false">SUM(25_FISCAL_IMPACT!$E$13:$AR$13)</f>
        <v>0</v>
      </c>
      <c r="E13" s="34" t="n">
        <f aca="false">20_CASH_FLOW!E33+16_REVENUE!E21</f>
        <v>0</v>
      </c>
      <c r="F13" s="34" t="n">
        <f aca="false">20_CASH_FLOW!F33+16_REVENUE!F21</f>
        <v>0</v>
      </c>
      <c r="G13" s="34" t="n">
        <f aca="false">20_CASH_FLOW!G33+16_REVENUE!G21</f>
        <v>0</v>
      </c>
      <c r="H13" s="34" t="n">
        <f aca="false">20_CASH_FLOW!H33+16_REVENUE!H21</f>
        <v>0</v>
      </c>
      <c r="I13" s="34" t="n">
        <f aca="false">20_CASH_FLOW!I33+16_REVENUE!I21</f>
        <v>0</v>
      </c>
      <c r="J13" s="34" t="n">
        <f aca="false">20_CASH_FLOW!J33+16_REVENUE!J21</f>
        <v>0</v>
      </c>
      <c r="K13" s="34" t="n">
        <f aca="false">20_CASH_FLOW!K33+16_REVENUE!K21</f>
        <v>0</v>
      </c>
      <c r="L13" s="34" t="n">
        <f aca="false">20_CASH_FLOW!L33+16_REVENUE!L21</f>
        <v>0</v>
      </c>
      <c r="M13" s="34" t="n">
        <f aca="false">20_CASH_FLOW!M33+16_REVENUE!M21</f>
        <v>0</v>
      </c>
      <c r="N13" s="34" t="n">
        <f aca="false">20_CASH_FLOW!N33+16_REVENUE!N21</f>
        <v>0</v>
      </c>
      <c r="O13" s="34" t="n">
        <f aca="false">20_CASH_FLOW!O33+16_REVENUE!O21</f>
        <v>0</v>
      </c>
      <c r="P13" s="34" t="n">
        <f aca="false">20_CASH_FLOW!P33+16_REVENUE!P21</f>
        <v>0</v>
      </c>
      <c r="Q13" s="34" t="n">
        <f aca="false">20_CASH_FLOW!Q33+16_REVENUE!Q21</f>
        <v>0</v>
      </c>
      <c r="R13" s="34" t="n">
        <f aca="false">20_CASH_FLOW!R33+16_REVENUE!R21</f>
        <v>0</v>
      </c>
      <c r="S13" s="34" t="n">
        <f aca="false">20_CASH_FLOW!S33+16_REVENUE!S21</f>
        <v>0</v>
      </c>
      <c r="T13" s="34" t="n">
        <f aca="false">20_CASH_FLOW!T33+16_REVENUE!T21</f>
        <v>0</v>
      </c>
      <c r="U13" s="34" t="n">
        <f aca="false">20_CASH_FLOW!U33+16_REVENUE!U21</f>
        <v>0</v>
      </c>
      <c r="V13" s="34" t="n">
        <f aca="false">20_CASH_FLOW!V33+16_REVENUE!V21</f>
        <v>0</v>
      </c>
      <c r="W13" s="34" t="n">
        <f aca="false">20_CASH_FLOW!W33+16_REVENUE!W21</f>
        <v>0</v>
      </c>
      <c r="X13" s="34" t="n">
        <f aca="false">20_CASH_FLOW!X33+16_REVENUE!X21</f>
        <v>0</v>
      </c>
      <c r="Y13" s="34" t="n">
        <f aca="false">20_CASH_FLOW!Y33+16_REVENUE!Y21</f>
        <v>0</v>
      </c>
      <c r="Z13" s="34" t="n">
        <f aca="false">20_CASH_FLOW!Z33+16_REVENUE!Z21</f>
        <v>0</v>
      </c>
      <c r="AA13" s="34" t="n">
        <f aca="false">20_CASH_FLOW!AA33+16_REVENUE!AA21</f>
        <v>0</v>
      </c>
      <c r="AB13" s="34" t="n">
        <f aca="false">20_CASH_FLOW!AB33+16_REVENUE!AB21</f>
        <v>0</v>
      </c>
      <c r="AC13" s="34" t="n">
        <f aca="false">20_CASH_FLOW!AC33+16_REVENUE!AC21</f>
        <v>0</v>
      </c>
      <c r="AD13" s="34" t="n">
        <f aca="false">20_CASH_FLOW!AD33+16_REVENUE!AD21</f>
        <v>0</v>
      </c>
      <c r="AE13" s="34" t="n">
        <f aca="false">20_CASH_FLOW!AE33+16_REVENUE!AE21</f>
        <v>0</v>
      </c>
      <c r="AF13" s="34" t="n">
        <f aca="false">20_CASH_FLOW!AF33+16_REVENUE!AF21</f>
        <v>0</v>
      </c>
      <c r="AG13" s="34" t="n">
        <f aca="false">20_CASH_FLOW!AG33+16_REVENUE!AG21</f>
        <v>0</v>
      </c>
      <c r="AH13" s="34" t="n">
        <f aca="false">20_CASH_FLOW!AH33+16_REVENUE!AH21</f>
        <v>0</v>
      </c>
      <c r="AI13" s="34" t="n">
        <f aca="false">20_CASH_FLOW!AI33+16_REVENUE!AI21</f>
        <v>0</v>
      </c>
      <c r="AJ13" s="34" t="n">
        <f aca="false">20_CASH_FLOW!AJ33+16_REVENUE!AJ21</f>
        <v>0</v>
      </c>
      <c r="AK13" s="34" t="n">
        <f aca="false">20_CASH_FLOW!AK33+16_REVENUE!AK21</f>
        <v>0</v>
      </c>
      <c r="AL13" s="34" t="n">
        <f aca="false">20_CASH_FLOW!AL33+16_REVENUE!AL21</f>
        <v>0</v>
      </c>
      <c r="AM13" s="34" t="n">
        <f aca="false">20_CASH_FLOW!AM33+16_REVENUE!AM21</f>
        <v>0</v>
      </c>
      <c r="AN13" s="34" t="n">
        <f aca="false">20_CASH_FLOW!AN33+16_REVENUE!AN21</f>
        <v>0</v>
      </c>
      <c r="AO13" s="34" t="n">
        <f aca="false">20_CASH_FLOW!AO33+16_REVENUE!AO21</f>
        <v>0</v>
      </c>
      <c r="AP13" s="34" t="n">
        <f aca="false">20_CASH_FLOW!AP33+16_REVENUE!AP21</f>
        <v>0</v>
      </c>
      <c r="AQ13" s="34" t="n">
        <f aca="false">20_CASH_FLOW!AQ33+16_REVENUE!AQ21</f>
        <v>0</v>
      </c>
      <c r="AR13" s="34" t="n">
        <f aca="false">20_CASH_FLOW!AR33+16_REVENUE!AR21</f>
        <v>0</v>
      </c>
    </row>
    <row r="14" customFormat="false" ht="15" hidden="false" customHeight="false" outlineLevel="0" collapsed="false">
      <c r="A14" s="4" t="s">
        <v>855</v>
      </c>
      <c r="B14" s="8" t="s">
        <v>84</v>
      </c>
      <c r="C14" s="34" t="n">
        <f aca="false">SUM(25_FISCAL_IMPACT!$E$14:$AR$14)</f>
        <v>1583.32684864786</v>
      </c>
      <c r="E14" s="50" t="n">
        <f aca="false">25_FISCAL_IMPACT!E7+25_FISCAL_IMPACT!E8+25_FISCAL_IMPACT!E10+25_FISCAL_IMPACT!E11+25_FISCAL_IMPACT!E12+25_FISCAL_IMPACT!E13</f>
        <v>-14.8723146839573</v>
      </c>
      <c r="F14" s="50" t="n">
        <f aca="false">25_FISCAL_IMPACT!F7+25_FISCAL_IMPACT!F8+25_FISCAL_IMPACT!F10+25_FISCAL_IMPACT!F11+25_FISCAL_IMPACT!F12+25_FISCAL_IMPACT!F13</f>
        <v>-24.9686548197286</v>
      </c>
      <c r="G14" s="50" t="n">
        <f aca="false">25_FISCAL_IMPACT!G7+25_FISCAL_IMPACT!G8+25_FISCAL_IMPACT!G10+25_FISCAL_IMPACT!G11+25_FISCAL_IMPACT!G12+25_FISCAL_IMPACT!G13</f>
        <v>-117.596597328611</v>
      </c>
      <c r="H14" s="50" t="n">
        <f aca="false">25_FISCAL_IMPACT!H7+25_FISCAL_IMPACT!H8+25_FISCAL_IMPACT!H10+25_FISCAL_IMPACT!H11+25_FISCAL_IMPACT!H12+25_FISCAL_IMPACT!H13</f>
        <v>-122.979721330636</v>
      </c>
      <c r="I14" s="50" t="n">
        <f aca="false">25_FISCAL_IMPACT!I7+25_FISCAL_IMPACT!I8+25_FISCAL_IMPACT!I10+25_FISCAL_IMPACT!I11+25_FISCAL_IMPACT!I12+25_FISCAL_IMPACT!I13</f>
        <v>-127.875227395609</v>
      </c>
      <c r="J14" s="50" t="n">
        <f aca="false">25_FISCAL_IMPACT!J7+25_FISCAL_IMPACT!J8+25_FISCAL_IMPACT!J10+25_FISCAL_IMPACT!J11+25_FISCAL_IMPACT!J12+25_FISCAL_IMPACT!J13</f>
        <v>14.6382423974394</v>
      </c>
      <c r="K14" s="50" t="n">
        <f aca="false">25_FISCAL_IMPACT!K7+25_FISCAL_IMPACT!K8+25_FISCAL_IMPACT!K10+25_FISCAL_IMPACT!K11+25_FISCAL_IMPACT!K12+25_FISCAL_IMPACT!K13</f>
        <v>22.3214408538635</v>
      </c>
      <c r="L14" s="50" t="n">
        <f aca="false">25_FISCAL_IMPACT!L7+25_FISCAL_IMPACT!L8+25_FISCAL_IMPACT!L10+25_FISCAL_IMPACT!L11+25_FISCAL_IMPACT!L12+25_FISCAL_IMPACT!L13</f>
        <v>22.6082564141708</v>
      </c>
      <c r="M14" s="50" t="n">
        <f aca="false">25_FISCAL_IMPACT!M7+25_FISCAL_IMPACT!M8+25_FISCAL_IMPACT!M10+25_FISCAL_IMPACT!M11+25_FISCAL_IMPACT!M12+25_FISCAL_IMPACT!M13</f>
        <v>22.9008082856842</v>
      </c>
      <c r="N14" s="50" t="n">
        <f aca="false">25_FISCAL_IMPACT!N7+25_FISCAL_IMPACT!N8+25_FISCAL_IMPACT!N10+25_FISCAL_IMPACT!N11+25_FISCAL_IMPACT!N12+25_FISCAL_IMPACT!N13</f>
        <v>25.9085856625902</v>
      </c>
      <c r="O14" s="50" t="n">
        <f aca="false">25_FISCAL_IMPACT!O7+25_FISCAL_IMPACT!O8+25_FISCAL_IMPACT!O10+25_FISCAL_IMPACT!O11+25_FISCAL_IMPACT!O12+25_FISCAL_IMPACT!O13</f>
        <v>37.8749637761125</v>
      </c>
      <c r="P14" s="50" t="n">
        <f aca="false">25_FISCAL_IMPACT!P7+25_FISCAL_IMPACT!P8+25_FISCAL_IMPACT!P10+25_FISCAL_IMPACT!P11+25_FISCAL_IMPACT!P12+25_FISCAL_IMPACT!P13</f>
        <v>39.0978339191826</v>
      </c>
      <c r="Q14" s="50" t="n">
        <f aca="false">25_FISCAL_IMPACT!Q7+25_FISCAL_IMPACT!Q8+25_FISCAL_IMPACT!Q10+25_FISCAL_IMPACT!Q11+25_FISCAL_IMPACT!Q12+25_FISCAL_IMPACT!Q13</f>
        <v>40.3017104771897</v>
      </c>
      <c r="R14" s="50" t="n">
        <f aca="false">25_FISCAL_IMPACT!R7+25_FISCAL_IMPACT!R8+25_FISCAL_IMPACT!R10+25_FISCAL_IMPACT!R11+25_FISCAL_IMPACT!R12+25_FISCAL_IMPACT!R13</f>
        <v>41.5612805878415</v>
      </c>
      <c r="S14" s="50" t="n">
        <f aca="false">25_FISCAL_IMPACT!S7+25_FISCAL_IMPACT!S8+25_FISCAL_IMPACT!S10+25_FISCAL_IMPACT!S11+25_FISCAL_IMPACT!S12+25_FISCAL_IMPACT!S13</f>
        <v>42.8802725620897</v>
      </c>
      <c r="T14" s="50" t="n">
        <f aca="false">25_FISCAL_IMPACT!T7+25_FISCAL_IMPACT!T8+25_FISCAL_IMPACT!T10+25_FISCAL_IMPACT!T11+25_FISCAL_IMPACT!T12+25_FISCAL_IMPACT!T13</f>
        <v>44.2626984322972</v>
      </c>
      <c r="U14" s="50" t="n">
        <f aca="false">25_FISCAL_IMPACT!U7+25_FISCAL_IMPACT!U8+25_FISCAL_IMPACT!U10+25_FISCAL_IMPACT!U11+25_FISCAL_IMPACT!U12+25_FISCAL_IMPACT!U13</f>
        <v>45.7128763590816</v>
      </c>
      <c r="V14" s="50" t="n">
        <f aca="false">25_FISCAL_IMPACT!V7+25_FISCAL_IMPACT!V8+25_FISCAL_IMPACT!V10+25_FISCAL_IMPACT!V11+25_FISCAL_IMPACT!V12+25_FISCAL_IMPACT!V13</f>
        <v>47.2354548248885</v>
      </c>
      <c r="W14" s="50" t="n">
        <f aca="false">25_FISCAL_IMPACT!W7+25_FISCAL_IMPACT!W8+25_FISCAL_IMPACT!W10+25_FISCAL_IMPACT!W11+25_FISCAL_IMPACT!W12+25_FISCAL_IMPACT!W13</f>
        <v>48.8354387571175</v>
      </c>
      <c r="X14" s="50" t="n">
        <f aca="false">25_FISCAL_IMPACT!X7+25_FISCAL_IMPACT!X8+25_FISCAL_IMPACT!X10+25_FISCAL_IMPACT!X11+25_FISCAL_IMPACT!X12+25_FISCAL_IMPACT!X13</f>
        <v>50.518217735046</v>
      </c>
      <c r="Y14" s="50" t="n">
        <f aca="false">25_FISCAL_IMPACT!Y7+25_FISCAL_IMPACT!Y8+25_FISCAL_IMPACT!Y10+25_FISCAL_IMPACT!Y11+25_FISCAL_IMPACT!Y12+25_FISCAL_IMPACT!Y13</f>
        <v>52.2895964471325</v>
      </c>
      <c r="Z14" s="50" t="n">
        <f aca="false">25_FISCAL_IMPACT!Z7+25_FISCAL_IMPACT!Z8+25_FISCAL_IMPACT!Z10+25_FISCAL_IMPACT!Z11+25_FISCAL_IMPACT!Z12+25_FISCAL_IMPACT!Z13</f>
        <v>54.1558275786088</v>
      </c>
      <c r="AA14" s="50" t="n">
        <f aca="false">25_FISCAL_IMPACT!AA7+25_FISCAL_IMPACT!AA8+25_FISCAL_IMPACT!AA10+25_FISCAL_IMPACT!AA11+25_FISCAL_IMPACT!AA12+25_FISCAL_IMPACT!AA13</f>
        <v>68.8845504840216</v>
      </c>
      <c r="AB14" s="50" t="n">
        <f aca="false">25_FISCAL_IMPACT!AB7+25_FISCAL_IMPACT!AB8+25_FISCAL_IMPACT!AB10+25_FISCAL_IMPACT!AB11+25_FISCAL_IMPACT!AB12+25_FISCAL_IMPACT!AB13</f>
        <v>83.9754178603094</v>
      </c>
      <c r="AC14" s="50" t="n">
        <f aca="false">25_FISCAL_IMPACT!AC7+25_FISCAL_IMPACT!AC8+25_FISCAL_IMPACT!AC10+25_FISCAL_IMPACT!AC11+25_FISCAL_IMPACT!AC12+25_FISCAL_IMPACT!AC13</f>
        <v>85.6291204169362</v>
      </c>
      <c r="AD14" s="50" t="n">
        <f aca="false">25_FISCAL_IMPACT!AD7+25_FISCAL_IMPACT!AD8+25_FISCAL_IMPACT!AD10+25_FISCAL_IMPACT!AD11+25_FISCAL_IMPACT!AD12+25_FISCAL_IMPACT!AD13</f>
        <v>98.9056502608569</v>
      </c>
      <c r="AE14" s="50" t="n">
        <f aca="false">25_FISCAL_IMPACT!AE7+25_FISCAL_IMPACT!AE8+25_FISCAL_IMPACT!AE10+25_FISCAL_IMPACT!AE11+25_FISCAL_IMPACT!AE12+25_FISCAL_IMPACT!AE13</f>
        <v>100.614902893244</v>
      </c>
      <c r="AF14" s="50" t="n">
        <f aca="false">25_FISCAL_IMPACT!AF7+25_FISCAL_IMPACT!AF8+25_FISCAL_IMPACT!AF10+25_FISCAL_IMPACT!AF11+25_FISCAL_IMPACT!AF12+25_FISCAL_IMPACT!AF13</f>
        <v>102.352766564653</v>
      </c>
      <c r="AG14" s="50" t="n">
        <f aca="false">25_FISCAL_IMPACT!AG7+25_FISCAL_IMPACT!AG8+25_FISCAL_IMPACT!AG10+25_FISCAL_IMPACT!AG11+25_FISCAL_IMPACT!AG12+25_FISCAL_IMPACT!AG13</f>
        <v>104.119813495861</v>
      </c>
      <c r="AH14" s="50" t="n">
        <f aca="false">25_FISCAL_IMPACT!AH7+25_FISCAL_IMPACT!AH8+25_FISCAL_IMPACT!AH10+25_FISCAL_IMPACT!AH11+25_FISCAL_IMPACT!AH12+25_FISCAL_IMPACT!AH13</f>
        <v>108.984321588318</v>
      </c>
      <c r="AI14" s="50" t="n">
        <f aca="false">25_FISCAL_IMPACT!AI7+25_FISCAL_IMPACT!AI8+25_FISCAL_IMPACT!AI10+25_FISCAL_IMPACT!AI11+25_FISCAL_IMPACT!AI12+25_FISCAL_IMPACT!AI13</f>
        <v>113.787161117183</v>
      </c>
      <c r="AJ14" s="50" t="n">
        <f aca="false">25_FISCAL_IMPACT!AJ7+25_FISCAL_IMPACT!AJ8+25_FISCAL_IMPACT!AJ10+25_FISCAL_IMPACT!AJ11+25_FISCAL_IMPACT!AJ12+25_FISCAL_IMPACT!AJ13</f>
        <v>115.366606064291</v>
      </c>
      <c r="AK14" s="50" t="n">
        <f aca="false">25_FISCAL_IMPACT!AK7+25_FISCAL_IMPACT!AK8+25_FISCAL_IMPACT!AK10+25_FISCAL_IMPACT!AK11+25_FISCAL_IMPACT!AK12+25_FISCAL_IMPACT!AK13</f>
        <v>116.977639910341</v>
      </c>
      <c r="AL14" s="50" t="n">
        <f aca="false">25_FISCAL_IMPACT!AL7+25_FISCAL_IMPACT!AL8+25_FISCAL_IMPACT!AL10+25_FISCAL_IMPACT!AL11+25_FISCAL_IMPACT!AL12+25_FISCAL_IMPACT!AL13</f>
        <v>118.620894433312</v>
      </c>
      <c r="AM14" s="50" t="n">
        <f aca="false">25_FISCAL_IMPACT!AM7+25_FISCAL_IMPACT!AM8+25_FISCAL_IMPACT!AM10+25_FISCAL_IMPACT!AM11+25_FISCAL_IMPACT!AM12+25_FISCAL_IMPACT!AM13</f>
        <v>120.297014046742</v>
      </c>
      <c r="AN14" s="50" t="n">
        <f aca="false">25_FISCAL_IMPACT!AN7+25_FISCAL_IMPACT!AN8+25_FISCAL_IMPACT!AN10+25_FISCAL_IMPACT!AN11+25_FISCAL_IMPACT!AN12+25_FISCAL_IMPACT!AN13</f>
        <v>0</v>
      </c>
      <c r="AO14" s="50" t="n">
        <f aca="false">25_FISCAL_IMPACT!AO7+25_FISCAL_IMPACT!AO8+25_FISCAL_IMPACT!AO10+25_FISCAL_IMPACT!AO11+25_FISCAL_IMPACT!AO12+25_FISCAL_IMPACT!AO13</f>
        <v>0</v>
      </c>
      <c r="AP14" s="50" t="n">
        <f aca="false">25_FISCAL_IMPACT!AP7+25_FISCAL_IMPACT!AP8+25_FISCAL_IMPACT!AP10+25_FISCAL_IMPACT!AP11+25_FISCAL_IMPACT!AP12+25_FISCAL_IMPACT!AP13</f>
        <v>0</v>
      </c>
      <c r="AQ14" s="50" t="n">
        <f aca="false">25_FISCAL_IMPACT!AQ7+25_FISCAL_IMPACT!AQ8+25_FISCAL_IMPACT!AQ10+25_FISCAL_IMPACT!AQ11+25_FISCAL_IMPACT!AQ12+25_FISCAL_IMPACT!AQ13</f>
        <v>0</v>
      </c>
      <c r="AR14" s="50" t="n">
        <f aca="false">25_FISCAL_IMPACT!AR7+25_FISCAL_IMPACT!AR8+25_FISCAL_IMPACT!AR10+25_FISCAL_IMPACT!AR11+25_FISCAL_IMPACT!AR12+25_FISCAL_IMPACT!AR13</f>
        <v>0</v>
      </c>
    </row>
    <row r="15" customFormat="false" ht="15" hidden="false" customHeight="false" outlineLevel="0" collapsed="false">
      <c r="A15" s="8" t="s">
        <v>856</v>
      </c>
      <c r="B15" s="8" t="s">
        <v>84</v>
      </c>
      <c r="C15" s="34" t="n">
        <f aca="false">SUM(25_FISCAL_IMPACT!$E$15:$AR$15)</f>
        <v>-548.69005371761</v>
      </c>
      <c r="E15" s="57" t="n">
        <f aca="false">12_UTILITY!E60</f>
        <v>0</v>
      </c>
      <c r="F15" s="57" t="n">
        <f aca="false">12_UTILITY!F60</f>
        <v>0</v>
      </c>
      <c r="G15" s="57" t="n">
        <f aca="false">12_UTILITY!G60</f>
        <v>0</v>
      </c>
      <c r="H15" s="57" t="n">
        <f aca="false">12_UTILITY!H60</f>
        <v>0</v>
      </c>
      <c r="I15" s="57" t="n">
        <f aca="false">12_UTILITY!I60</f>
        <v>0</v>
      </c>
      <c r="J15" s="57" t="n">
        <f aca="false">12_UTILITY!J60</f>
        <v>-21.4202295388274</v>
      </c>
      <c r="K15" s="57" t="n">
        <f aca="false">12_UTILITY!K60</f>
        <v>-24.7877440681384</v>
      </c>
      <c r="L15" s="57" t="n">
        <f aca="false">12_UTILITY!L60</f>
        <v>-24.3696896205093</v>
      </c>
      <c r="M15" s="57" t="n">
        <f aca="false">12_UTILITY!M60</f>
        <v>-23.946047492815</v>
      </c>
      <c r="N15" s="57" t="n">
        <f aca="false">12_UTILITY!N60</f>
        <v>-23.5167582599238</v>
      </c>
      <c r="O15" s="57" t="n">
        <f aca="false">12_UTILITY!O60</f>
        <v>-23.0817622955294</v>
      </c>
      <c r="P15" s="57" t="n">
        <f aca="false">12_UTILITY!P60</f>
        <v>-22.6409997867615</v>
      </c>
      <c r="Q15" s="57" t="n">
        <f aca="false">12_UTILITY!Q60</f>
        <v>-22.194410749427</v>
      </c>
      <c r="R15" s="57" t="n">
        <f aca="false">12_UTILITY!R60</f>
        <v>-21.7419350439307</v>
      </c>
      <c r="S15" s="57" t="n">
        <f aca="false">12_UTILITY!S60</f>
        <v>-21.2835123918615</v>
      </c>
      <c r="T15" s="57" t="n">
        <f aca="false">12_UTILITY!T60</f>
        <v>-20.819082393299</v>
      </c>
      <c r="U15" s="57" t="n">
        <f aca="false">12_UTILITY!U60</f>
        <v>-20.348584544833</v>
      </c>
      <c r="V15" s="57" t="n">
        <f aca="false">12_UTILITY!V60</f>
        <v>-19.8719582583365</v>
      </c>
      <c r="W15" s="57" t="n">
        <f aca="false">12_UTILITY!W60</f>
        <v>-19.3891428804966</v>
      </c>
      <c r="X15" s="57" t="n">
        <f aca="false">12_UTILITY!X60</f>
        <v>-18.9000777131583</v>
      </c>
      <c r="Y15" s="57" t="n">
        <f aca="false">12_UTILITY!Y60</f>
        <v>-18.4047020344543</v>
      </c>
      <c r="Z15" s="57" t="n">
        <f aca="false">12_UTILITY!Z60</f>
        <v>-17.9029551207998</v>
      </c>
      <c r="AA15" s="57" t="n">
        <f aca="false">12_UTILITY!AA60</f>
        <v>-17.3947762697333</v>
      </c>
      <c r="AB15" s="57" t="n">
        <f aca="false">12_UTILITY!AB60</f>
        <v>-16.8801048236556</v>
      </c>
      <c r="AC15" s="57" t="n">
        <f aca="false">12_UTILITY!AC60</f>
        <v>-16.3588801944778</v>
      </c>
      <c r="AD15" s="57" t="n">
        <f aca="false">12_UTILITY!AD60</f>
        <v>-15.8310418892129</v>
      </c>
      <c r="AE15" s="57" t="n">
        <f aca="false">12_UTILITY!AE60</f>
        <v>-15.2965295365373</v>
      </c>
      <c r="AF15" s="57" t="n">
        <f aca="false">12_UTILITY!AF60</f>
        <v>-14.755282914349</v>
      </c>
      <c r="AG15" s="57" t="n">
        <f aca="false">12_UTILITY!AG60</f>
        <v>-14.2072419783392</v>
      </c>
      <c r="AH15" s="57" t="n">
        <f aca="false">12_UTILITY!AH60</f>
        <v>-13.6523468916403</v>
      </c>
      <c r="AI15" s="57" t="n">
        <f aca="false">12_UTILITY!AI60</f>
        <v>-13.0905380555441</v>
      </c>
      <c r="AJ15" s="57" t="n">
        <f aca="false">12_UTILITY!AJ60</f>
        <v>-12.5217561413324</v>
      </c>
      <c r="AK15" s="57" t="n">
        <f aca="false">12_UTILITY!AK60</f>
        <v>-11.9459421232632</v>
      </c>
      <c r="AL15" s="57" t="n">
        <f aca="false">12_UTILITY!AL60</f>
        <v>-11.3630373127396</v>
      </c>
      <c r="AM15" s="57" t="n">
        <f aca="false">12_UTILITY!AM60</f>
        <v>-10.7729833936837</v>
      </c>
      <c r="AN15" s="57" t="n">
        <f aca="false">12_UTILITY!AN60</f>
        <v>0</v>
      </c>
      <c r="AO15" s="57" t="n">
        <f aca="false">12_UTILITY!AO60</f>
        <v>0</v>
      </c>
      <c r="AP15" s="57" t="n">
        <f aca="false">12_UTILITY!AP60</f>
        <v>0</v>
      </c>
      <c r="AQ15" s="57" t="n">
        <f aca="false">12_UTILITY!AQ60</f>
        <v>0</v>
      </c>
      <c r="AR15" s="57" t="n">
        <f aca="false">12_UTILITY!AR60</f>
        <v>0</v>
      </c>
    </row>
    <row r="16" customFormat="false" ht="15" hidden="false" customHeight="false" outlineLevel="0" collapsed="false">
      <c r="A16" s="4" t="s">
        <v>857</v>
      </c>
      <c r="B16" s="8" t="s">
        <v>84</v>
      </c>
      <c r="C16" s="34" t="n">
        <f aca="false">SUM(25_FISCAL_IMPACT!$E$16:$AR$16)</f>
        <v>1034.63679493025</v>
      </c>
      <c r="E16" s="50" t="n">
        <f aca="false">25_FISCAL_IMPACT!E14+25_FISCAL_IMPACT!E15</f>
        <v>-14.8723146839573</v>
      </c>
      <c r="F16" s="50" t="n">
        <f aca="false">25_FISCAL_IMPACT!F14+25_FISCAL_IMPACT!F15</f>
        <v>-24.9686548197286</v>
      </c>
      <c r="G16" s="50" t="n">
        <f aca="false">25_FISCAL_IMPACT!G14+25_FISCAL_IMPACT!G15</f>
        <v>-117.596597328611</v>
      </c>
      <c r="H16" s="50" t="n">
        <f aca="false">25_FISCAL_IMPACT!H14+25_FISCAL_IMPACT!H15</f>
        <v>-122.979721330636</v>
      </c>
      <c r="I16" s="50" t="n">
        <f aca="false">25_FISCAL_IMPACT!I14+25_FISCAL_IMPACT!I15</f>
        <v>-127.875227395609</v>
      </c>
      <c r="J16" s="50" t="n">
        <f aca="false">25_FISCAL_IMPACT!J14+25_FISCAL_IMPACT!J15</f>
        <v>-6.78198714138804</v>
      </c>
      <c r="K16" s="50" t="n">
        <f aca="false">25_FISCAL_IMPACT!K14+25_FISCAL_IMPACT!K15</f>
        <v>-2.46630321427493</v>
      </c>
      <c r="L16" s="50" t="n">
        <f aca="false">25_FISCAL_IMPACT!L14+25_FISCAL_IMPACT!L15</f>
        <v>-1.76143320633859</v>
      </c>
      <c r="M16" s="50" t="n">
        <f aca="false">25_FISCAL_IMPACT!M14+25_FISCAL_IMPACT!M15</f>
        <v>-1.04523920713075</v>
      </c>
      <c r="N16" s="50" t="n">
        <f aca="false">25_FISCAL_IMPACT!N14+25_FISCAL_IMPACT!N15</f>
        <v>2.3918274026664</v>
      </c>
      <c r="O16" s="50" t="n">
        <f aca="false">25_FISCAL_IMPACT!O14+25_FISCAL_IMPACT!O15</f>
        <v>14.7932014805832</v>
      </c>
      <c r="P16" s="50" t="n">
        <f aca="false">25_FISCAL_IMPACT!P14+25_FISCAL_IMPACT!P15</f>
        <v>16.456834132421</v>
      </c>
      <c r="Q16" s="50" t="n">
        <f aca="false">25_FISCAL_IMPACT!Q14+25_FISCAL_IMPACT!Q15</f>
        <v>18.1072997277628</v>
      </c>
      <c r="R16" s="50" t="n">
        <f aca="false">25_FISCAL_IMPACT!R14+25_FISCAL_IMPACT!R15</f>
        <v>19.8193455439108</v>
      </c>
      <c r="S16" s="50" t="n">
        <f aca="false">25_FISCAL_IMPACT!S14+25_FISCAL_IMPACT!S15</f>
        <v>21.5967601702282</v>
      </c>
      <c r="T16" s="50" t="n">
        <f aca="false">25_FISCAL_IMPACT!T14+25_FISCAL_IMPACT!T15</f>
        <v>23.4436160389982</v>
      </c>
      <c r="U16" s="50" t="n">
        <f aca="false">25_FISCAL_IMPACT!U14+25_FISCAL_IMPACT!U15</f>
        <v>25.3642918142486</v>
      </c>
      <c r="V16" s="50" t="n">
        <f aca="false">25_FISCAL_IMPACT!V14+25_FISCAL_IMPACT!V15</f>
        <v>27.363496566552</v>
      </c>
      <c r="W16" s="50" t="n">
        <f aca="false">25_FISCAL_IMPACT!W14+25_FISCAL_IMPACT!W15</f>
        <v>29.4462958766209</v>
      </c>
      <c r="X16" s="50" t="n">
        <f aca="false">25_FISCAL_IMPACT!X14+25_FISCAL_IMPACT!X15</f>
        <v>31.6181400218876</v>
      </c>
      <c r="Y16" s="50" t="n">
        <f aca="false">25_FISCAL_IMPACT!Y14+25_FISCAL_IMPACT!Y15</f>
        <v>33.8848944126782</v>
      </c>
      <c r="Z16" s="50" t="n">
        <f aca="false">25_FISCAL_IMPACT!Z14+25_FISCAL_IMPACT!Z15</f>
        <v>36.252872457809</v>
      </c>
      <c r="AA16" s="50" t="n">
        <f aca="false">25_FISCAL_IMPACT!AA14+25_FISCAL_IMPACT!AA15</f>
        <v>51.4897742142883</v>
      </c>
      <c r="AB16" s="50" t="n">
        <f aca="false">25_FISCAL_IMPACT!AB14+25_FISCAL_IMPACT!AB15</f>
        <v>67.0953130366538</v>
      </c>
      <c r="AC16" s="50" t="n">
        <f aca="false">25_FISCAL_IMPACT!AC14+25_FISCAL_IMPACT!AC15</f>
        <v>69.2702402224584</v>
      </c>
      <c r="AD16" s="50" t="n">
        <f aca="false">25_FISCAL_IMPACT!AD14+25_FISCAL_IMPACT!AD15</f>
        <v>83.0746083716441</v>
      </c>
      <c r="AE16" s="50" t="n">
        <f aca="false">25_FISCAL_IMPACT!AE14+25_FISCAL_IMPACT!AE15</f>
        <v>85.3183733567072</v>
      </c>
      <c r="AF16" s="50" t="n">
        <f aca="false">25_FISCAL_IMPACT!AF14+25_FISCAL_IMPACT!AF15</f>
        <v>87.5974836503035</v>
      </c>
      <c r="AG16" s="50" t="n">
        <f aca="false">25_FISCAL_IMPACT!AG14+25_FISCAL_IMPACT!AG15</f>
        <v>89.9125715175223</v>
      </c>
      <c r="AH16" s="50" t="n">
        <f aca="false">25_FISCAL_IMPACT!AH14+25_FISCAL_IMPACT!AH15</f>
        <v>95.3319746966772</v>
      </c>
      <c r="AI16" s="50" t="n">
        <f aca="false">25_FISCAL_IMPACT!AI14+25_FISCAL_IMPACT!AI15</f>
        <v>100.696623061639</v>
      </c>
      <c r="AJ16" s="50" t="n">
        <f aca="false">25_FISCAL_IMPACT!AJ14+25_FISCAL_IMPACT!AJ15</f>
        <v>102.844849922958</v>
      </c>
      <c r="AK16" s="50" t="n">
        <f aca="false">25_FISCAL_IMPACT!AK14+25_FISCAL_IMPACT!AK15</f>
        <v>105.031697787078</v>
      </c>
      <c r="AL16" s="50" t="n">
        <f aca="false">25_FISCAL_IMPACT!AL14+25_FISCAL_IMPACT!AL15</f>
        <v>107.257857120572</v>
      </c>
      <c r="AM16" s="50" t="n">
        <f aca="false">25_FISCAL_IMPACT!AM14+25_FISCAL_IMPACT!AM15</f>
        <v>109.524030653059</v>
      </c>
      <c r="AN16" s="50" t="n">
        <f aca="false">25_FISCAL_IMPACT!AN14+25_FISCAL_IMPACT!AN15</f>
        <v>0</v>
      </c>
      <c r="AO16" s="50" t="n">
        <f aca="false">25_FISCAL_IMPACT!AO14+25_FISCAL_IMPACT!AO15</f>
        <v>0</v>
      </c>
      <c r="AP16" s="50" t="n">
        <f aca="false">25_FISCAL_IMPACT!AP14+25_FISCAL_IMPACT!AP15</f>
        <v>0</v>
      </c>
      <c r="AQ16" s="50" t="n">
        <f aca="false">25_FISCAL_IMPACT!AQ14+25_FISCAL_IMPACT!AQ15</f>
        <v>0</v>
      </c>
      <c r="AR16" s="50" t="n">
        <f aca="false">25_FISCAL_IMPACT!AR14+25_FISCAL_IMPACT!AR15</f>
        <v>0</v>
      </c>
    </row>
    <row r="17" customFormat="false" ht="15" hidden="false" customHeight="false" outlineLevel="0" collapsed="false">
      <c r="A17" s="8" t="s">
        <v>858</v>
      </c>
      <c r="B17" s="8" t="s">
        <v>84</v>
      </c>
      <c r="E17" s="34" t="n">
        <f aca="false">25_FISCAL_IMPACT!D17+25_FISCAL_IMPACT!E14</f>
        <v>-14.8723146839573</v>
      </c>
      <c r="F17" s="34" t="n">
        <f aca="false">25_FISCAL_IMPACT!E17+25_FISCAL_IMPACT!F14</f>
        <v>-39.8409695036859</v>
      </c>
      <c r="G17" s="34" t="n">
        <f aca="false">25_FISCAL_IMPACT!F17+25_FISCAL_IMPACT!G14</f>
        <v>-157.437566832297</v>
      </c>
      <c r="H17" s="34" t="n">
        <f aca="false">25_FISCAL_IMPACT!G17+25_FISCAL_IMPACT!H14</f>
        <v>-280.417288162933</v>
      </c>
      <c r="I17" s="34" t="n">
        <f aca="false">25_FISCAL_IMPACT!H17+25_FISCAL_IMPACT!I14</f>
        <v>-408.292515558542</v>
      </c>
      <c r="J17" s="34" t="n">
        <f aca="false">25_FISCAL_IMPACT!I17+25_FISCAL_IMPACT!J14</f>
        <v>-393.654273161102</v>
      </c>
      <c r="K17" s="34" t="n">
        <f aca="false">25_FISCAL_IMPACT!J17+25_FISCAL_IMPACT!K14</f>
        <v>-371.332832307239</v>
      </c>
      <c r="L17" s="34" t="n">
        <f aca="false">25_FISCAL_IMPACT!K17+25_FISCAL_IMPACT!L14</f>
        <v>-348.724575893068</v>
      </c>
      <c r="M17" s="34" t="n">
        <f aca="false">25_FISCAL_IMPACT!L17+25_FISCAL_IMPACT!M14</f>
        <v>-325.823767607384</v>
      </c>
      <c r="N17" s="34" t="n">
        <f aca="false">25_FISCAL_IMPACT!M17+25_FISCAL_IMPACT!N14</f>
        <v>-299.915181944793</v>
      </c>
      <c r="O17" s="34" t="n">
        <f aca="false">25_FISCAL_IMPACT!N17+25_FISCAL_IMPACT!O14</f>
        <v>-262.040218168681</v>
      </c>
      <c r="P17" s="34" t="n">
        <f aca="false">25_FISCAL_IMPACT!O17+25_FISCAL_IMPACT!P14</f>
        <v>-222.942384249498</v>
      </c>
      <c r="Q17" s="34" t="n">
        <f aca="false">25_FISCAL_IMPACT!P17+25_FISCAL_IMPACT!Q14</f>
        <v>-182.640673772309</v>
      </c>
      <c r="R17" s="34" t="n">
        <f aca="false">25_FISCAL_IMPACT!Q17+25_FISCAL_IMPACT!R14</f>
        <v>-141.079393184467</v>
      </c>
      <c r="S17" s="34" t="n">
        <f aca="false">25_FISCAL_IMPACT!R17+25_FISCAL_IMPACT!S14</f>
        <v>-98.1991206223774</v>
      </c>
      <c r="T17" s="34" t="n">
        <f aca="false">25_FISCAL_IMPACT!S17+25_FISCAL_IMPACT!T14</f>
        <v>-53.9364221900802</v>
      </c>
      <c r="U17" s="34" t="n">
        <f aca="false">25_FISCAL_IMPACT!T17+25_FISCAL_IMPACT!U14</f>
        <v>-8.22354583099855</v>
      </c>
      <c r="V17" s="34" t="n">
        <f aca="false">25_FISCAL_IMPACT!U17+25_FISCAL_IMPACT!V14</f>
        <v>39.0119089938899</v>
      </c>
      <c r="W17" s="34" t="n">
        <f aca="false">25_FISCAL_IMPACT!V17+25_FISCAL_IMPACT!W14</f>
        <v>87.8473477510075</v>
      </c>
      <c r="X17" s="34" t="n">
        <f aca="false">25_FISCAL_IMPACT!W17+25_FISCAL_IMPACT!X14</f>
        <v>138.365565486053</v>
      </c>
      <c r="Y17" s="34" t="n">
        <f aca="false">25_FISCAL_IMPACT!X17+25_FISCAL_IMPACT!Y14</f>
        <v>190.655161933186</v>
      </c>
      <c r="Z17" s="34" t="n">
        <f aca="false">25_FISCAL_IMPACT!Y17+25_FISCAL_IMPACT!Z14</f>
        <v>244.810989511795</v>
      </c>
      <c r="AA17" s="34" t="n">
        <f aca="false">25_FISCAL_IMPACT!Z17+25_FISCAL_IMPACT!AA14</f>
        <v>313.695539995816</v>
      </c>
      <c r="AB17" s="34" t="n">
        <f aca="false">25_FISCAL_IMPACT!AA17+25_FISCAL_IMPACT!AB14</f>
        <v>397.670957856126</v>
      </c>
      <c r="AC17" s="34" t="n">
        <f aca="false">25_FISCAL_IMPACT!AB17+25_FISCAL_IMPACT!AC14</f>
        <v>483.300078273062</v>
      </c>
      <c r="AD17" s="34" t="n">
        <f aca="false">25_FISCAL_IMPACT!AC17+25_FISCAL_IMPACT!AD14</f>
        <v>582.205728533919</v>
      </c>
      <c r="AE17" s="34" t="n">
        <f aca="false">25_FISCAL_IMPACT!AD17+25_FISCAL_IMPACT!AE14</f>
        <v>682.820631427163</v>
      </c>
      <c r="AF17" s="34" t="n">
        <f aca="false">25_FISCAL_IMPACT!AE17+25_FISCAL_IMPACT!AF14</f>
        <v>785.173397991816</v>
      </c>
      <c r="AG17" s="34" t="n">
        <f aca="false">25_FISCAL_IMPACT!AF17+25_FISCAL_IMPACT!AG14</f>
        <v>889.293211487677</v>
      </c>
      <c r="AH17" s="34" t="n">
        <f aca="false">25_FISCAL_IMPACT!AG17+25_FISCAL_IMPACT!AH14</f>
        <v>998.277533075995</v>
      </c>
      <c r="AI17" s="34" t="n">
        <f aca="false">25_FISCAL_IMPACT!AH17+25_FISCAL_IMPACT!AI14</f>
        <v>1112.06469419318</v>
      </c>
      <c r="AJ17" s="34" t="n">
        <f aca="false">25_FISCAL_IMPACT!AI17+25_FISCAL_IMPACT!AJ14</f>
        <v>1227.43130025747</v>
      </c>
      <c r="AK17" s="34" t="n">
        <f aca="false">25_FISCAL_IMPACT!AJ17+25_FISCAL_IMPACT!AK14</f>
        <v>1344.40894016781</v>
      </c>
      <c r="AL17" s="34" t="n">
        <f aca="false">25_FISCAL_IMPACT!AK17+25_FISCAL_IMPACT!AL14</f>
        <v>1463.02983460112</v>
      </c>
      <c r="AM17" s="34" t="n">
        <f aca="false">25_FISCAL_IMPACT!AL17+25_FISCAL_IMPACT!AM14</f>
        <v>1583.32684864786</v>
      </c>
      <c r="AN17" s="34" t="n">
        <f aca="false">25_FISCAL_IMPACT!AM17+25_FISCAL_IMPACT!AN14</f>
        <v>1583.32684864786</v>
      </c>
      <c r="AO17" s="34" t="n">
        <f aca="false">25_FISCAL_IMPACT!AN17+25_FISCAL_IMPACT!AO14</f>
        <v>1583.32684864786</v>
      </c>
      <c r="AP17" s="34" t="n">
        <f aca="false">25_FISCAL_IMPACT!AO17+25_FISCAL_IMPACT!AP14</f>
        <v>1583.32684864786</v>
      </c>
      <c r="AQ17" s="34" t="n">
        <f aca="false">25_FISCAL_IMPACT!AP17+25_FISCAL_IMPACT!AQ14</f>
        <v>1583.32684864786</v>
      </c>
      <c r="AR17" s="34" t="n">
        <f aca="false">25_FISCAL_IMPACT!AQ17+25_FISCAL_IMPACT!AR14</f>
        <v>1583.32684864786</v>
      </c>
    </row>
    <row r="18" customFormat="false" ht="15" hidden="false" customHeight="false" outlineLevel="0" collapsed="false">
      <c r="A18" s="8" t="s">
        <v>859</v>
      </c>
      <c r="B18" s="8" t="s">
        <v>84</v>
      </c>
      <c r="C18" s="34" t="n">
        <f aca="false">MAX(25_FISCAL_IMPACT!$E$18:$AR$18)</f>
        <v>127.875227395609</v>
      </c>
      <c r="E18" s="34" t="n">
        <f aca="false">-(25_FISCAL_IMPACT!E7+25_FISCAL_IMPACT!E8)</f>
        <v>14.8723146839573</v>
      </c>
      <c r="F18" s="34" t="n">
        <f aca="false">-(25_FISCAL_IMPACT!F7+25_FISCAL_IMPACT!F8)</f>
        <v>24.9686548197286</v>
      </c>
      <c r="G18" s="34" t="n">
        <f aca="false">-(25_FISCAL_IMPACT!G7+25_FISCAL_IMPACT!G8)</f>
        <v>117.596597328611</v>
      </c>
      <c r="H18" s="34" t="n">
        <f aca="false">-(25_FISCAL_IMPACT!H7+25_FISCAL_IMPACT!H8)</f>
        <v>122.979721330636</v>
      </c>
      <c r="I18" s="34" t="n">
        <f aca="false">-(25_FISCAL_IMPACT!I7+25_FISCAL_IMPACT!I8)</f>
        <v>127.875227395609</v>
      </c>
      <c r="J18" s="34" t="n">
        <f aca="false">-(25_FISCAL_IMPACT!J7+25_FISCAL_IMPACT!J8)</f>
        <v>3.69944354728224</v>
      </c>
      <c r="K18" s="34" t="n">
        <f aca="false">-(25_FISCAL_IMPACT!K7+25_FISCAL_IMPACT!K8)</f>
        <v>3.77343241822788</v>
      </c>
      <c r="L18" s="34" t="n">
        <f aca="false">-(25_FISCAL_IMPACT!L7+25_FISCAL_IMPACT!L8)</f>
        <v>3.84890106659244</v>
      </c>
      <c r="M18" s="34" t="n">
        <f aca="false">-(25_FISCAL_IMPACT!M7+25_FISCAL_IMPACT!M8)</f>
        <v>3.92587908792429</v>
      </c>
      <c r="N18" s="34" t="n">
        <f aca="false">-(25_FISCAL_IMPACT!N7+25_FISCAL_IMPACT!N8)</f>
        <v>4.00439666968278</v>
      </c>
      <c r="O18" s="34" t="n">
        <f aca="false">-(25_FISCAL_IMPACT!O7+25_FISCAL_IMPACT!O8)</f>
        <v>4.08448460307643</v>
      </c>
      <c r="P18" s="34" t="n">
        <f aca="false">-(25_FISCAL_IMPACT!P7+25_FISCAL_IMPACT!P8)</f>
        <v>4.16617429513796</v>
      </c>
      <c r="Q18" s="34" t="n">
        <f aca="false">-(25_FISCAL_IMPACT!Q7+25_FISCAL_IMPACT!Q8)</f>
        <v>4.24949778104072</v>
      </c>
      <c r="R18" s="34" t="n">
        <f aca="false">-(25_FISCAL_IMPACT!R7+25_FISCAL_IMPACT!R8)</f>
        <v>4.33448773666154</v>
      </c>
      <c r="S18" s="34" t="n">
        <f aca="false">-(25_FISCAL_IMPACT!S7+25_FISCAL_IMPACT!S8)</f>
        <v>4.42117749139477</v>
      </c>
      <c r="T18" s="34" t="n">
        <f aca="false">-(25_FISCAL_IMPACT!T7+25_FISCAL_IMPACT!T8)</f>
        <v>4.50960104122266</v>
      </c>
      <c r="U18" s="34" t="n">
        <f aca="false">-(25_FISCAL_IMPACT!U7+25_FISCAL_IMPACT!U8)</f>
        <v>4.59979306204712</v>
      </c>
      <c r="V18" s="34" t="n">
        <f aca="false">-(25_FISCAL_IMPACT!V7+25_FISCAL_IMPACT!V8)</f>
        <v>4.69178892328806</v>
      </c>
      <c r="W18" s="34" t="n">
        <f aca="false">-(25_FISCAL_IMPACT!W7+25_FISCAL_IMPACT!W8)</f>
        <v>4.78562470175382</v>
      </c>
      <c r="X18" s="34" t="n">
        <f aca="false">-(25_FISCAL_IMPACT!X7+25_FISCAL_IMPACT!X8)</f>
        <v>4.8813371957889</v>
      </c>
      <c r="Y18" s="34" t="n">
        <f aca="false">-(25_FISCAL_IMPACT!Y7+25_FISCAL_IMPACT!Y8)</f>
        <v>4.97896393970467</v>
      </c>
      <c r="Z18" s="34" t="n">
        <f aca="false">-(25_FISCAL_IMPACT!Z7+25_FISCAL_IMPACT!Z8)</f>
        <v>5.07854321849877</v>
      </c>
      <c r="AA18" s="34" t="n">
        <f aca="false">-(25_FISCAL_IMPACT!AA7+25_FISCAL_IMPACT!AA8)</f>
        <v>5.18011408286874</v>
      </c>
      <c r="AB18" s="34" t="n">
        <f aca="false">-(25_FISCAL_IMPACT!AB7+25_FISCAL_IMPACT!AB8)</f>
        <v>5.28371636452612</v>
      </c>
      <c r="AC18" s="34" t="n">
        <f aca="false">-(25_FISCAL_IMPACT!AC7+25_FISCAL_IMPACT!AC8)</f>
        <v>5.38939069181664</v>
      </c>
      <c r="AD18" s="34" t="n">
        <f aca="false">-(25_FISCAL_IMPACT!AD7+25_FISCAL_IMPACT!AD8)</f>
        <v>5.49717850565297</v>
      </c>
      <c r="AE18" s="34" t="n">
        <f aca="false">-(25_FISCAL_IMPACT!AE7+25_FISCAL_IMPACT!AE8)</f>
        <v>5.60712207576603</v>
      </c>
      <c r="AF18" s="34" t="n">
        <f aca="false">-(25_FISCAL_IMPACT!AF7+25_FISCAL_IMPACT!AF8)</f>
        <v>5.71926451728135</v>
      </c>
      <c r="AG18" s="34" t="n">
        <f aca="false">-(25_FISCAL_IMPACT!AG7+25_FISCAL_IMPACT!AG8)</f>
        <v>5.83364980762698</v>
      </c>
      <c r="AH18" s="34" t="n">
        <f aca="false">-(25_FISCAL_IMPACT!AH7+25_FISCAL_IMPACT!AH8)</f>
        <v>5.95032280377952</v>
      </c>
      <c r="AI18" s="34" t="n">
        <f aca="false">-(25_FISCAL_IMPACT!AI7+25_FISCAL_IMPACT!AI8)</f>
        <v>6.06932925985511</v>
      </c>
      <c r="AJ18" s="34" t="n">
        <f aca="false">-(25_FISCAL_IMPACT!AJ7+25_FISCAL_IMPACT!AJ8)</f>
        <v>6.19071584505221</v>
      </c>
      <c r="AK18" s="34" t="n">
        <f aca="false">-(25_FISCAL_IMPACT!AK7+25_FISCAL_IMPACT!AK8)</f>
        <v>6.31453016195326</v>
      </c>
      <c r="AL18" s="34" t="n">
        <f aca="false">-(25_FISCAL_IMPACT!AL7+25_FISCAL_IMPACT!AL8)</f>
        <v>6.44082076519232</v>
      </c>
      <c r="AM18" s="34" t="n">
        <f aca="false">-(25_FISCAL_IMPACT!AM7+25_FISCAL_IMPACT!AM8)</f>
        <v>6.56963718049617</v>
      </c>
      <c r="AN18" s="34" t="n">
        <f aca="false">-(25_FISCAL_IMPACT!AN7+25_FISCAL_IMPACT!AN8)</f>
        <v>0</v>
      </c>
      <c r="AO18" s="34" t="n">
        <f aca="false">-(25_FISCAL_IMPACT!AO7+25_FISCAL_IMPACT!AO8)</f>
        <v>0</v>
      </c>
      <c r="AP18" s="34" t="n">
        <f aca="false">-(25_FISCAL_IMPACT!AP7+25_FISCAL_IMPACT!AP8)</f>
        <v>0</v>
      </c>
      <c r="AQ18" s="34" t="n">
        <f aca="false">-(25_FISCAL_IMPACT!AQ7+25_FISCAL_IMPACT!AQ8)</f>
        <v>0</v>
      </c>
      <c r="AR18" s="34" t="n">
        <f aca="false">-(25_FISCAL_IMPACT!AR7+25_FISCAL_IMPACT!AR8)</f>
        <v>0</v>
      </c>
    </row>
    <row r="19" customFormat="false" ht="15" hidden="false" customHeight="false" outlineLevel="0" collapsed="false">
      <c r="A19" s="8" t="s">
        <v>860</v>
      </c>
      <c r="B19" s="8" t="s">
        <v>56</v>
      </c>
      <c r="C19" s="72" t="n">
        <f aca="false">MAX(25_FISCAL_IMPACT!$E$19:$AR$19)</f>
        <v>0.0181400646842536</v>
      </c>
      <c r="E19" s="72" t="n">
        <f aca="false">25_FISCAL_IMPACT!E18/26_DEBT_SUSTAINABILITY!E22</f>
        <v>0.00252930521836008</v>
      </c>
      <c r="F19" s="72" t="n">
        <f aca="false">25_FISCAL_IMPACT!F18/26_DEBT_SUSTAINABILITY!F22</f>
        <v>0.0040441617783817</v>
      </c>
      <c r="G19" s="72" t="n">
        <f aca="false">25_FISCAL_IMPACT!G18/26_DEBT_SUSTAINABILITY!G22</f>
        <v>0.0181400646842536</v>
      </c>
      <c r="H19" s="72" t="n">
        <f aca="false">25_FISCAL_IMPACT!H18/26_DEBT_SUSTAINABILITY!H22</f>
        <v>0.018067093051416</v>
      </c>
      <c r="I19" s="72" t="n">
        <f aca="false">25_FISCAL_IMPACT!I18/26_DEBT_SUSTAINABILITY!I22</f>
        <v>0.017891711912065</v>
      </c>
      <c r="J19" s="72" t="n">
        <f aca="false">25_FISCAL_IMPACT!J18/26_DEBT_SUSTAINABILITY!J22</f>
        <v>0.000492961023923219</v>
      </c>
      <c r="K19" s="72" t="n">
        <f aca="false">25_FISCAL_IMPACT!K18/26_DEBT_SUSTAINABILITY!K22</f>
        <v>0.000478876423239699</v>
      </c>
      <c r="L19" s="72" t="n">
        <f aca="false">25_FISCAL_IMPACT!L18/26_DEBT_SUSTAINABILITY!L22</f>
        <v>0.000465194239718565</v>
      </c>
      <c r="M19" s="72" t="n">
        <f aca="false">25_FISCAL_IMPACT!M18/26_DEBT_SUSTAINABILITY!M22</f>
        <v>0.000451902975726606</v>
      </c>
      <c r="N19" s="72" t="n">
        <f aca="false">25_FISCAL_IMPACT!N18/26_DEBT_SUSTAINABILITY!N22</f>
        <v>0.000438991462134417</v>
      </c>
      <c r="O19" s="72" t="n">
        <f aca="false">25_FISCAL_IMPACT!O18/26_DEBT_SUSTAINABILITY!O22</f>
        <v>0.000426448848930576</v>
      </c>
      <c r="P19" s="72" t="n">
        <f aca="false">25_FISCAL_IMPACT!P18/26_DEBT_SUSTAINABILITY!P22</f>
        <v>0.000414264596103988</v>
      </c>
      <c r="Q19" s="72" t="n">
        <f aca="false">25_FISCAL_IMPACT!Q18/26_DEBT_SUSTAINABILITY!Q22</f>
        <v>0.000402428464786732</v>
      </c>
      <c r="R19" s="72" t="n">
        <f aca="false">25_FISCAL_IMPACT!R18/26_DEBT_SUSTAINABILITY!R22</f>
        <v>0.000390930508649968</v>
      </c>
      <c r="S19" s="72" t="n">
        <f aca="false">25_FISCAL_IMPACT!S18/26_DEBT_SUSTAINABILITY!S22</f>
        <v>0.000379761065545683</v>
      </c>
      <c r="T19" s="72" t="n">
        <f aca="false">25_FISCAL_IMPACT!T18/26_DEBT_SUSTAINABILITY!T22</f>
        <v>0.000368910749387235</v>
      </c>
      <c r="U19" s="72" t="n">
        <f aca="false">25_FISCAL_IMPACT!U18/26_DEBT_SUSTAINABILITY!U22</f>
        <v>0.000358370442261885</v>
      </c>
      <c r="V19" s="72" t="n">
        <f aca="false">25_FISCAL_IMPACT!V18/26_DEBT_SUSTAINABILITY!V22</f>
        <v>0.000348131286768689</v>
      </c>
      <c r="W19" s="72" t="n">
        <f aca="false">25_FISCAL_IMPACT!W18/26_DEBT_SUSTAINABILITY!W22</f>
        <v>0.000338184678575298</v>
      </c>
      <c r="X19" s="72" t="n">
        <f aca="false">25_FISCAL_IMPACT!X18/26_DEBT_SUSTAINABILITY!X22</f>
        <v>0.000328522259187432</v>
      </c>
      <c r="Y19" s="72" t="n">
        <f aca="false">25_FISCAL_IMPACT!Y18/26_DEBT_SUSTAINABILITY!Y22</f>
        <v>0.000319135908924934</v>
      </c>
      <c r="Z19" s="72" t="n">
        <f aca="false">25_FISCAL_IMPACT!Z18/26_DEBT_SUSTAINABILITY!Z22</f>
        <v>0.000310017740098507</v>
      </c>
      <c r="AA19" s="72" t="n">
        <f aca="false">25_FISCAL_IMPACT!AA18/26_DEBT_SUSTAINABILITY!AA22</f>
        <v>0.000301160090381407</v>
      </c>
      <c r="AB19" s="72" t="n">
        <f aca="false">25_FISCAL_IMPACT!AB18/26_DEBT_SUSTAINABILITY!AB22</f>
        <v>0.00029255551637051</v>
      </c>
      <c r="AC19" s="72" t="n">
        <f aca="false">25_FISCAL_IMPACT!AC18/26_DEBT_SUSTAINABILITY!AC22</f>
        <v>0.000284196787331352</v>
      </c>
      <c r="AD19" s="72" t="n">
        <f aca="false">25_FISCAL_IMPACT!AD18/26_DEBT_SUSTAINABILITY!AD22</f>
        <v>0.000276076879121885</v>
      </c>
      <c r="AE19" s="72" t="n">
        <f aca="false">25_FISCAL_IMPACT!AE18/26_DEBT_SUSTAINABILITY!AE22</f>
        <v>0.000268188968289831</v>
      </c>
      <c r="AF19" s="72" t="n">
        <f aca="false">25_FISCAL_IMPACT!AF18/26_DEBT_SUSTAINABILITY!AF22</f>
        <v>0.000260526426338693</v>
      </c>
      <c r="AG19" s="72" t="n">
        <f aca="false">25_FISCAL_IMPACT!AG18/26_DEBT_SUSTAINABILITY!AG22</f>
        <v>0.000253082814157588</v>
      </c>
      <c r="AH19" s="72" t="n">
        <f aca="false">25_FISCAL_IMPACT!AH18/26_DEBT_SUSTAINABILITY!AH22</f>
        <v>0.000245851876610228</v>
      </c>
      <c r="AI19" s="72" t="n">
        <f aca="false">25_FISCAL_IMPACT!AI18/26_DEBT_SUSTAINABILITY!AI22</f>
        <v>0.000238827537278507</v>
      </c>
      <c r="AJ19" s="72" t="n">
        <f aca="false">25_FISCAL_IMPACT!AJ18/26_DEBT_SUSTAINABILITY!AJ22</f>
        <v>0.000232003893356264</v>
      </c>
      <c r="AK19" s="72" t="n">
        <f aca="false">25_FISCAL_IMPACT!AK18/26_DEBT_SUSTAINABILITY!AK22</f>
        <v>0.000225375210688942</v>
      </c>
      <c r="AL19" s="72" t="n">
        <f aca="false">25_FISCAL_IMPACT!AL18/26_DEBT_SUSTAINABILITY!AL22</f>
        <v>0.000218935918954972</v>
      </c>
      <c r="AM19" s="72" t="n">
        <f aca="false">25_FISCAL_IMPACT!AM18/26_DEBT_SUSTAINABILITY!AM22</f>
        <v>0.00021268060698483</v>
      </c>
      <c r="AN19" s="72" t="n">
        <f aca="false">25_FISCAL_IMPACT!AN18/26_DEBT_SUSTAINABILITY!AN22</f>
        <v>0</v>
      </c>
      <c r="AO19" s="72" t="n">
        <f aca="false">25_FISCAL_IMPACT!AO18/26_DEBT_SUSTAINABILITY!AO22</f>
        <v>0</v>
      </c>
      <c r="AP19" s="72" t="n">
        <f aca="false">25_FISCAL_IMPACT!AP18/26_DEBT_SUSTAINABILITY!AP22</f>
        <v>0</v>
      </c>
      <c r="AQ19" s="72" t="n">
        <f aca="false">25_FISCAL_IMPACT!AQ18/26_DEBT_SUSTAINABILITY!AQ22</f>
        <v>0</v>
      </c>
      <c r="AR19" s="72" t="n">
        <f aca="false">25_FISCAL_IMPACT!AR18/26_DEBT_SUSTAINABILITY!AR22</f>
        <v>0</v>
      </c>
    </row>
    <row r="20" customFormat="false" ht="15" hidden="false" customHeight="false" outlineLevel="0" collapsed="false">
      <c r="A20" s="4" t="s">
        <v>861</v>
      </c>
      <c r="B20" s="8" t="s">
        <v>84</v>
      </c>
      <c r="C20" s="44" t="n">
        <f aca="false">SUMPRODUCT(25_FISCAL_IMPACT!$E$14:$AR$14,24_CONTINGENT_LIABILITIES!$E$19:$AR$19)</f>
        <v>49.4673935262178</v>
      </c>
    </row>
    <row r="21" customFormat="false" ht="15" hidden="false" customHeight="false" outlineLevel="0" collapsed="false">
      <c r="A21" s="4" t="s">
        <v>862</v>
      </c>
      <c r="B21" s="8" t="s">
        <v>84</v>
      </c>
      <c r="C21" s="44" t="n">
        <f aca="false">SUMPRODUCT(25_FISCAL_IMPACT!$E$16:$AR$16,24_CONTINGENT_LIABILITIES!$E$19:$AR$19)</f>
        <v>-109.174662184188</v>
      </c>
    </row>
    <row r="22" customFormat="false" ht="15" hidden="false" customHeight="false" outlineLevel="0" collapsed="false">
      <c r="A22" s="4" t="s">
        <v>863</v>
      </c>
      <c r="B22" s="8" t="s">
        <v>84</v>
      </c>
      <c r="C22" s="44" t="n">
        <f aca="false">25_FISCAL_IMPACT!$C$20-24_CONTINGENT_LIABILITIES!$C$21</f>
        <v>-66.8790965548668</v>
      </c>
    </row>
    <row r="23" customFormat="false" ht="15" hidden="false" customHeight="false" outlineLevel="0" collapsed="false">
      <c r="A23" s="4" t="s">
        <v>864</v>
      </c>
      <c r="B23" s="8" t="s">
        <v>84</v>
      </c>
      <c r="C23" s="44" t="n">
        <f aca="false">25_FISCAL_IMPACT!$C$18</f>
        <v>127.875227395609</v>
      </c>
    </row>
    <row r="24" customFormat="false" ht="15" hidden="false" customHeight="false" outlineLevel="0" collapsed="false">
      <c r="A24" s="4" t="s">
        <v>865</v>
      </c>
      <c r="B24" s="8" t="s">
        <v>56</v>
      </c>
      <c r="C24" s="76" t="n">
        <f aca="false">25_FISCAL_IMPACT!$C$19</f>
        <v>0.0181400646842536</v>
      </c>
    </row>
    <row r="25" customFormat="false" ht="15" hidden="false" customHeight="false" outlineLevel="0" collapsed="false">
      <c r="A25" s="4" t="s">
        <v>866</v>
      </c>
      <c r="B25" s="8" t="s">
        <v>84</v>
      </c>
      <c r="C25" s="44" t="n">
        <f aca="false">-MIN(0,MIN(25_FISCAL_IMPACT!$E$17:$AR$17))</f>
        <v>408.292515558542</v>
      </c>
    </row>
    <row r="26" customFormat="false" ht="15" hidden="false" customHeight="false" outlineLevel="0" collapsed="false">
      <c r="A26" s="8" t="s">
        <v>867</v>
      </c>
      <c r="B26" s="8" t="s">
        <v>84</v>
      </c>
      <c r="C26" s="62" t="n">
        <f aca="false">21_TAX!$C$19</f>
        <v>42.0090384885421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868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869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870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871</v>
      </c>
      <c r="B7" s="8" t="s">
        <v>872</v>
      </c>
      <c r="C7" s="51" t="n">
        <v>35</v>
      </c>
      <c r="D7" s="10" t="s">
        <v>94</v>
      </c>
    </row>
    <row r="8" customFormat="false" ht="15" hidden="false" customHeight="false" outlineLevel="0" collapsed="false">
      <c r="A8" s="8" t="s">
        <v>873</v>
      </c>
      <c r="B8" s="8" t="s">
        <v>120</v>
      </c>
      <c r="C8" s="12" t="n">
        <v>0.05</v>
      </c>
    </row>
    <row r="9" customFormat="false" ht="15" hidden="false" customHeight="false" outlineLevel="0" collapsed="false">
      <c r="A9" s="8" t="s">
        <v>874</v>
      </c>
      <c r="B9" s="8" t="s">
        <v>875</v>
      </c>
      <c r="C9" s="12" t="n">
        <v>0.16</v>
      </c>
    </row>
    <row r="10" customFormat="false" ht="15" hidden="false" customHeight="false" outlineLevel="0" collapsed="false">
      <c r="A10" s="8" t="s">
        <v>876</v>
      </c>
      <c r="B10" s="8" t="s">
        <v>875</v>
      </c>
      <c r="C10" s="25" t="n">
        <v>0.48</v>
      </c>
    </row>
    <row r="11" customFormat="false" ht="15" hidden="false" customHeight="false" outlineLevel="0" collapsed="false">
      <c r="A11" s="8" t="s">
        <v>877</v>
      </c>
      <c r="B11" s="8" t="s">
        <v>56</v>
      </c>
      <c r="C11" s="12" t="n">
        <v>0.55</v>
      </c>
    </row>
    <row r="12" customFormat="false" ht="15" hidden="false" customHeight="false" outlineLevel="0" collapsed="false">
      <c r="A12" s="8" t="s">
        <v>878</v>
      </c>
      <c r="B12" s="8" t="s">
        <v>56</v>
      </c>
      <c r="C12" s="12" t="n">
        <v>0.22</v>
      </c>
    </row>
    <row r="13" customFormat="false" ht="15" hidden="false" customHeight="false" outlineLevel="0" collapsed="false">
      <c r="A13" s="8" t="s">
        <v>879</v>
      </c>
      <c r="B13" s="8" t="s">
        <v>875</v>
      </c>
      <c r="C13" s="12" t="n">
        <v>-0.045</v>
      </c>
    </row>
    <row r="14" customFormat="false" ht="15" hidden="false" customHeight="false" outlineLevel="0" collapsed="false">
      <c r="A14" s="8" t="s">
        <v>880</v>
      </c>
      <c r="B14" s="8" t="s">
        <v>881</v>
      </c>
      <c r="C14" s="9" t="n">
        <v>2</v>
      </c>
      <c r="D14" s="10" t="s">
        <v>882</v>
      </c>
    </row>
    <row r="15" customFormat="false" ht="15" hidden="false" customHeight="false" outlineLevel="0" collapsed="false">
      <c r="A15" s="6" t="s">
        <v>883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</row>
    <row r="16" customFormat="false" ht="15" hidden="false" customHeight="false" outlineLevel="0" collapsed="false">
      <c r="A16" s="8" t="s">
        <v>884</v>
      </c>
      <c r="B16" s="8" t="s">
        <v>875</v>
      </c>
      <c r="C16" s="12" t="n">
        <v>0.55</v>
      </c>
      <c r="D16" s="10" t="s">
        <v>885</v>
      </c>
    </row>
    <row r="17" customFormat="false" ht="15" hidden="false" customHeight="false" outlineLevel="0" collapsed="false">
      <c r="A17" s="8" t="s">
        <v>886</v>
      </c>
      <c r="B17" s="8" t="s">
        <v>875</v>
      </c>
      <c r="C17" s="12" t="n">
        <v>0.01</v>
      </c>
      <c r="D17" s="10" t="s">
        <v>887</v>
      </c>
    </row>
    <row r="18" customFormat="false" ht="15" hidden="false" customHeight="false" outlineLevel="0" collapsed="false">
      <c r="A18" s="8" t="s">
        <v>888</v>
      </c>
      <c r="B18" s="8" t="s">
        <v>875</v>
      </c>
      <c r="C18" s="12" t="n">
        <v>0.02</v>
      </c>
      <c r="D18" s="10" t="s">
        <v>887</v>
      </c>
    </row>
    <row r="19" customFormat="false" ht="15" hidden="false" customHeight="false" outlineLevel="0" collapsed="false">
      <c r="A19" s="8" t="s">
        <v>889</v>
      </c>
      <c r="B19" s="8" t="s">
        <v>890</v>
      </c>
      <c r="C19" s="12" t="n">
        <v>0.01</v>
      </c>
      <c r="D19" s="10" t="s">
        <v>887</v>
      </c>
    </row>
    <row r="20" customFormat="false" ht="15" hidden="false" customHeight="false" outlineLevel="0" collapsed="false">
      <c r="A20" s="6" t="s">
        <v>891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</row>
    <row r="21" customFormat="false" ht="15" hidden="false" customHeight="false" outlineLevel="0" collapsed="false">
      <c r="A21" s="8" t="s">
        <v>871</v>
      </c>
      <c r="B21" s="8" t="s">
        <v>84</v>
      </c>
      <c r="E21" s="32" t="n">
        <f aca="false">26_DEBT_SUSTAINABILITY!$C$7*1000*(1+26_DEBT_SUSTAINABILITY!$C$8)^(06_CONSTRUCTION!E4-02_PROJECT_INPUTS!$C$11)</f>
        <v>36750</v>
      </c>
      <c r="F21" s="32" t="n">
        <f aca="false">26_DEBT_SUSTAINABILITY!$C$7*1000*(1+26_DEBT_SUSTAINABILITY!$C$8)^(06_CONSTRUCTION!F4-02_PROJECT_INPUTS!$C$11)</f>
        <v>38587.5</v>
      </c>
      <c r="G21" s="32" t="n">
        <f aca="false">26_DEBT_SUSTAINABILITY!$C$7*1000*(1+26_DEBT_SUSTAINABILITY!$C$8)^(06_CONSTRUCTION!G4-02_PROJECT_INPUTS!$C$11)</f>
        <v>40516.875</v>
      </c>
      <c r="H21" s="32" t="n">
        <f aca="false">26_DEBT_SUSTAINABILITY!$C$7*1000*(1+26_DEBT_SUSTAINABILITY!$C$8)^(06_CONSTRUCTION!H4-02_PROJECT_INPUTS!$C$11)</f>
        <v>42542.71875</v>
      </c>
      <c r="I21" s="32" t="n">
        <f aca="false">26_DEBT_SUSTAINABILITY!$C$7*1000*(1+26_DEBT_SUSTAINABILITY!$C$8)^(06_CONSTRUCTION!I4-02_PROJECT_INPUTS!$C$11)</f>
        <v>44669.8546875</v>
      </c>
      <c r="J21" s="32" t="n">
        <f aca="false">26_DEBT_SUSTAINABILITY!$C$7*1000*(1+26_DEBT_SUSTAINABILITY!$C$8)^(06_CONSTRUCTION!J4-02_PROJECT_INPUTS!$C$11)</f>
        <v>46903.347421875</v>
      </c>
      <c r="K21" s="32" t="n">
        <f aca="false">26_DEBT_SUSTAINABILITY!$C$7*1000*(1+26_DEBT_SUSTAINABILITY!$C$8)^(06_CONSTRUCTION!K4-02_PROJECT_INPUTS!$C$11)</f>
        <v>49248.5147929688</v>
      </c>
      <c r="L21" s="32" t="n">
        <f aca="false">26_DEBT_SUSTAINABILITY!$C$7*1000*(1+26_DEBT_SUSTAINABILITY!$C$8)^(06_CONSTRUCTION!L4-02_PROJECT_INPUTS!$C$11)</f>
        <v>51710.9405326172</v>
      </c>
      <c r="M21" s="32" t="n">
        <f aca="false">26_DEBT_SUSTAINABILITY!$C$7*1000*(1+26_DEBT_SUSTAINABILITY!$C$8)^(06_CONSTRUCTION!M4-02_PROJECT_INPUTS!$C$11)</f>
        <v>54296.4875592481</v>
      </c>
      <c r="N21" s="32" t="n">
        <f aca="false">26_DEBT_SUSTAINABILITY!$C$7*1000*(1+26_DEBT_SUSTAINABILITY!$C$8)^(06_CONSTRUCTION!N4-02_PROJECT_INPUTS!$C$11)</f>
        <v>57011.3119372105</v>
      </c>
      <c r="O21" s="32" t="n">
        <f aca="false">26_DEBT_SUSTAINABILITY!$C$7*1000*(1+26_DEBT_SUSTAINABILITY!$C$8)^(06_CONSTRUCTION!O4-02_PROJECT_INPUTS!$C$11)</f>
        <v>59861.877534071</v>
      </c>
      <c r="P21" s="32" t="n">
        <f aca="false">26_DEBT_SUSTAINABILITY!$C$7*1000*(1+26_DEBT_SUSTAINABILITY!$C$8)^(06_CONSTRUCTION!P4-02_PROJECT_INPUTS!$C$11)</f>
        <v>62854.9714107746</v>
      </c>
      <c r="Q21" s="32" t="n">
        <f aca="false">26_DEBT_SUSTAINABILITY!$C$7*1000*(1+26_DEBT_SUSTAINABILITY!$C$8)^(06_CONSTRUCTION!Q4-02_PROJECT_INPUTS!$C$11)</f>
        <v>65997.7199813133</v>
      </c>
      <c r="R21" s="32" t="n">
        <f aca="false">26_DEBT_SUSTAINABILITY!$C$7*1000*(1+26_DEBT_SUSTAINABILITY!$C$8)^(06_CONSTRUCTION!R4-02_PROJECT_INPUTS!$C$11)</f>
        <v>69297.605980379</v>
      </c>
      <c r="S21" s="32" t="n">
        <f aca="false">26_DEBT_SUSTAINABILITY!$C$7*1000*(1+26_DEBT_SUSTAINABILITY!$C$8)^(06_CONSTRUCTION!S4-02_PROJECT_INPUTS!$C$11)</f>
        <v>72762.4862793979</v>
      </c>
      <c r="T21" s="32" t="n">
        <f aca="false">26_DEBT_SUSTAINABILITY!$C$7*1000*(1+26_DEBT_SUSTAINABILITY!$C$8)^(06_CONSTRUCTION!T4-02_PROJECT_INPUTS!$C$11)</f>
        <v>76400.6105933678</v>
      </c>
      <c r="U21" s="32" t="n">
        <f aca="false">26_DEBT_SUSTAINABILITY!$C$7*1000*(1+26_DEBT_SUSTAINABILITY!$C$8)^(06_CONSTRUCTION!U4-02_PROJECT_INPUTS!$C$11)</f>
        <v>80220.6411230362</v>
      </c>
      <c r="V21" s="32" t="n">
        <f aca="false">26_DEBT_SUSTAINABILITY!$C$7*1000*(1+26_DEBT_SUSTAINABILITY!$C$8)^(06_CONSTRUCTION!V4-02_PROJECT_INPUTS!$C$11)</f>
        <v>84231.673179188</v>
      </c>
      <c r="W21" s="32" t="n">
        <f aca="false">26_DEBT_SUSTAINABILITY!$C$7*1000*(1+26_DEBT_SUSTAINABILITY!$C$8)^(06_CONSTRUCTION!W4-02_PROJECT_INPUTS!$C$11)</f>
        <v>88443.2568381474</v>
      </c>
      <c r="X21" s="32" t="n">
        <f aca="false">26_DEBT_SUSTAINABILITY!$C$7*1000*(1+26_DEBT_SUSTAINABILITY!$C$8)^(06_CONSTRUCTION!X4-02_PROJECT_INPUTS!$C$11)</f>
        <v>92865.4196800548</v>
      </c>
      <c r="Y21" s="32" t="n">
        <f aca="false">26_DEBT_SUSTAINABILITY!$C$7*1000*(1+26_DEBT_SUSTAINABILITY!$C$8)^(06_CONSTRUCTION!Y4-02_PROJECT_INPUTS!$C$11)</f>
        <v>97508.6906640575</v>
      </c>
      <c r="Z21" s="32" t="n">
        <f aca="false">26_DEBT_SUSTAINABILITY!$C$7*1000*(1+26_DEBT_SUSTAINABILITY!$C$8)^(06_CONSTRUCTION!Z4-02_PROJECT_INPUTS!$C$11)</f>
        <v>102384.12519726</v>
      </c>
      <c r="AA21" s="32" t="n">
        <f aca="false">26_DEBT_SUSTAINABILITY!$C$7*1000*(1+26_DEBT_SUSTAINABILITY!$C$8)^(06_CONSTRUCTION!AA4-02_PROJECT_INPUTS!$C$11)</f>
        <v>107503.331457123</v>
      </c>
      <c r="AB21" s="32" t="n">
        <f aca="false">26_DEBT_SUSTAINABILITY!$C$7*1000*(1+26_DEBT_SUSTAINABILITY!$C$8)^(06_CONSTRUCTION!AB4-02_PROJECT_INPUTS!$C$11)</f>
        <v>112878.49802998</v>
      </c>
      <c r="AC21" s="32" t="n">
        <f aca="false">26_DEBT_SUSTAINABILITY!$C$7*1000*(1+26_DEBT_SUSTAINABILITY!$C$8)^(06_CONSTRUCTION!AC4-02_PROJECT_INPUTS!$C$11)</f>
        <v>118522.422931479</v>
      </c>
      <c r="AD21" s="32" t="n">
        <f aca="false">26_DEBT_SUSTAINABILITY!$C$7*1000*(1+26_DEBT_SUSTAINABILITY!$C$8)^(06_CONSTRUCTION!AD4-02_PROJECT_INPUTS!$C$11)</f>
        <v>124448.544078053</v>
      </c>
      <c r="AE21" s="32" t="n">
        <f aca="false">26_DEBT_SUSTAINABILITY!$C$7*1000*(1+26_DEBT_SUSTAINABILITY!$C$8)^(06_CONSTRUCTION!AE4-02_PROJECT_INPUTS!$C$11)</f>
        <v>130670.971281955</v>
      </c>
      <c r="AF21" s="32" t="n">
        <f aca="false">26_DEBT_SUSTAINABILITY!$C$7*1000*(1+26_DEBT_SUSTAINABILITY!$C$8)^(06_CONSTRUCTION!AF4-02_PROJECT_INPUTS!$C$11)</f>
        <v>137204.519846053</v>
      </c>
      <c r="AG21" s="32" t="n">
        <f aca="false">26_DEBT_SUSTAINABILITY!$C$7*1000*(1+26_DEBT_SUSTAINABILITY!$C$8)^(06_CONSTRUCTION!AG4-02_PROJECT_INPUTS!$C$11)</f>
        <v>144064.745838356</v>
      </c>
      <c r="AH21" s="32" t="n">
        <f aca="false">26_DEBT_SUSTAINABILITY!$C$7*1000*(1+26_DEBT_SUSTAINABILITY!$C$8)^(06_CONSTRUCTION!AH4-02_PROJECT_INPUTS!$C$11)</f>
        <v>151267.983130273</v>
      </c>
      <c r="AI21" s="32" t="n">
        <f aca="false">26_DEBT_SUSTAINABILITY!$C$7*1000*(1+26_DEBT_SUSTAINABILITY!$C$8)^(06_CONSTRUCTION!AI4-02_PROJECT_INPUTS!$C$11)</f>
        <v>158831.382286787</v>
      </c>
      <c r="AJ21" s="32" t="n">
        <f aca="false">26_DEBT_SUSTAINABILITY!$C$7*1000*(1+26_DEBT_SUSTAINABILITY!$C$8)^(06_CONSTRUCTION!AJ4-02_PROJECT_INPUTS!$C$11)</f>
        <v>166772.951401126</v>
      </c>
      <c r="AK21" s="32" t="n">
        <f aca="false">26_DEBT_SUSTAINABILITY!$C$7*1000*(1+26_DEBT_SUSTAINABILITY!$C$8)^(06_CONSTRUCTION!AK4-02_PROJECT_INPUTS!$C$11)</f>
        <v>175111.598971183</v>
      </c>
      <c r="AL21" s="32" t="n">
        <f aca="false">26_DEBT_SUSTAINABILITY!$C$7*1000*(1+26_DEBT_SUSTAINABILITY!$C$8)^(06_CONSTRUCTION!AL4-02_PROJECT_INPUTS!$C$11)</f>
        <v>183867.178919742</v>
      </c>
      <c r="AM21" s="32" t="n">
        <f aca="false">26_DEBT_SUSTAINABILITY!$C$7*1000*(1+26_DEBT_SUSTAINABILITY!$C$8)^(06_CONSTRUCTION!AM4-02_PROJECT_INPUTS!$C$11)</f>
        <v>193060.537865729</v>
      </c>
      <c r="AN21" s="32" t="n">
        <f aca="false">26_DEBT_SUSTAINABILITY!$C$7*1000*(1+26_DEBT_SUSTAINABILITY!$C$8)^(06_CONSTRUCTION!AN4-02_PROJECT_INPUTS!$C$11)</f>
        <v>202713.564759015</v>
      </c>
      <c r="AO21" s="32" t="n">
        <f aca="false">26_DEBT_SUSTAINABILITY!$C$7*1000*(1+26_DEBT_SUSTAINABILITY!$C$8)^(06_CONSTRUCTION!AO4-02_PROJECT_INPUTS!$C$11)</f>
        <v>212849.242996966</v>
      </c>
      <c r="AP21" s="32" t="n">
        <f aca="false">26_DEBT_SUSTAINABILITY!$C$7*1000*(1+26_DEBT_SUSTAINABILITY!$C$8)^(06_CONSTRUCTION!AP4-02_PROJECT_INPUTS!$C$11)</f>
        <v>223491.705146815</v>
      </c>
      <c r="AQ21" s="32" t="n">
        <f aca="false">26_DEBT_SUSTAINABILITY!$C$7*1000*(1+26_DEBT_SUSTAINABILITY!$C$8)^(06_CONSTRUCTION!AQ4-02_PROJECT_INPUTS!$C$11)</f>
        <v>234666.290404155</v>
      </c>
      <c r="AR21" s="32" t="n">
        <f aca="false">26_DEBT_SUSTAINABILITY!$C$7*1000*(1+26_DEBT_SUSTAINABILITY!$C$8)^(06_CONSTRUCTION!AR4-02_PROJECT_INPUTS!$C$11)</f>
        <v>246399.604924363</v>
      </c>
    </row>
    <row r="22" customFormat="false" ht="15" hidden="false" customHeight="false" outlineLevel="0" collapsed="false">
      <c r="A22" s="8" t="s">
        <v>892</v>
      </c>
      <c r="B22" s="8" t="s">
        <v>84</v>
      </c>
      <c r="E22" s="32" t="n">
        <f aca="false">26_DEBT_SUSTAINABILITY!E21*26_DEBT_SUSTAINABILITY!$C$9</f>
        <v>5880</v>
      </c>
      <c r="F22" s="32" t="n">
        <f aca="false">26_DEBT_SUSTAINABILITY!F21*26_DEBT_SUSTAINABILITY!$C$9</f>
        <v>6174</v>
      </c>
      <c r="G22" s="32" t="n">
        <f aca="false">26_DEBT_SUSTAINABILITY!G21*26_DEBT_SUSTAINABILITY!$C$9</f>
        <v>6482.7</v>
      </c>
      <c r="H22" s="32" t="n">
        <f aca="false">26_DEBT_SUSTAINABILITY!H21*26_DEBT_SUSTAINABILITY!$C$9</f>
        <v>6806.835</v>
      </c>
      <c r="I22" s="32" t="n">
        <f aca="false">26_DEBT_SUSTAINABILITY!I21*26_DEBT_SUSTAINABILITY!$C$9</f>
        <v>7147.17675</v>
      </c>
      <c r="J22" s="32" t="n">
        <f aca="false">26_DEBT_SUSTAINABILITY!J21*26_DEBT_SUSTAINABILITY!$C$9</f>
        <v>7504.5355875</v>
      </c>
      <c r="K22" s="32" t="n">
        <f aca="false">26_DEBT_SUSTAINABILITY!K21*26_DEBT_SUSTAINABILITY!$C$9</f>
        <v>7879.762366875</v>
      </c>
      <c r="L22" s="32" t="n">
        <f aca="false">26_DEBT_SUSTAINABILITY!L21*26_DEBT_SUSTAINABILITY!$C$9</f>
        <v>8273.75048521875</v>
      </c>
      <c r="M22" s="32" t="n">
        <f aca="false">26_DEBT_SUSTAINABILITY!M21*26_DEBT_SUSTAINABILITY!$C$9</f>
        <v>8687.43800947969</v>
      </c>
      <c r="N22" s="32" t="n">
        <f aca="false">26_DEBT_SUSTAINABILITY!N21*26_DEBT_SUSTAINABILITY!$C$9</f>
        <v>9121.80990995368</v>
      </c>
      <c r="O22" s="32" t="n">
        <f aca="false">26_DEBT_SUSTAINABILITY!O21*26_DEBT_SUSTAINABILITY!$C$9</f>
        <v>9577.90040545136</v>
      </c>
      <c r="P22" s="32" t="n">
        <f aca="false">26_DEBT_SUSTAINABILITY!P21*26_DEBT_SUSTAINABILITY!$C$9</f>
        <v>10056.7954257239</v>
      </c>
      <c r="Q22" s="32" t="n">
        <f aca="false">26_DEBT_SUSTAINABILITY!Q21*26_DEBT_SUSTAINABILITY!$C$9</f>
        <v>10559.6351970101</v>
      </c>
      <c r="R22" s="32" t="n">
        <f aca="false">26_DEBT_SUSTAINABILITY!R21*26_DEBT_SUSTAINABILITY!$C$9</f>
        <v>11087.6169568606</v>
      </c>
      <c r="S22" s="32" t="n">
        <f aca="false">26_DEBT_SUSTAINABILITY!S21*26_DEBT_SUSTAINABILITY!$C$9</f>
        <v>11641.9978047037</v>
      </c>
      <c r="T22" s="32" t="n">
        <f aca="false">26_DEBT_SUSTAINABILITY!T21*26_DEBT_SUSTAINABILITY!$C$9</f>
        <v>12224.0976949388</v>
      </c>
      <c r="U22" s="32" t="n">
        <f aca="false">26_DEBT_SUSTAINABILITY!U21*26_DEBT_SUSTAINABILITY!$C$9</f>
        <v>12835.3025796858</v>
      </c>
      <c r="V22" s="32" t="n">
        <f aca="false">26_DEBT_SUSTAINABILITY!V21*26_DEBT_SUSTAINABILITY!$C$9</f>
        <v>13477.0677086701</v>
      </c>
      <c r="W22" s="32" t="n">
        <f aca="false">26_DEBT_SUSTAINABILITY!W21*26_DEBT_SUSTAINABILITY!$C$9</f>
        <v>14150.9210941036</v>
      </c>
      <c r="X22" s="32" t="n">
        <f aca="false">26_DEBT_SUSTAINABILITY!X21*26_DEBT_SUSTAINABILITY!$C$9</f>
        <v>14858.4671488088</v>
      </c>
      <c r="Y22" s="32" t="n">
        <f aca="false">26_DEBT_SUSTAINABILITY!Y21*26_DEBT_SUSTAINABILITY!$C$9</f>
        <v>15601.3905062492</v>
      </c>
      <c r="Z22" s="32" t="n">
        <f aca="false">26_DEBT_SUSTAINABILITY!Z21*26_DEBT_SUSTAINABILITY!$C$9</f>
        <v>16381.4600315617</v>
      </c>
      <c r="AA22" s="32" t="n">
        <f aca="false">26_DEBT_SUSTAINABILITY!AA21*26_DEBT_SUSTAINABILITY!$C$9</f>
        <v>17200.5330331398</v>
      </c>
      <c r="AB22" s="32" t="n">
        <f aca="false">26_DEBT_SUSTAINABILITY!AB21*26_DEBT_SUSTAINABILITY!$C$9</f>
        <v>18060.5596847967</v>
      </c>
      <c r="AC22" s="32" t="n">
        <f aca="false">26_DEBT_SUSTAINABILITY!AC21*26_DEBT_SUSTAINABILITY!$C$9</f>
        <v>18963.5876690366</v>
      </c>
      <c r="AD22" s="32" t="n">
        <f aca="false">26_DEBT_SUSTAINABILITY!AD21*26_DEBT_SUSTAINABILITY!$C$9</f>
        <v>19911.7670524884</v>
      </c>
      <c r="AE22" s="32" t="n">
        <f aca="false">26_DEBT_SUSTAINABILITY!AE21*26_DEBT_SUSTAINABILITY!$C$9</f>
        <v>20907.3554051128</v>
      </c>
      <c r="AF22" s="32" t="n">
        <f aca="false">26_DEBT_SUSTAINABILITY!AF21*26_DEBT_SUSTAINABILITY!$C$9</f>
        <v>21952.7231753685</v>
      </c>
      <c r="AG22" s="32" t="n">
        <f aca="false">26_DEBT_SUSTAINABILITY!AG21*26_DEBT_SUSTAINABILITY!$C$9</f>
        <v>23050.3593341369</v>
      </c>
      <c r="AH22" s="32" t="n">
        <f aca="false">26_DEBT_SUSTAINABILITY!AH21*26_DEBT_SUSTAINABILITY!$C$9</f>
        <v>24202.8773008437</v>
      </c>
      <c r="AI22" s="32" t="n">
        <f aca="false">26_DEBT_SUSTAINABILITY!AI21*26_DEBT_SUSTAINABILITY!$C$9</f>
        <v>25413.0211658859</v>
      </c>
      <c r="AJ22" s="32" t="n">
        <f aca="false">26_DEBT_SUSTAINABILITY!AJ21*26_DEBT_SUSTAINABILITY!$C$9</f>
        <v>26683.6722241802</v>
      </c>
      <c r="AK22" s="32" t="n">
        <f aca="false">26_DEBT_SUSTAINABILITY!AK21*26_DEBT_SUSTAINABILITY!$C$9</f>
        <v>28017.8558353892</v>
      </c>
      <c r="AL22" s="32" t="n">
        <f aca="false">26_DEBT_SUSTAINABILITY!AL21*26_DEBT_SUSTAINABILITY!$C$9</f>
        <v>29418.7486271587</v>
      </c>
      <c r="AM22" s="32" t="n">
        <f aca="false">26_DEBT_SUSTAINABILITY!AM21*26_DEBT_SUSTAINABILITY!$C$9</f>
        <v>30889.6860585166</v>
      </c>
      <c r="AN22" s="32" t="n">
        <f aca="false">26_DEBT_SUSTAINABILITY!AN21*26_DEBT_SUSTAINABILITY!$C$9</f>
        <v>32434.1703614425</v>
      </c>
      <c r="AO22" s="32" t="n">
        <f aca="false">26_DEBT_SUSTAINABILITY!AO21*26_DEBT_SUSTAINABILITY!$C$9</f>
        <v>34055.8788795146</v>
      </c>
      <c r="AP22" s="32" t="n">
        <f aca="false">26_DEBT_SUSTAINABILITY!AP21*26_DEBT_SUSTAINABILITY!$C$9</f>
        <v>35758.6728234903</v>
      </c>
      <c r="AQ22" s="32" t="n">
        <f aca="false">26_DEBT_SUSTAINABILITY!AQ21*26_DEBT_SUSTAINABILITY!$C$9</f>
        <v>37546.6064646648</v>
      </c>
      <c r="AR22" s="32" t="n">
        <f aca="false">26_DEBT_SUSTAINABILITY!AR21*26_DEBT_SUSTAINABILITY!$C$9</f>
        <v>39423.9367878981</v>
      </c>
    </row>
    <row r="23" customFormat="false" ht="15" hidden="false" customHeight="false" outlineLevel="0" collapsed="false">
      <c r="A23" s="8" t="s">
        <v>893</v>
      </c>
      <c r="B23" s="8" t="s">
        <v>56</v>
      </c>
      <c r="C23" s="72" t="n">
        <f aca="false">MAX(26_DEBT_SUSTAINABILITY!$E$23:$AR$23)</f>
        <v>0</v>
      </c>
      <c r="E23" s="72" t="n">
        <f aca="false">23_GUARANTEES!E13/26_DEBT_SUSTAINABILITY!E21</f>
        <v>0</v>
      </c>
      <c r="F23" s="72" t="n">
        <f aca="false">23_GUARANTEES!F13/26_DEBT_SUSTAINABILITY!F21</f>
        <v>0</v>
      </c>
      <c r="G23" s="72" t="n">
        <f aca="false">23_GUARANTEES!G13/26_DEBT_SUSTAINABILITY!G21</f>
        <v>0</v>
      </c>
      <c r="H23" s="72" t="n">
        <f aca="false">23_GUARANTEES!H13/26_DEBT_SUSTAINABILITY!H21</f>
        <v>0</v>
      </c>
      <c r="I23" s="72" t="n">
        <f aca="false">23_GUARANTEES!I13/26_DEBT_SUSTAINABILITY!I21</f>
        <v>0</v>
      </c>
      <c r="J23" s="72" t="n">
        <f aca="false">23_GUARANTEES!J13/26_DEBT_SUSTAINABILITY!J21</f>
        <v>0</v>
      </c>
      <c r="K23" s="72" t="n">
        <f aca="false">23_GUARANTEES!K13/26_DEBT_SUSTAINABILITY!K21</f>
        <v>0</v>
      </c>
      <c r="L23" s="72" t="n">
        <f aca="false">23_GUARANTEES!L13/26_DEBT_SUSTAINABILITY!L21</f>
        <v>0</v>
      </c>
      <c r="M23" s="72" t="n">
        <f aca="false">23_GUARANTEES!M13/26_DEBT_SUSTAINABILITY!M21</f>
        <v>0</v>
      </c>
      <c r="N23" s="72" t="n">
        <f aca="false">23_GUARANTEES!N13/26_DEBT_SUSTAINABILITY!N21</f>
        <v>0</v>
      </c>
      <c r="O23" s="72" t="n">
        <f aca="false">23_GUARANTEES!O13/26_DEBT_SUSTAINABILITY!O21</f>
        <v>0</v>
      </c>
      <c r="P23" s="72" t="n">
        <f aca="false">23_GUARANTEES!P13/26_DEBT_SUSTAINABILITY!P21</f>
        <v>0</v>
      </c>
      <c r="Q23" s="72" t="n">
        <f aca="false">23_GUARANTEES!Q13/26_DEBT_SUSTAINABILITY!Q21</f>
        <v>0</v>
      </c>
      <c r="R23" s="72" t="n">
        <f aca="false">23_GUARANTEES!R13/26_DEBT_SUSTAINABILITY!R21</f>
        <v>0</v>
      </c>
      <c r="S23" s="72" t="n">
        <f aca="false">23_GUARANTEES!S13/26_DEBT_SUSTAINABILITY!S21</f>
        <v>0</v>
      </c>
      <c r="T23" s="72" t="n">
        <f aca="false">23_GUARANTEES!T13/26_DEBT_SUSTAINABILITY!T21</f>
        <v>0</v>
      </c>
      <c r="U23" s="72" t="n">
        <f aca="false">23_GUARANTEES!U13/26_DEBT_SUSTAINABILITY!U21</f>
        <v>0</v>
      </c>
      <c r="V23" s="72" t="n">
        <f aca="false">23_GUARANTEES!V13/26_DEBT_SUSTAINABILITY!V21</f>
        <v>0</v>
      </c>
      <c r="W23" s="72" t="n">
        <f aca="false">23_GUARANTEES!W13/26_DEBT_SUSTAINABILITY!W21</f>
        <v>0</v>
      </c>
      <c r="X23" s="72" t="n">
        <f aca="false">23_GUARANTEES!X13/26_DEBT_SUSTAINABILITY!X21</f>
        <v>0</v>
      </c>
      <c r="Y23" s="72" t="n">
        <f aca="false">23_GUARANTEES!Y13/26_DEBT_SUSTAINABILITY!Y21</f>
        <v>0</v>
      </c>
      <c r="Z23" s="72" t="n">
        <f aca="false">23_GUARANTEES!Z13/26_DEBT_SUSTAINABILITY!Z21</f>
        <v>0</v>
      </c>
      <c r="AA23" s="72" t="n">
        <f aca="false">23_GUARANTEES!AA13/26_DEBT_SUSTAINABILITY!AA21</f>
        <v>0</v>
      </c>
      <c r="AB23" s="72" t="n">
        <f aca="false">23_GUARANTEES!AB13/26_DEBT_SUSTAINABILITY!AB21</f>
        <v>0</v>
      </c>
      <c r="AC23" s="72" t="n">
        <f aca="false">23_GUARANTEES!AC13/26_DEBT_SUSTAINABILITY!AC21</f>
        <v>0</v>
      </c>
      <c r="AD23" s="72" t="n">
        <f aca="false">23_GUARANTEES!AD13/26_DEBT_SUSTAINABILITY!AD21</f>
        <v>0</v>
      </c>
      <c r="AE23" s="72" t="n">
        <f aca="false">23_GUARANTEES!AE13/26_DEBT_SUSTAINABILITY!AE21</f>
        <v>0</v>
      </c>
      <c r="AF23" s="72" t="n">
        <f aca="false">23_GUARANTEES!AF13/26_DEBT_SUSTAINABILITY!AF21</f>
        <v>0</v>
      </c>
      <c r="AG23" s="72" t="n">
        <f aca="false">23_GUARANTEES!AG13/26_DEBT_SUSTAINABILITY!AG21</f>
        <v>0</v>
      </c>
      <c r="AH23" s="72" t="n">
        <f aca="false">23_GUARANTEES!AH13/26_DEBT_SUSTAINABILITY!AH21</f>
        <v>0</v>
      </c>
      <c r="AI23" s="72" t="n">
        <f aca="false">23_GUARANTEES!AI13/26_DEBT_SUSTAINABILITY!AI21</f>
        <v>0</v>
      </c>
      <c r="AJ23" s="72" t="n">
        <f aca="false">23_GUARANTEES!AJ13/26_DEBT_SUSTAINABILITY!AJ21</f>
        <v>0</v>
      </c>
      <c r="AK23" s="72" t="n">
        <f aca="false">23_GUARANTEES!AK13/26_DEBT_SUSTAINABILITY!AK21</f>
        <v>0</v>
      </c>
      <c r="AL23" s="72" t="n">
        <f aca="false">23_GUARANTEES!AL13/26_DEBT_SUSTAINABILITY!AL21</f>
        <v>0</v>
      </c>
      <c r="AM23" s="72" t="n">
        <f aca="false">23_GUARANTEES!AM13/26_DEBT_SUSTAINABILITY!AM21</f>
        <v>0</v>
      </c>
      <c r="AN23" s="72" t="n">
        <f aca="false">23_GUARANTEES!AN13/26_DEBT_SUSTAINABILITY!AN21</f>
        <v>0</v>
      </c>
      <c r="AO23" s="72" t="n">
        <f aca="false">23_GUARANTEES!AO13/26_DEBT_SUSTAINABILITY!AO21</f>
        <v>0</v>
      </c>
      <c r="AP23" s="72" t="n">
        <f aca="false">23_GUARANTEES!AP13/26_DEBT_SUSTAINABILITY!AP21</f>
        <v>0</v>
      </c>
      <c r="AQ23" s="72" t="n">
        <f aca="false">23_GUARANTEES!AQ13/26_DEBT_SUSTAINABILITY!AQ21</f>
        <v>0</v>
      </c>
      <c r="AR23" s="72" t="n">
        <f aca="false">23_GUARANTEES!AR13/26_DEBT_SUSTAINABILITY!AR21</f>
        <v>0</v>
      </c>
    </row>
    <row r="24" customFormat="false" ht="15" hidden="false" customHeight="false" outlineLevel="0" collapsed="false">
      <c r="A24" s="8" t="s">
        <v>894</v>
      </c>
      <c r="B24" s="8" t="s">
        <v>56</v>
      </c>
      <c r="C24" s="72" t="n">
        <f aca="false">MAX(26_DEBT_SUSTAINABILITY!$E$24:$AR$24)</f>
        <v>0.0273133499640697</v>
      </c>
      <c r="E24" s="72" t="n">
        <f aca="false">24_CONTINGENT_LIABILITIES!E11/26_DEBT_SUSTAINABILITY!E21</f>
        <v>0.0065451487492282</v>
      </c>
      <c r="F24" s="72" t="n">
        <f aca="false">24_CONTINGENT_LIABILITIES!F11/26_DEBT_SUSTAINABILITY!F21</f>
        <v>0.0130297365992666</v>
      </c>
      <c r="G24" s="72" t="n">
        <f aca="false">24_CONTINGENT_LIABILITIES!G11/26_DEBT_SUSTAINABILITY!G21</f>
        <v>0.0203624404555689</v>
      </c>
      <c r="H24" s="72" t="n">
        <f aca="false">24_CONTINGENT_LIABILITIES!H11/26_DEBT_SUSTAINABILITY!H21</f>
        <v>0.0257265165333008</v>
      </c>
      <c r="I24" s="72" t="n">
        <f aca="false">24_CONTINGENT_LIABILITIES!I11/26_DEBT_SUSTAINABILITY!I21</f>
        <v>0.0273133499640697</v>
      </c>
      <c r="J24" s="72" t="n">
        <f aca="false">24_CONTINGENT_LIABILITIES!J11/26_DEBT_SUSTAINABILITY!J21</f>
        <v>0.0260307190072093</v>
      </c>
      <c r="K24" s="72" t="n">
        <f aca="false">24_CONTINGENT_LIABILITIES!K11/26_DEBT_SUSTAINABILITY!K21</f>
        <v>0.0242526889811281</v>
      </c>
      <c r="L24" s="72" t="n">
        <f aca="false">24_CONTINGENT_LIABILITIES!L11/26_DEBT_SUSTAINABILITY!L21</f>
        <v>0.0225223264917901</v>
      </c>
      <c r="M24" s="72" t="n">
        <f aca="false">24_CONTINGENT_LIABILITIES!M11/26_DEBT_SUSTAINABILITY!M21</f>
        <v>0.0208371219804674</v>
      </c>
      <c r="N24" s="72" t="n">
        <f aca="false">24_CONTINGENT_LIABILITIES!N11/26_DEBT_SUSTAINABILITY!N21</f>
        <v>0.0191132237360876</v>
      </c>
      <c r="O24" s="72" t="n">
        <f aca="false">24_CONTINGENT_LIABILITIES!O11/26_DEBT_SUSTAINABILITY!O21</f>
        <v>0.0177400718373732</v>
      </c>
      <c r="P24" s="72" t="n">
        <f aca="false">24_CONTINGENT_LIABILITIES!P11/26_DEBT_SUSTAINABILITY!P21</f>
        <v>0.0164270457362629</v>
      </c>
      <c r="Q24" s="72" t="n">
        <f aca="false">24_CONTINGENT_LIABILITIES!Q11/26_DEBT_SUSTAINABILITY!Q21</f>
        <v>0.0151706324339092</v>
      </c>
      <c r="R24" s="72" t="n">
        <f aca="false">24_CONTINGENT_LIABILITIES!R11/26_DEBT_SUSTAINABILITY!R21</f>
        <v>0.013968627411628</v>
      </c>
      <c r="S24" s="72" t="n">
        <f aca="false">24_CONTINGENT_LIABILITIES!S11/26_DEBT_SUSTAINABILITY!S21</f>
        <v>0.0128190468313788</v>
      </c>
      <c r="T24" s="72" t="n">
        <f aca="false">24_CONTINGENT_LIABILITIES!T11/26_DEBT_SUSTAINABILITY!T21</f>
        <v>0.0117201271295913</v>
      </c>
      <c r="U24" s="72" t="n">
        <f aca="false">24_CONTINGENT_LIABILITIES!U11/26_DEBT_SUSTAINABILITY!U21</f>
        <v>0.0106703257333757</v>
      </c>
      <c r="V24" s="72" t="n">
        <f aca="false">24_CONTINGENT_LIABILITIES!V11/26_DEBT_SUSTAINABILITY!V21</f>
        <v>0.00966832294594165</v>
      </c>
      <c r="W24" s="72" t="n">
        <f aca="false">24_CONTINGENT_LIABILITIES!W11/26_DEBT_SUSTAINABILITY!W21</f>
        <v>0.00871302505567638</v>
      </c>
      <c r="X24" s="72" t="n">
        <f aca="false">24_CONTINGENT_LIABILITIES!X11/26_DEBT_SUSTAINABILITY!X21</f>
        <v>0.00780356873152567</v>
      </c>
      <c r="Y24" s="72" t="n">
        <f aca="false">24_CONTINGENT_LIABILITIES!Y11/26_DEBT_SUSTAINABILITY!Y21</f>
        <v>0.00693932677613177</v>
      </c>
      <c r="Z24" s="72" t="n">
        <f aca="false">24_CONTINGENT_LIABILITIES!Z11/26_DEBT_SUSTAINABILITY!Z21</f>
        <v>0.00611991531769029</v>
      </c>
      <c r="AA24" s="72" t="n">
        <f aca="false">24_CONTINGENT_LIABILITIES!AA11/26_DEBT_SUSTAINABILITY!AA21</f>
        <v>0.00514175839317483</v>
      </c>
      <c r="AB24" s="72" t="n">
        <f aca="false">24_CONTINGENT_LIABILITIES!AB11/26_DEBT_SUSTAINABILITY!AB21</f>
        <v>0.00461475305882435</v>
      </c>
      <c r="AC24" s="72" t="n">
        <f aca="false">24_CONTINGENT_LIABILITIES!AC11/26_DEBT_SUSTAINABILITY!AC21</f>
        <v>0.00409617787895889</v>
      </c>
      <c r="AD24" s="72" t="n">
        <f aca="false">24_CONTINGENT_LIABILITIES!AD11/26_DEBT_SUSTAINABILITY!AD21</f>
        <v>0.0036765603786269</v>
      </c>
      <c r="AE24" s="72" t="n">
        <f aca="false">24_CONTINGENT_LIABILITIES!AE11/26_DEBT_SUSTAINABILITY!AE21</f>
        <v>0.00326446602520337</v>
      </c>
      <c r="AF24" s="72" t="n">
        <f aca="false">24_CONTINGENT_LIABILITIES!AF11/26_DEBT_SUSTAINABILITY!AF21</f>
        <v>0.00285776306196267</v>
      </c>
      <c r="AG24" s="72" t="n">
        <f aca="false">24_CONTINGENT_LIABILITIES!AG11/26_DEBT_SUSTAINABILITY!AG21</f>
        <v>0.00245428491324935</v>
      </c>
      <c r="AH24" s="72" t="n">
        <f aca="false">24_CONTINGENT_LIABILITIES!AH11/26_DEBT_SUSTAINABILITY!AH21</f>
        <v>0.00206741774708394</v>
      </c>
      <c r="AI24" s="72" t="n">
        <f aca="false">24_CONTINGENT_LIABILITIES!AI11/26_DEBT_SUSTAINABILITY!AI21</f>
        <v>0.00192222817390373</v>
      </c>
      <c r="AJ24" s="72" t="n">
        <f aca="false">24_CONTINGENT_LIABILITIES!AJ11/26_DEBT_SUSTAINABILITY!AJ21</f>
        <v>0.00185763852448986</v>
      </c>
      <c r="AK24" s="72" t="n">
        <f aca="false">24_CONTINGENT_LIABILITIES!AK11/26_DEBT_SUSTAINABILITY!AK21</f>
        <v>0.00179535471479472</v>
      </c>
      <c r="AL24" s="72" t="n">
        <f aca="false">24_CONTINGENT_LIABILITIES!AL11/26_DEBT_SUSTAINABILITY!AL21</f>
        <v>0.00173528893886616</v>
      </c>
      <c r="AM24" s="72" t="n">
        <f aca="false">24_CONTINGENT_LIABILITIES!AM11/26_DEBT_SUSTAINABILITY!AM21</f>
        <v>0.00167735694353244</v>
      </c>
      <c r="AN24" s="72" t="n">
        <f aca="false">24_CONTINGENT_LIABILITIES!AN11/26_DEBT_SUSTAINABILITY!AN21</f>
        <v>0</v>
      </c>
      <c r="AO24" s="72" t="n">
        <f aca="false">24_CONTINGENT_LIABILITIES!AO11/26_DEBT_SUSTAINABILITY!AO21</f>
        <v>0</v>
      </c>
      <c r="AP24" s="72" t="n">
        <f aca="false">24_CONTINGENT_LIABILITIES!AP11/26_DEBT_SUSTAINABILITY!AP21</f>
        <v>0</v>
      </c>
      <c r="AQ24" s="72" t="n">
        <f aca="false">24_CONTINGENT_LIABILITIES!AQ11/26_DEBT_SUSTAINABILITY!AQ21</f>
        <v>0</v>
      </c>
      <c r="AR24" s="72" t="n">
        <f aca="false">24_CONTINGENT_LIABILITIES!AR11/26_DEBT_SUSTAINABILITY!AR21</f>
        <v>0</v>
      </c>
    </row>
    <row r="25" customFormat="false" ht="15" hidden="false" customHeight="false" outlineLevel="0" collapsed="false">
      <c r="A25" s="8" t="s">
        <v>895</v>
      </c>
      <c r="B25" s="8" t="s">
        <v>56</v>
      </c>
      <c r="C25" s="72" t="n">
        <f aca="false">MAX(26_DEBT_SUSTAINABILITY!$E$25:$AR$25)</f>
        <v>0.0181400646842536</v>
      </c>
      <c r="E25" s="72" t="n">
        <f aca="false">25_FISCAL_IMPACT!E18/26_DEBT_SUSTAINABILITY!E22</f>
        <v>0.00252930521836008</v>
      </c>
      <c r="F25" s="72" t="n">
        <f aca="false">25_FISCAL_IMPACT!F18/26_DEBT_SUSTAINABILITY!F22</f>
        <v>0.0040441617783817</v>
      </c>
      <c r="G25" s="72" t="n">
        <f aca="false">25_FISCAL_IMPACT!G18/26_DEBT_SUSTAINABILITY!G22</f>
        <v>0.0181400646842536</v>
      </c>
      <c r="H25" s="72" t="n">
        <f aca="false">25_FISCAL_IMPACT!H18/26_DEBT_SUSTAINABILITY!H22</f>
        <v>0.018067093051416</v>
      </c>
      <c r="I25" s="72" t="n">
        <f aca="false">25_FISCAL_IMPACT!I18/26_DEBT_SUSTAINABILITY!I22</f>
        <v>0.017891711912065</v>
      </c>
      <c r="J25" s="72" t="n">
        <f aca="false">25_FISCAL_IMPACT!J18/26_DEBT_SUSTAINABILITY!J22</f>
        <v>0.000492961023923219</v>
      </c>
      <c r="K25" s="72" t="n">
        <f aca="false">25_FISCAL_IMPACT!K18/26_DEBT_SUSTAINABILITY!K22</f>
        <v>0.000478876423239699</v>
      </c>
      <c r="L25" s="72" t="n">
        <f aca="false">25_FISCAL_IMPACT!L18/26_DEBT_SUSTAINABILITY!L22</f>
        <v>0.000465194239718565</v>
      </c>
      <c r="M25" s="72" t="n">
        <f aca="false">25_FISCAL_IMPACT!M18/26_DEBT_SUSTAINABILITY!M22</f>
        <v>0.000451902975726606</v>
      </c>
      <c r="N25" s="72" t="n">
        <f aca="false">25_FISCAL_IMPACT!N18/26_DEBT_SUSTAINABILITY!N22</f>
        <v>0.000438991462134417</v>
      </c>
      <c r="O25" s="72" t="n">
        <f aca="false">25_FISCAL_IMPACT!O18/26_DEBT_SUSTAINABILITY!O22</f>
        <v>0.000426448848930576</v>
      </c>
      <c r="P25" s="72" t="n">
        <f aca="false">25_FISCAL_IMPACT!P18/26_DEBT_SUSTAINABILITY!P22</f>
        <v>0.000414264596103988</v>
      </c>
      <c r="Q25" s="72" t="n">
        <f aca="false">25_FISCAL_IMPACT!Q18/26_DEBT_SUSTAINABILITY!Q22</f>
        <v>0.000402428464786732</v>
      </c>
      <c r="R25" s="72" t="n">
        <f aca="false">25_FISCAL_IMPACT!R18/26_DEBT_SUSTAINABILITY!R22</f>
        <v>0.000390930508649968</v>
      </c>
      <c r="S25" s="72" t="n">
        <f aca="false">25_FISCAL_IMPACT!S18/26_DEBT_SUSTAINABILITY!S22</f>
        <v>0.000379761065545683</v>
      </c>
      <c r="T25" s="72" t="n">
        <f aca="false">25_FISCAL_IMPACT!T18/26_DEBT_SUSTAINABILITY!T22</f>
        <v>0.000368910749387235</v>
      </c>
      <c r="U25" s="72" t="n">
        <f aca="false">25_FISCAL_IMPACT!U18/26_DEBT_SUSTAINABILITY!U22</f>
        <v>0.000358370442261885</v>
      </c>
      <c r="V25" s="72" t="n">
        <f aca="false">25_FISCAL_IMPACT!V18/26_DEBT_SUSTAINABILITY!V22</f>
        <v>0.000348131286768689</v>
      </c>
      <c r="W25" s="72" t="n">
        <f aca="false">25_FISCAL_IMPACT!W18/26_DEBT_SUSTAINABILITY!W22</f>
        <v>0.000338184678575298</v>
      </c>
      <c r="X25" s="72" t="n">
        <f aca="false">25_FISCAL_IMPACT!X18/26_DEBT_SUSTAINABILITY!X22</f>
        <v>0.000328522259187432</v>
      </c>
      <c r="Y25" s="72" t="n">
        <f aca="false">25_FISCAL_IMPACT!Y18/26_DEBT_SUSTAINABILITY!Y22</f>
        <v>0.000319135908924934</v>
      </c>
      <c r="Z25" s="72" t="n">
        <f aca="false">25_FISCAL_IMPACT!Z18/26_DEBT_SUSTAINABILITY!Z22</f>
        <v>0.000310017740098507</v>
      </c>
      <c r="AA25" s="72" t="n">
        <f aca="false">25_FISCAL_IMPACT!AA18/26_DEBT_SUSTAINABILITY!AA22</f>
        <v>0.000301160090381407</v>
      </c>
      <c r="AB25" s="72" t="n">
        <f aca="false">25_FISCAL_IMPACT!AB18/26_DEBT_SUSTAINABILITY!AB22</f>
        <v>0.00029255551637051</v>
      </c>
      <c r="AC25" s="72" t="n">
        <f aca="false">25_FISCAL_IMPACT!AC18/26_DEBT_SUSTAINABILITY!AC22</f>
        <v>0.000284196787331352</v>
      </c>
      <c r="AD25" s="72" t="n">
        <f aca="false">25_FISCAL_IMPACT!AD18/26_DEBT_SUSTAINABILITY!AD22</f>
        <v>0.000276076879121885</v>
      </c>
      <c r="AE25" s="72" t="n">
        <f aca="false">25_FISCAL_IMPACT!AE18/26_DEBT_SUSTAINABILITY!AE22</f>
        <v>0.000268188968289831</v>
      </c>
      <c r="AF25" s="72" t="n">
        <f aca="false">25_FISCAL_IMPACT!AF18/26_DEBT_SUSTAINABILITY!AF22</f>
        <v>0.000260526426338693</v>
      </c>
      <c r="AG25" s="72" t="n">
        <f aca="false">25_FISCAL_IMPACT!AG18/26_DEBT_SUSTAINABILITY!AG22</f>
        <v>0.000253082814157588</v>
      </c>
      <c r="AH25" s="72" t="n">
        <f aca="false">25_FISCAL_IMPACT!AH18/26_DEBT_SUSTAINABILITY!AH22</f>
        <v>0.000245851876610228</v>
      </c>
      <c r="AI25" s="72" t="n">
        <f aca="false">25_FISCAL_IMPACT!AI18/26_DEBT_SUSTAINABILITY!AI22</f>
        <v>0.000238827537278507</v>
      </c>
      <c r="AJ25" s="72" t="n">
        <f aca="false">25_FISCAL_IMPACT!AJ18/26_DEBT_SUSTAINABILITY!AJ22</f>
        <v>0.000232003893356264</v>
      </c>
      <c r="AK25" s="72" t="n">
        <f aca="false">25_FISCAL_IMPACT!AK18/26_DEBT_SUSTAINABILITY!AK22</f>
        <v>0.000225375210688942</v>
      </c>
      <c r="AL25" s="72" t="n">
        <f aca="false">25_FISCAL_IMPACT!AL18/26_DEBT_SUSTAINABILITY!AL22</f>
        <v>0.000218935918954972</v>
      </c>
      <c r="AM25" s="72" t="n">
        <f aca="false">25_FISCAL_IMPACT!AM18/26_DEBT_SUSTAINABILITY!AM22</f>
        <v>0.00021268060698483</v>
      </c>
      <c r="AN25" s="72" t="n">
        <f aca="false">25_FISCAL_IMPACT!AN18/26_DEBT_SUSTAINABILITY!AN22</f>
        <v>0</v>
      </c>
      <c r="AO25" s="72" t="n">
        <f aca="false">25_FISCAL_IMPACT!AO18/26_DEBT_SUSTAINABILITY!AO22</f>
        <v>0</v>
      </c>
      <c r="AP25" s="72" t="n">
        <f aca="false">25_FISCAL_IMPACT!AP18/26_DEBT_SUSTAINABILITY!AP22</f>
        <v>0</v>
      </c>
      <c r="AQ25" s="72" t="n">
        <f aca="false">25_FISCAL_IMPACT!AQ18/26_DEBT_SUSTAINABILITY!AQ22</f>
        <v>0</v>
      </c>
      <c r="AR25" s="72" t="n">
        <f aca="false">25_FISCAL_IMPACT!AR18/26_DEBT_SUSTAINABILITY!AR22</f>
        <v>0</v>
      </c>
    </row>
    <row r="26" customFormat="false" ht="15" hidden="false" customHeight="false" outlineLevel="0" collapsed="false">
      <c r="A26" s="8" t="s">
        <v>896</v>
      </c>
      <c r="B26" s="8" t="s">
        <v>56</v>
      </c>
      <c r="C26" s="72" t="n">
        <f aca="false">MAX(26_DEBT_SUSTAINABILITY!$E$26:$AR$26)</f>
        <v>0.0091402248432385</v>
      </c>
      <c r="E26" s="72" t="n">
        <f aca="false">MAX(0,-25_FISCAL_IMPACT!E17)/26_DEBT_SUSTAINABILITY!E21</f>
        <v>0.000404688834937613</v>
      </c>
      <c r="F26" s="72" t="n">
        <f aca="false">MAX(0,-25_FISCAL_IMPACT!F17)/26_DEBT_SUSTAINABILITY!F21</f>
        <v>0.00103248382257689</v>
      </c>
      <c r="G26" s="72" t="n">
        <f aca="false">MAX(0,-25_FISCAL_IMPACT!G17)/26_DEBT_SUSTAINABILITY!G21</f>
        <v>0.00388572827574429</v>
      </c>
      <c r="H26" s="72" t="n">
        <f aca="false">MAX(0,-25_FISCAL_IMPACT!H17)/26_DEBT_SUSTAINABILITY!H21</f>
        <v>0.00659142848417351</v>
      </c>
      <c r="I26" s="72" t="n">
        <f aca="false">MAX(0,-25_FISCAL_IMPACT!I17)/26_DEBT_SUSTAINABILITY!I21</f>
        <v>0.0091402248432385</v>
      </c>
      <c r="J26" s="72" t="n">
        <f aca="false">MAX(0,-25_FISCAL_IMPACT!J17)/26_DEBT_SUSTAINABILITY!J21</f>
        <v>0.00839288227384614</v>
      </c>
      <c r="K26" s="72" t="n">
        <f aca="false">MAX(0,-25_FISCAL_IMPACT!K17)/26_DEBT_SUSTAINABILITY!K21</f>
        <v>0.0075399803195741</v>
      </c>
      <c r="L26" s="72" t="n">
        <f aca="false">MAX(0,-25_FISCAL_IMPACT!L17)/26_DEBT_SUSTAINABILITY!L21</f>
        <v>0.00674372912774824</v>
      </c>
      <c r="M26" s="72" t="n">
        <f aca="false">MAX(0,-25_FISCAL_IMPACT!M17)/26_DEBT_SUSTAINABILITY!M21</f>
        <v>0.00600082587758271</v>
      </c>
      <c r="N26" s="72" t="n">
        <f aca="false">MAX(0,-25_FISCAL_IMPACT!N17)/26_DEBT_SUSTAINABILITY!N21</f>
        <v>0.00526062586097134</v>
      </c>
      <c r="O26" s="72" t="n">
        <f aca="false">MAX(0,-25_FISCAL_IMPACT!O17)/26_DEBT_SUSTAINABILITY!O21</f>
        <v>0.00437741395631198</v>
      </c>
      <c r="P26" s="72" t="n">
        <f aca="false">MAX(0,-25_FISCAL_IMPACT!P17)/26_DEBT_SUSTAINABILITY!P21</f>
        <v>0.00354693318993829</v>
      </c>
      <c r="Q26" s="72" t="n">
        <f aca="false">MAX(0,-25_FISCAL_IMPACT!Q17)/26_DEBT_SUSTAINABILITY!Q21</f>
        <v>0.00276737853707707</v>
      </c>
      <c r="R26" s="72" t="n">
        <f aca="false">MAX(0,-25_FISCAL_IMPACT!R17)/26_DEBT_SUSTAINABILITY!R21</f>
        <v>0.00203584800930082</v>
      </c>
      <c r="S26" s="72" t="n">
        <f aca="false">MAX(0,-25_FISCAL_IMPACT!S17)/26_DEBT_SUSTAINABILITY!S21</f>
        <v>0.00134958445819603</v>
      </c>
      <c r="T26" s="72" t="n">
        <f aca="false">MAX(0,-25_FISCAL_IMPACT!T17)/26_DEBT_SUSTAINABILITY!T21</f>
        <v>0.000705968470293382</v>
      </c>
      <c r="U26" s="72" t="n">
        <f aca="false">MAX(0,-25_FISCAL_IMPACT!U17)/26_DEBT_SUSTAINABILITY!U21</f>
        <v>0.000102511594470878</v>
      </c>
      <c r="V26" s="72" t="n">
        <f aca="false">MAX(0,-25_FISCAL_IMPACT!V17)/26_DEBT_SUSTAINABILITY!V21</f>
        <v>0</v>
      </c>
      <c r="W26" s="72" t="n">
        <f aca="false">MAX(0,-25_FISCAL_IMPACT!W17)/26_DEBT_SUSTAINABILITY!W21</f>
        <v>0</v>
      </c>
      <c r="X26" s="72" t="n">
        <f aca="false">MAX(0,-25_FISCAL_IMPACT!X17)/26_DEBT_SUSTAINABILITY!X21</f>
        <v>0</v>
      </c>
      <c r="Y26" s="72" t="n">
        <f aca="false">MAX(0,-25_FISCAL_IMPACT!Y17)/26_DEBT_SUSTAINABILITY!Y21</f>
        <v>0</v>
      </c>
      <c r="Z26" s="72" t="n">
        <f aca="false">MAX(0,-25_FISCAL_IMPACT!Z17)/26_DEBT_SUSTAINABILITY!Z21</f>
        <v>0</v>
      </c>
      <c r="AA26" s="72" t="n">
        <f aca="false">MAX(0,-25_FISCAL_IMPACT!AA17)/26_DEBT_SUSTAINABILITY!AA21</f>
        <v>0</v>
      </c>
      <c r="AB26" s="72" t="n">
        <f aca="false">MAX(0,-25_FISCAL_IMPACT!AB17)/26_DEBT_SUSTAINABILITY!AB21</f>
        <v>0</v>
      </c>
      <c r="AC26" s="72" t="n">
        <f aca="false">MAX(0,-25_FISCAL_IMPACT!AC17)/26_DEBT_SUSTAINABILITY!AC21</f>
        <v>0</v>
      </c>
      <c r="AD26" s="72" t="n">
        <f aca="false">MAX(0,-25_FISCAL_IMPACT!AD17)/26_DEBT_SUSTAINABILITY!AD21</f>
        <v>0</v>
      </c>
      <c r="AE26" s="72" t="n">
        <f aca="false">MAX(0,-25_FISCAL_IMPACT!AE17)/26_DEBT_SUSTAINABILITY!AE21</f>
        <v>0</v>
      </c>
      <c r="AF26" s="72" t="n">
        <f aca="false">MAX(0,-25_FISCAL_IMPACT!AF17)/26_DEBT_SUSTAINABILITY!AF21</f>
        <v>0</v>
      </c>
      <c r="AG26" s="72" t="n">
        <f aca="false">MAX(0,-25_FISCAL_IMPACT!AG17)/26_DEBT_SUSTAINABILITY!AG21</f>
        <v>0</v>
      </c>
      <c r="AH26" s="72" t="n">
        <f aca="false">MAX(0,-25_FISCAL_IMPACT!AH17)/26_DEBT_SUSTAINABILITY!AH21</f>
        <v>0</v>
      </c>
      <c r="AI26" s="72" t="n">
        <f aca="false">MAX(0,-25_FISCAL_IMPACT!AI17)/26_DEBT_SUSTAINABILITY!AI21</f>
        <v>0</v>
      </c>
      <c r="AJ26" s="72" t="n">
        <f aca="false">MAX(0,-25_FISCAL_IMPACT!AJ17)/26_DEBT_SUSTAINABILITY!AJ21</f>
        <v>0</v>
      </c>
      <c r="AK26" s="72" t="n">
        <f aca="false">MAX(0,-25_FISCAL_IMPACT!AK17)/26_DEBT_SUSTAINABILITY!AK21</f>
        <v>0</v>
      </c>
      <c r="AL26" s="72" t="n">
        <f aca="false">MAX(0,-25_FISCAL_IMPACT!AL17)/26_DEBT_SUSTAINABILITY!AL21</f>
        <v>0</v>
      </c>
      <c r="AM26" s="72" t="n">
        <f aca="false">MAX(0,-25_FISCAL_IMPACT!AM17)/26_DEBT_SUSTAINABILITY!AM21</f>
        <v>0</v>
      </c>
      <c r="AN26" s="72" t="n">
        <f aca="false">MAX(0,-25_FISCAL_IMPACT!AN17)/26_DEBT_SUSTAINABILITY!AN21</f>
        <v>0</v>
      </c>
      <c r="AO26" s="72" t="n">
        <f aca="false">MAX(0,-25_FISCAL_IMPACT!AO17)/26_DEBT_SUSTAINABILITY!AO21</f>
        <v>0</v>
      </c>
      <c r="AP26" s="72" t="n">
        <f aca="false">MAX(0,-25_FISCAL_IMPACT!AP17)/26_DEBT_SUSTAINABILITY!AP21</f>
        <v>0</v>
      </c>
      <c r="AQ26" s="72" t="n">
        <f aca="false">MAX(0,-25_FISCAL_IMPACT!AQ17)/26_DEBT_SUSTAINABILITY!AQ21</f>
        <v>0</v>
      </c>
      <c r="AR26" s="72" t="n">
        <f aca="false">MAX(0,-25_FISCAL_IMPACT!AR17)/26_DEBT_SUSTAINABILITY!AR21</f>
        <v>0</v>
      </c>
    </row>
    <row r="27" customFormat="false" ht="15" hidden="false" customHeight="false" outlineLevel="0" collapsed="false">
      <c r="A27" s="8" t="s">
        <v>897</v>
      </c>
      <c r="B27" s="8" t="s">
        <v>56</v>
      </c>
      <c r="C27" s="72" t="n">
        <f aca="false">MAX(26_DEBT_SUSTAINABILITY!$E$27:$AR$27)</f>
        <v>0</v>
      </c>
      <c r="E27" s="72" t="n">
        <f aca="false">12_UTILITY!E56/26_DEBT_SUSTAINABILITY!E21</f>
        <v>0</v>
      </c>
      <c r="F27" s="72" t="n">
        <f aca="false">12_UTILITY!F56/26_DEBT_SUSTAINABILITY!F21</f>
        <v>0</v>
      </c>
      <c r="G27" s="72" t="n">
        <f aca="false">12_UTILITY!G56/26_DEBT_SUSTAINABILITY!G21</f>
        <v>0</v>
      </c>
      <c r="H27" s="72" t="n">
        <f aca="false">12_UTILITY!H56/26_DEBT_SUSTAINABILITY!H21</f>
        <v>0</v>
      </c>
      <c r="I27" s="72" t="n">
        <f aca="false">12_UTILITY!I56/26_DEBT_SUSTAINABILITY!I21</f>
        <v>0</v>
      </c>
      <c r="J27" s="72" t="n">
        <f aca="false">12_UTILITY!J56/26_DEBT_SUSTAINABILITY!J21</f>
        <v>0</v>
      </c>
      <c r="K27" s="72" t="n">
        <f aca="false">12_UTILITY!K56/26_DEBT_SUSTAINABILITY!K21</f>
        <v>0</v>
      </c>
      <c r="L27" s="72" t="n">
        <f aca="false">12_UTILITY!L56/26_DEBT_SUSTAINABILITY!L21</f>
        <v>0</v>
      </c>
      <c r="M27" s="72" t="n">
        <f aca="false">12_UTILITY!M56/26_DEBT_SUSTAINABILITY!M21</f>
        <v>0</v>
      </c>
      <c r="N27" s="72" t="n">
        <f aca="false">12_UTILITY!N56/26_DEBT_SUSTAINABILITY!N21</f>
        <v>0</v>
      </c>
      <c r="O27" s="72" t="n">
        <f aca="false">12_UTILITY!O56/26_DEBT_SUSTAINABILITY!O21</f>
        <v>0</v>
      </c>
      <c r="P27" s="72" t="n">
        <f aca="false">12_UTILITY!P56/26_DEBT_SUSTAINABILITY!P21</f>
        <v>0</v>
      </c>
      <c r="Q27" s="72" t="n">
        <f aca="false">12_UTILITY!Q56/26_DEBT_SUSTAINABILITY!Q21</f>
        <v>0</v>
      </c>
      <c r="R27" s="72" t="n">
        <f aca="false">12_UTILITY!R56/26_DEBT_SUSTAINABILITY!R21</f>
        <v>0</v>
      </c>
      <c r="S27" s="72" t="n">
        <f aca="false">12_UTILITY!S56/26_DEBT_SUSTAINABILITY!S21</f>
        <v>0</v>
      </c>
      <c r="T27" s="72" t="n">
        <f aca="false">12_UTILITY!T56/26_DEBT_SUSTAINABILITY!T21</f>
        <v>0</v>
      </c>
      <c r="U27" s="72" t="n">
        <f aca="false">12_UTILITY!U56/26_DEBT_SUSTAINABILITY!U21</f>
        <v>0</v>
      </c>
      <c r="V27" s="72" t="n">
        <f aca="false">12_UTILITY!V56/26_DEBT_SUSTAINABILITY!V21</f>
        <v>0</v>
      </c>
      <c r="W27" s="72" t="n">
        <f aca="false">12_UTILITY!W56/26_DEBT_SUSTAINABILITY!W21</f>
        <v>0</v>
      </c>
      <c r="X27" s="72" t="n">
        <f aca="false">12_UTILITY!X56/26_DEBT_SUSTAINABILITY!X21</f>
        <v>0</v>
      </c>
      <c r="Y27" s="72" t="n">
        <f aca="false">12_UTILITY!Y56/26_DEBT_SUSTAINABILITY!Y21</f>
        <v>0</v>
      </c>
      <c r="Z27" s="72" t="n">
        <f aca="false">12_UTILITY!Z56/26_DEBT_SUSTAINABILITY!Z21</f>
        <v>0</v>
      </c>
      <c r="AA27" s="72" t="n">
        <f aca="false">12_UTILITY!AA56/26_DEBT_SUSTAINABILITY!AA21</f>
        <v>0</v>
      </c>
      <c r="AB27" s="72" t="n">
        <f aca="false">12_UTILITY!AB56/26_DEBT_SUSTAINABILITY!AB21</f>
        <v>0</v>
      </c>
      <c r="AC27" s="72" t="n">
        <f aca="false">12_UTILITY!AC56/26_DEBT_SUSTAINABILITY!AC21</f>
        <v>0</v>
      </c>
      <c r="AD27" s="72" t="n">
        <f aca="false">12_UTILITY!AD56/26_DEBT_SUSTAINABILITY!AD21</f>
        <v>0</v>
      </c>
      <c r="AE27" s="72" t="n">
        <f aca="false">12_UTILITY!AE56/26_DEBT_SUSTAINABILITY!AE21</f>
        <v>0</v>
      </c>
      <c r="AF27" s="72" t="n">
        <f aca="false">12_UTILITY!AF56/26_DEBT_SUSTAINABILITY!AF21</f>
        <v>0</v>
      </c>
      <c r="AG27" s="72" t="n">
        <f aca="false">12_UTILITY!AG56/26_DEBT_SUSTAINABILITY!AG21</f>
        <v>0</v>
      </c>
      <c r="AH27" s="72" t="n">
        <f aca="false">12_UTILITY!AH56/26_DEBT_SUSTAINABILITY!AH21</f>
        <v>0</v>
      </c>
      <c r="AI27" s="72" t="n">
        <f aca="false">12_UTILITY!AI56/26_DEBT_SUSTAINABILITY!AI21</f>
        <v>0</v>
      </c>
      <c r="AJ27" s="72" t="n">
        <f aca="false">12_UTILITY!AJ56/26_DEBT_SUSTAINABILITY!AJ21</f>
        <v>0</v>
      </c>
      <c r="AK27" s="72" t="n">
        <f aca="false">12_UTILITY!AK56/26_DEBT_SUSTAINABILITY!AK21</f>
        <v>0</v>
      </c>
      <c r="AL27" s="72" t="n">
        <f aca="false">12_UTILITY!AL56/26_DEBT_SUSTAINABILITY!AL21</f>
        <v>0</v>
      </c>
      <c r="AM27" s="72" t="n">
        <f aca="false">12_UTILITY!AM56/26_DEBT_SUSTAINABILITY!AM21</f>
        <v>0</v>
      </c>
      <c r="AN27" s="72" t="n">
        <f aca="false">12_UTILITY!AN56/26_DEBT_SUSTAINABILITY!AN21</f>
        <v>0</v>
      </c>
      <c r="AO27" s="72" t="n">
        <f aca="false">12_UTILITY!AO56/26_DEBT_SUSTAINABILITY!AO21</f>
        <v>0</v>
      </c>
      <c r="AP27" s="72" t="n">
        <f aca="false">12_UTILITY!AP56/26_DEBT_SUSTAINABILITY!AP21</f>
        <v>0</v>
      </c>
      <c r="AQ27" s="72" t="n">
        <f aca="false">12_UTILITY!AQ56/26_DEBT_SUSTAINABILITY!AQ21</f>
        <v>0</v>
      </c>
      <c r="AR27" s="72" t="n">
        <f aca="false">12_UTILITY!AR56/26_DEBT_SUSTAINABILITY!AR21</f>
        <v>0</v>
      </c>
    </row>
    <row r="28" customFormat="false" ht="15" hidden="false" customHeight="false" outlineLevel="0" collapsed="false">
      <c r="A28" s="8" t="s">
        <v>898</v>
      </c>
      <c r="B28" s="8" t="s">
        <v>56</v>
      </c>
      <c r="C28" s="72" t="n">
        <f aca="false">MAX(26_DEBT_SUSTAINABILITY!$E$28:$AR$28)</f>
        <v>0.0091402248432385</v>
      </c>
      <c r="E28" s="72" t="n">
        <f aca="false">26_DEBT_SUSTAINABILITY!E23+26_DEBT_SUSTAINABILITY!E26+26_DEBT_SUSTAINABILITY!E27</f>
        <v>0.000404688834937613</v>
      </c>
      <c r="F28" s="72" t="n">
        <f aca="false">26_DEBT_SUSTAINABILITY!F23+26_DEBT_SUSTAINABILITY!F26+26_DEBT_SUSTAINABILITY!F27</f>
        <v>0.00103248382257689</v>
      </c>
      <c r="G28" s="72" t="n">
        <f aca="false">26_DEBT_SUSTAINABILITY!G23+26_DEBT_SUSTAINABILITY!G26+26_DEBT_SUSTAINABILITY!G27</f>
        <v>0.00388572827574429</v>
      </c>
      <c r="H28" s="72" t="n">
        <f aca="false">26_DEBT_SUSTAINABILITY!H23+26_DEBT_SUSTAINABILITY!H26+26_DEBT_SUSTAINABILITY!H27</f>
        <v>0.00659142848417351</v>
      </c>
      <c r="I28" s="72" t="n">
        <f aca="false">26_DEBT_SUSTAINABILITY!I23+26_DEBT_SUSTAINABILITY!I26+26_DEBT_SUSTAINABILITY!I27</f>
        <v>0.0091402248432385</v>
      </c>
      <c r="J28" s="72" t="n">
        <f aca="false">26_DEBT_SUSTAINABILITY!J23+26_DEBT_SUSTAINABILITY!J26+26_DEBT_SUSTAINABILITY!J27</f>
        <v>0.00839288227384614</v>
      </c>
      <c r="K28" s="72" t="n">
        <f aca="false">26_DEBT_SUSTAINABILITY!K23+26_DEBT_SUSTAINABILITY!K26+26_DEBT_SUSTAINABILITY!K27</f>
        <v>0.0075399803195741</v>
      </c>
      <c r="L28" s="72" t="n">
        <f aca="false">26_DEBT_SUSTAINABILITY!L23+26_DEBT_SUSTAINABILITY!L26+26_DEBT_SUSTAINABILITY!L27</f>
        <v>0.00674372912774824</v>
      </c>
      <c r="M28" s="72" t="n">
        <f aca="false">26_DEBT_SUSTAINABILITY!M23+26_DEBT_SUSTAINABILITY!M26+26_DEBT_SUSTAINABILITY!M27</f>
        <v>0.00600082587758271</v>
      </c>
      <c r="N28" s="72" t="n">
        <f aca="false">26_DEBT_SUSTAINABILITY!N23+26_DEBT_SUSTAINABILITY!N26+26_DEBT_SUSTAINABILITY!N27</f>
        <v>0.00526062586097134</v>
      </c>
      <c r="O28" s="72" t="n">
        <f aca="false">26_DEBT_SUSTAINABILITY!O23+26_DEBT_SUSTAINABILITY!O26+26_DEBT_SUSTAINABILITY!O27</f>
        <v>0.00437741395631198</v>
      </c>
      <c r="P28" s="72" t="n">
        <f aca="false">26_DEBT_SUSTAINABILITY!P23+26_DEBT_SUSTAINABILITY!P26+26_DEBT_SUSTAINABILITY!P27</f>
        <v>0.00354693318993829</v>
      </c>
      <c r="Q28" s="72" t="n">
        <f aca="false">26_DEBT_SUSTAINABILITY!Q23+26_DEBT_SUSTAINABILITY!Q26+26_DEBT_SUSTAINABILITY!Q27</f>
        <v>0.00276737853707707</v>
      </c>
      <c r="R28" s="72" t="n">
        <f aca="false">26_DEBT_SUSTAINABILITY!R23+26_DEBT_SUSTAINABILITY!R26+26_DEBT_SUSTAINABILITY!R27</f>
        <v>0.00203584800930082</v>
      </c>
      <c r="S28" s="72" t="n">
        <f aca="false">26_DEBT_SUSTAINABILITY!S23+26_DEBT_SUSTAINABILITY!S26+26_DEBT_SUSTAINABILITY!S27</f>
        <v>0.00134958445819603</v>
      </c>
      <c r="T28" s="72" t="n">
        <f aca="false">26_DEBT_SUSTAINABILITY!T23+26_DEBT_SUSTAINABILITY!T26+26_DEBT_SUSTAINABILITY!T27</f>
        <v>0.000705968470293382</v>
      </c>
      <c r="U28" s="72" t="n">
        <f aca="false">26_DEBT_SUSTAINABILITY!U23+26_DEBT_SUSTAINABILITY!U26+26_DEBT_SUSTAINABILITY!U27</f>
        <v>0.000102511594470878</v>
      </c>
      <c r="V28" s="72" t="n">
        <f aca="false">26_DEBT_SUSTAINABILITY!V23+26_DEBT_SUSTAINABILITY!V26+26_DEBT_SUSTAINABILITY!V27</f>
        <v>0</v>
      </c>
      <c r="W28" s="72" t="n">
        <f aca="false">26_DEBT_SUSTAINABILITY!W23+26_DEBT_SUSTAINABILITY!W26+26_DEBT_SUSTAINABILITY!W27</f>
        <v>0</v>
      </c>
      <c r="X28" s="72" t="n">
        <f aca="false">26_DEBT_SUSTAINABILITY!X23+26_DEBT_SUSTAINABILITY!X26+26_DEBT_SUSTAINABILITY!X27</f>
        <v>0</v>
      </c>
      <c r="Y28" s="72" t="n">
        <f aca="false">26_DEBT_SUSTAINABILITY!Y23+26_DEBT_SUSTAINABILITY!Y26+26_DEBT_SUSTAINABILITY!Y27</f>
        <v>0</v>
      </c>
      <c r="Z28" s="72" t="n">
        <f aca="false">26_DEBT_SUSTAINABILITY!Z23+26_DEBT_SUSTAINABILITY!Z26+26_DEBT_SUSTAINABILITY!Z27</f>
        <v>0</v>
      </c>
      <c r="AA28" s="72" t="n">
        <f aca="false">26_DEBT_SUSTAINABILITY!AA23+26_DEBT_SUSTAINABILITY!AA26+26_DEBT_SUSTAINABILITY!AA27</f>
        <v>0</v>
      </c>
      <c r="AB28" s="72" t="n">
        <f aca="false">26_DEBT_SUSTAINABILITY!AB23+26_DEBT_SUSTAINABILITY!AB26+26_DEBT_SUSTAINABILITY!AB27</f>
        <v>0</v>
      </c>
      <c r="AC28" s="72" t="n">
        <f aca="false">26_DEBT_SUSTAINABILITY!AC23+26_DEBT_SUSTAINABILITY!AC26+26_DEBT_SUSTAINABILITY!AC27</f>
        <v>0</v>
      </c>
      <c r="AD28" s="72" t="n">
        <f aca="false">26_DEBT_SUSTAINABILITY!AD23+26_DEBT_SUSTAINABILITY!AD26+26_DEBT_SUSTAINABILITY!AD27</f>
        <v>0</v>
      </c>
      <c r="AE28" s="72" t="n">
        <f aca="false">26_DEBT_SUSTAINABILITY!AE23+26_DEBT_SUSTAINABILITY!AE26+26_DEBT_SUSTAINABILITY!AE27</f>
        <v>0</v>
      </c>
      <c r="AF28" s="72" t="n">
        <f aca="false">26_DEBT_SUSTAINABILITY!AF23+26_DEBT_SUSTAINABILITY!AF26+26_DEBT_SUSTAINABILITY!AF27</f>
        <v>0</v>
      </c>
      <c r="AG28" s="72" t="n">
        <f aca="false">26_DEBT_SUSTAINABILITY!AG23+26_DEBT_SUSTAINABILITY!AG26+26_DEBT_SUSTAINABILITY!AG27</f>
        <v>0</v>
      </c>
      <c r="AH28" s="72" t="n">
        <f aca="false">26_DEBT_SUSTAINABILITY!AH23+26_DEBT_SUSTAINABILITY!AH26+26_DEBT_SUSTAINABILITY!AH27</f>
        <v>0</v>
      </c>
      <c r="AI28" s="72" t="n">
        <f aca="false">26_DEBT_SUSTAINABILITY!AI23+26_DEBT_SUSTAINABILITY!AI26+26_DEBT_SUSTAINABILITY!AI27</f>
        <v>0</v>
      </c>
      <c r="AJ28" s="72" t="n">
        <f aca="false">26_DEBT_SUSTAINABILITY!AJ23+26_DEBT_SUSTAINABILITY!AJ26+26_DEBT_SUSTAINABILITY!AJ27</f>
        <v>0</v>
      </c>
      <c r="AK28" s="72" t="n">
        <f aca="false">26_DEBT_SUSTAINABILITY!AK23+26_DEBT_SUSTAINABILITY!AK26+26_DEBT_SUSTAINABILITY!AK27</f>
        <v>0</v>
      </c>
      <c r="AL28" s="72" t="n">
        <f aca="false">26_DEBT_SUSTAINABILITY!AL23+26_DEBT_SUSTAINABILITY!AL26+26_DEBT_SUSTAINABILITY!AL27</f>
        <v>0</v>
      </c>
      <c r="AM28" s="72" t="n">
        <f aca="false">26_DEBT_SUSTAINABILITY!AM23+26_DEBT_SUSTAINABILITY!AM26+26_DEBT_SUSTAINABILITY!AM27</f>
        <v>0</v>
      </c>
      <c r="AN28" s="72" t="n">
        <f aca="false">26_DEBT_SUSTAINABILITY!AN23+26_DEBT_SUSTAINABILITY!AN26+26_DEBT_SUSTAINABILITY!AN27</f>
        <v>0</v>
      </c>
      <c r="AO28" s="72" t="n">
        <f aca="false">26_DEBT_SUSTAINABILITY!AO23+26_DEBT_SUSTAINABILITY!AO26+26_DEBT_SUSTAINABILITY!AO27</f>
        <v>0</v>
      </c>
      <c r="AP28" s="72" t="n">
        <f aca="false">26_DEBT_SUSTAINABILITY!AP23+26_DEBT_SUSTAINABILITY!AP26+26_DEBT_SUSTAINABILITY!AP27</f>
        <v>0</v>
      </c>
      <c r="AQ28" s="72" t="n">
        <f aca="false">26_DEBT_SUSTAINABILITY!AQ23+26_DEBT_SUSTAINABILITY!AQ26+26_DEBT_SUSTAINABILITY!AQ27</f>
        <v>0</v>
      </c>
      <c r="AR28" s="72" t="n">
        <f aca="false">26_DEBT_SUSTAINABILITY!AR23+26_DEBT_SUSTAINABILITY!AR26+26_DEBT_SUSTAINABILITY!AR27</f>
        <v>0</v>
      </c>
    </row>
    <row r="29" customFormat="false" ht="15" hidden="false" customHeight="false" outlineLevel="0" collapsed="false">
      <c r="A29" s="6" t="s">
        <v>899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</row>
    <row r="30" customFormat="false" ht="15" hidden="false" customHeight="false" outlineLevel="0" collapsed="false">
      <c r="A30" s="4" t="s">
        <v>900</v>
      </c>
      <c r="B30" s="8" t="s">
        <v>875</v>
      </c>
      <c r="C30" s="76" t="n">
        <f aca="false">26_DEBT_SUSTAINABILITY!$C$28</f>
        <v>0.0091402248432385</v>
      </c>
    </row>
    <row r="31" customFormat="false" ht="15" hidden="false" customHeight="false" outlineLevel="0" collapsed="false">
      <c r="A31" s="4" t="s">
        <v>901</v>
      </c>
      <c r="B31" s="8" t="s">
        <v>875</v>
      </c>
      <c r="C31" s="76" t="n">
        <f aca="false">26_DEBT_SUSTAINABILITY!$C$24</f>
        <v>0.0273133499640697</v>
      </c>
    </row>
    <row r="32" customFormat="false" ht="15" hidden="false" customHeight="false" outlineLevel="0" collapsed="false">
      <c r="A32" s="4" t="s">
        <v>902</v>
      </c>
      <c r="B32" s="8" t="s">
        <v>903</v>
      </c>
      <c r="C32" s="76" t="n">
        <f aca="false">26_DEBT_SUSTAINABILITY!$C$25</f>
        <v>0.0181400646842536</v>
      </c>
    </row>
    <row r="33" customFormat="false" ht="15" hidden="false" customHeight="false" outlineLevel="0" collapsed="false">
      <c r="A33" s="4" t="s">
        <v>904</v>
      </c>
      <c r="B33" s="8" t="s">
        <v>875</v>
      </c>
      <c r="C33" s="36" t="n">
        <f aca="false">26_DEBT_SUSTAINABILITY!$C$10+26_DEBT_SUSTAINABILITY!$C$30</f>
        <v>0.489140224843239</v>
      </c>
    </row>
    <row r="34" customFormat="false" ht="15" hidden="false" customHeight="false" outlineLevel="0" collapsed="false">
      <c r="A34" s="4" t="s">
        <v>905</v>
      </c>
      <c r="B34" s="8" t="s">
        <v>78</v>
      </c>
      <c r="C34" s="53" t="n">
        <f aca="false">(26_DEBT_SUSTAINABILITY!$C$30&gt;26_DEBT_SUSTAINABILITY!$C$17)+(26_DEBT_SUSTAINABILITY!$C$31&gt;26_DEBT_SUSTAINABILITY!$C$18)+(26_DEBT_SUSTAINABILITY!$C$32&gt;26_DEBT_SUSTAINABILITY!$C$19)+AND(26_DEBT_SUSTAINABILITY!$C$33&gt;26_DEBT_SUSTAINABILITY!$C$16,26_DEBT_SUSTAINABILITY!$C$10&lt;=26_DEBT_SUSTAINABILITY!$C$16)</f>
        <v>2</v>
      </c>
    </row>
    <row r="35" customFormat="false" ht="15" hidden="false" customHeight="false" outlineLevel="0" collapsed="false">
      <c r="A35" s="4" t="s">
        <v>906</v>
      </c>
      <c r="B35" s="8"/>
      <c r="C35" s="77" t="str">
        <f aca="false">IF(AND(26_DEBT_SUSTAINABILITY!$C$34=0,26_DEBT_SUSTAINABILITY!$C$14&lt;=2),"LOW additional fiscal pressure",IF(OR(26_DEBT_SUSTAINABILITY!$C$34&gt;=3,AND(26_DEBT_SUSTAINABILITY!$C$34&gt;=1,OR(26_DEBT_SUSTAINABILITY!$C$14&gt;=3,26_DEBT_SUSTAINABILITY!$C$10&gt;26_DEBT_SUSTAINABILITY!$C$16))),"HIGH additional fiscal pressure — escalate to MoF / DSA team","MODERATE additional fiscal pressure"))</f>
        <v>MODERATE additional fiscal pressure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2"/>
  </cols>
  <sheetData>
    <row r="1" customFormat="false" ht="17.35" hidden="false" customHeight="false" outlineLevel="0" collapsed="false">
      <c r="A1" s="1" t="s">
        <v>907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908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29" t="s">
        <v>909</v>
      </c>
      <c r="B4" s="29" t="s">
        <v>632</v>
      </c>
      <c r="C4" s="29" t="s">
        <v>910</v>
      </c>
      <c r="D4" s="29" t="s">
        <v>911</v>
      </c>
      <c r="E4" s="29" t="s">
        <v>912</v>
      </c>
      <c r="F4" s="29" t="s">
        <v>913</v>
      </c>
    </row>
    <row r="5" customFormat="false" ht="15" hidden="false" customHeight="false" outlineLevel="0" collapsed="false">
      <c r="A5" s="8" t="s">
        <v>914</v>
      </c>
      <c r="B5" s="8" t="s">
        <v>82</v>
      </c>
      <c r="C5" s="24" t="n">
        <v>1</v>
      </c>
      <c r="D5" s="24" t="n">
        <v>0.93</v>
      </c>
      <c r="E5" s="24" t="n">
        <v>1.04</v>
      </c>
      <c r="F5" s="8" t="s">
        <v>915</v>
      </c>
    </row>
    <row r="6" customFormat="false" ht="15" hidden="false" customHeight="false" outlineLevel="0" collapsed="false">
      <c r="A6" s="8" t="s">
        <v>916</v>
      </c>
      <c r="B6" s="8" t="s">
        <v>82</v>
      </c>
      <c r="C6" s="24" t="n">
        <v>1</v>
      </c>
      <c r="D6" s="24" t="n">
        <v>1.1</v>
      </c>
      <c r="E6" s="24" t="n">
        <v>0.95</v>
      </c>
      <c r="F6" s="8"/>
    </row>
    <row r="7" customFormat="false" ht="15" hidden="false" customHeight="false" outlineLevel="0" collapsed="false">
      <c r="A7" s="8" t="s">
        <v>917</v>
      </c>
      <c r="B7" s="8" t="s">
        <v>918</v>
      </c>
      <c r="C7" s="12" t="n">
        <v>0</v>
      </c>
      <c r="D7" s="12" t="n">
        <v>-0.015</v>
      </c>
      <c r="E7" s="12" t="n">
        <v>0.01</v>
      </c>
      <c r="F7" s="8"/>
    </row>
    <row r="8" customFormat="false" ht="15" hidden="false" customHeight="false" outlineLevel="0" collapsed="false">
      <c r="A8" s="8" t="s">
        <v>919</v>
      </c>
      <c r="B8" s="8" t="s">
        <v>82</v>
      </c>
      <c r="C8" s="24" t="n">
        <v>1</v>
      </c>
      <c r="D8" s="24" t="n">
        <v>1.1</v>
      </c>
      <c r="E8" s="24" t="n">
        <v>0.95</v>
      </c>
      <c r="F8" s="8"/>
    </row>
    <row r="10" customFormat="false" ht="15" hidden="false" customHeight="false" outlineLevel="0" collapsed="false">
      <c r="A10" s="6" t="s">
        <v>920</v>
      </c>
      <c r="B10" s="7"/>
      <c r="C10" s="7"/>
      <c r="D10" s="7"/>
      <c r="E10" s="7"/>
      <c r="F10" s="7"/>
      <c r="G10" s="7"/>
      <c r="H10" s="7"/>
      <c r="I10" s="7"/>
      <c r="J10" s="7"/>
    </row>
    <row r="11" customFormat="false" ht="15" hidden="false" customHeight="false" outlineLevel="0" collapsed="false">
      <c r="A11" s="8" t="s">
        <v>921</v>
      </c>
      <c r="B11" s="8" t="s">
        <v>82</v>
      </c>
      <c r="C11" s="24" t="n">
        <v>0.55</v>
      </c>
      <c r="D11" s="10" t="s">
        <v>922</v>
      </c>
    </row>
    <row r="12" customFormat="false" ht="15" hidden="false" customHeight="false" outlineLevel="0" collapsed="false">
      <c r="A12" s="8" t="s">
        <v>923</v>
      </c>
      <c r="B12" s="8" t="s">
        <v>924</v>
      </c>
      <c r="C12" s="23" t="n">
        <v>4</v>
      </c>
    </row>
    <row r="13" customFormat="false" ht="15" hidden="false" customHeight="false" outlineLevel="0" collapsed="false">
      <c r="A13" s="8" t="s">
        <v>925</v>
      </c>
      <c r="B13" s="8" t="s">
        <v>109</v>
      </c>
      <c r="C13" s="23" t="n">
        <v>3</v>
      </c>
      <c r="D13" s="10" t="s">
        <v>926</v>
      </c>
    </row>
    <row r="14" customFormat="false" ht="15" hidden="false" customHeight="false" outlineLevel="0" collapsed="false">
      <c r="A14" s="8" t="s">
        <v>60</v>
      </c>
      <c r="B14" s="8" t="s">
        <v>56</v>
      </c>
      <c r="C14" s="12" t="n">
        <v>0.27</v>
      </c>
      <c r="D14" s="10" t="s">
        <v>927</v>
      </c>
    </row>
    <row r="15" customFormat="false" ht="15" hidden="false" customHeight="false" outlineLevel="0" collapsed="false">
      <c r="A15" s="8" t="s">
        <v>61</v>
      </c>
      <c r="B15" s="8" t="s">
        <v>109</v>
      </c>
      <c r="C15" s="23" t="n">
        <v>2</v>
      </c>
      <c r="D15" s="10" t="s">
        <v>928</v>
      </c>
    </row>
    <row r="16" customFormat="false" ht="15" hidden="false" customHeight="false" outlineLevel="0" collapsed="false">
      <c r="A16" s="8" t="s">
        <v>929</v>
      </c>
      <c r="B16" s="8" t="s">
        <v>82</v>
      </c>
      <c r="C16" s="24" t="n">
        <v>0.8</v>
      </c>
    </row>
    <row r="17" customFormat="false" ht="15" hidden="false" customHeight="false" outlineLevel="0" collapsed="false">
      <c r="A17" s="8" t="s">
        <v>930</v>
      </c>
      <c r="B17" s="8" t="s">
        <v>918</v>
      </c>
      <c r="C17" s="12" t="n">
        <v>0.08</v>
      </c>
    </row>
    <row r="18" customFormat="false" ht="15" hidden="false" customHeight="false" outlineLevel="0" collapsed="false">
      <c r="A18" s="8" t="s">
        <v>931</v>
      </c>
      <c r="B18" s="8" t="s">
        <v>56</v>
      </c>
      <c r="C18" s="12" t="n">
        <v>0.3</v>
      </c>
    </row>
    <row r="19" customFormat="false" ht="15" hidden="false" customHeight="false" outlineLevel="0" collapsed="false">
      <c r="A19" s="8" t="s">
        <v>932</v>
      </c>
      <c r="B19" s="8" t="s">
        <v>109</v>
      </c>
      <c r="C19" s="23" t="n">
        <v>5</v>
      </c>
      <c r="D19" s="10" t="s">
        <v>933</v>
      </c>
    </row>
    <row r="20" customFormat="false" ht="15" hidden="false" customHeight="false" outlineLevel="0" collapsed="false">
      <c r="A20" s="8" t="s">
        <v>934</v>
      </c>
      <c r="B20" s="8" t="s">
        <v>56</v>
      </c>
      <c r="C20" s="12" t="n">
        <v>0.5</v>
      </c>
      <c r="D20" s="10" t="s">
        <v>935</v>
      </c>
    </row>
    <row r="21" customFormat="false" ht="15" hidden="false" customHeight="false" outlineLevel="0" collapsed="false">
      <c r="A21" s="8" t="s">
        <v>936</v>
      </c>
      <c r="B21" s="8" t="s">
        <v>937</v>
      </c>
      <c r="C21" s="12" t="n">
        <v>0.03</v>
      </c>
      <c r="D21" s="10" t="s">
        <v>938</v>
      </c>
    </row>
    <row r="22" customFormat="false" ht="15" hidden="false" customHeight="false" outlineLevel="0" collapsed="false">
      <c r="A22" s="8" t="s">
        <v>66</v>
      </c>
      <c r="B22" s="8" t="s">
        <v>109</v>
      </c>
      <c r="C22" s="23" t="n">
        <v>2</v>
      </c>
    </row>
    <row r="23" customFormat="false" ht="15" hidden="false" customHeight="false" outlineLevel="0" collapsed="false">
      <c r="A23" s="8" t="s">
        <v>939</v>
      </c>
      <c r="B23" s="8" t="s">
        <v>940</v>
      </c>
      <c r="C23" s="12" t="n">
        <v>-0.03</v>
      </c>
      <c r="D23" s="10" t="s">
        <v>941</v>
      </c>
    </row>
    <row r="25" customFormat="false" ht="15" hidden="false" customHeight="false" outlineLevel="0" collapsed="false">
      <c r="A25" s="6" t="s">
        <v>942</v>
      </c>
      <c r="B25" s="7"/>
      <c r="C25" s="7"/>
      <c r="D25" s="7"/>
      <c r="E25" s="7"/>
      <c r="F25" s="7"/>
      <c r="G25" s="7"/>
      <c r="H25" s="7"/>
      <c r="I25" s="7"/>
      <c r="J25" s="7"/>
    </row>
    <row r="26" customFormat="false" ht="15" hidden="false" customHeight="false" outlineLevel="0" collapsed="false">
      <c r="A26" s="8" t="s">
        <v>943</v>
      </c>
      <c r="B26" s="8" t="s">
        <v>82</v>
      </c>
      <c r="C26" s="38" t="n">
        <f aca="false">CHOOSE(01_CONTROL_PANEL!$C$5,27_SCENARIOS!$C$5,27_SCENARIOS!$D$5,27_SCENARIOS!$E$5)*(1+01_CONTROL_PANEL!$C$26)</f>
        <v>1</v>
      </c>
    </row>
    <row r="27" customFormat="false" ht="15" hidden="false" customHeight="false" outlineLevel="0" collapsed="false">
      <c r="A27" s="8" t="s">
        <v>944</v>
      </c>
      <c r="B27" s="8" t="s">
        <v>82</v>
      </c>
      <c r="C27" s="38" t="n">
        <f aca="false">CHOOSE(01_CONTROL_PANEL!$C$5,27_SCENARIOS!$C$6,27_SCENARIOS!$D$6,27_SCENARIOS!$E$6)*(1+01_CONTROL_PANEL!$C$16*27_SCENARIOS!$C$14)*(1+01_CONTROL_PANEL!$C$25)</f>
        <v>1</v>
      </c>
    </row>
    <row r="28" customFormat="false" ht="15" hidden="false" customHeight="false" outlineLevel="0" collapsed="false">
      <c r="A28" s="8" t="s">
        <v>945</v>
      </c>
      <c r="B28" s="8" t="s">
        <v>109</v>
      </c>
      <c r="C28" s="14" t="n">
        <f aca="false">01_CONTROL_PANEL!$C$17*27_SCENARIOS!$C$15</f>
        <v>0</v>
      </c>
    </row>
    <row r="29" customFormat="false" ht="15" hidden="false" customHeight="false" outlineLevel="0" collapsed="false">
      <c r="A29" s="8" t="s">
        <v>946</v>
      </c>
      <c r="B29" s="8" t="s">
        <v>918</v>
      </c>
      <c r="C29" s="55" t="n">
        <f aca="false">CHOOSE(01_CONTROL_PANEL!$C$5,27_SCENARIOS!$C$7,27_SCENARIOS!$D$7,27_SCENARIOS!$E$7)</f>
        <v>0</v>
      </c>
    </row>
    <row r="30" customFormat="false" ht="15" hidden="false" customHeight="false" outlineLevel="0" collapsed="false">
      <c r="A30" s="8" t="s">
        <v>947</v>
      </c>
      <c r="B30" s="8" t="s">
        <v>82</v>
      </c>
      <c r="C30" s="38" t="n">
        <f aca="false">IF(01_CONTROL_PANEL!$C$18=1,27_SCENARIOS!$C$16,1)</f>
        <v>1</v>
      </c>
    </row>
    <row r="31" customFormat="false" ht="15" hidden="false" customHeight="false" outlineLevel="0" collapsed="false">
      <c r="A31" s="8" t="s">
        <v>948</v>
      </c>
      <c r="B31" s="8" t="s">
        <v>918</v>
      </c>
      <c r="C31" s="55" t="n">
        <f aca="false">-01_CONTROL_PANEL!$C$19*27_SCENARIOS!$C$17</f>
        <v>-0</v>
      </c>
    </row>
    <row r="32" customFormat="false" ht="15" hidden="false" customHeight="false" outlineLevel="0" collapsed="false">
      <c r="A32" s="8" t="s">
        <v>949</v>
      </c>
      <c r="B32" s="8" t="s">
        <v>82</v>
      </c>
      <c r="C32" s="38" t="n">
        <f aca="false">1-01_CONTROL_PANEL!$C$19*27_SCENARIOS!$C$18</f>
        <v>1</v>
      </c>
    </row>
    <row r="33" customFormat="false" ht="15" hidden="false" customHeight="false" outlineLevel="0" collapsed="false">
      <c r="A33" s="8" t="s">
        <v>950</v>
      </c>
      <c r="B33" s="8" t="s">
        <v>109</v>
      </c>
      <c r="C33" s="14" t="n">
        <f aca="false">01_CONTROL_PANEL!$C$19*27_SCENARIOS!$C$19</f>
        <v>0</v>
      </c>
    </row>
    <row r="34" customFormat="false" ht="15" hidden="false" customHeight="false" outlineLevel="0" collapsed="false">
      <c r="A34" s="8" t="s">
        <v>951</v>
      </c>
      <c r="B34" s="8" t="s">
        <v>120</v>
      </c>
      <c r="C34" s="75" t="n">
        <f aca="false">02_PROJECT_INPUTS!$C$21</f>
        <v>0.06</v>
      </c>
    </row>
    <row r="35" customFormat="false" ht="15" hidden="false" customHeight="false" outlineLevel="0" collapsed="false">
      <c r="A35" s="8" t="s">
        <v>952</v>
      </c>
      <c r="B35" s="8" t="s">
        <v>56</v>
      </c>
      <c r="C35" s="55" t="n">
        <f aca="false">01_CONTROL_PANEL!$C$20*27_SCENARIOS!$C$20</f>
        <v>0</v>
      </c>
    </row>
    <row r="36" customFormat="false" ht="15" hidden="false" customHeight="false" outlineLevel="0" collapsed="false">
      <c r="A36" s="8" t="s">
        <v>953</v>
      </c>
      <c r="B36" s="8" t="s">
        <v>937</v>
      </c>
      <c r="C36" s="73" t="n">
        <f aca="false">01_CONTROL_PANEL!$C$21*27_SCENARIOS!$C$21+01_CONTROL_PANEL!$C$29</f>
        <v>0</v>
      </c>
    </row>
    <row r="37" customFormat="false" ht="15" hidden="false" customHeight="false" outlineLevel="0" collapsed="false">
      <c r="A37" s="8" t="s">
        <v>66</v>
      </c>
      <c r="B37" s="8" t="s">
        <v>109</v>
      </c>
      <c r="C37" s="14" t="n">
        <f aca="false">01_CONTROL_PANEL!$C$22*27_SCENARIOS!$C$22</f>
        <v>0</v>
      </c>
    </row>
    <row r="38" customFormat="false" ht="15" hidden="false" customHeight="false" outlineLevel="0" collapsed="false">
      <c r="A38" s="8" t="s">
        <v>954</v>
      </c>
      <c r="B38" s="8" t="s">
        <v>955</v>
      </c>
      <c r="C38" s="55" t="n">
        <f aca="false">01_CONTROL_PANEL!$C$23*27_SCENARIOS!$C$23</f>
        <v>-0</v>
      </c>
    </row>
    <row r="39" customFormat="false" ht="15" hidden="false" customHeight="false" outlineLevel="0" collapsed="false">
      <c r="A39" s="8" t="s">
        <v>919</v>
      </c>
      <c r="B39" s="8" t="s">
        <v>82</v>
      </c>
      <c r="C39" s="38" t="n">
        <f aca="false">CHOOSE(01_CONTROL_PANEL!$C$5,27_SCENARIOS!$C$8,27_SCENARIOS!$D$8,27_SCENARIOS!$E$8)*(1+01_CONTROL_PANEL!$C$28)</f>
        <v>1</v>
      </c>
    </row>
    <row r="40" customFormat="false" ht="15" hidden="false" customHeight="false" outlineLevel="0" collapsed="false">
      <c r="A40" s="8" t="s">
        <v>956</v>
      </c>
      <c r="B40" s="8" t="s">
        <v>82</v>
      </c>
      <c r="C40" s="38" t="n">
        <f aca="false">1+01_CONTROL_PANEL!$C$27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957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958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959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678</v>
      </c>
      <c r="B5" s="8" t="s">
        <v>82</v>
      </c>
      <c r="C5" s="38" t="n">
        <f aca="false">02_PROJECT_INPUTS!$C$23/(1-(1+02_PROJECT_INPUTS!$C$23)^-02_PROJECT_INPUTS!$C$13)</f>
        <v>0.106079248252634</v>
      </c>
    </row>
    <row r="6" customFormat="false" ht="15" hidden="false" customHeight="false" outlineLevel="0" collapsed="false">
      <c r="A6" s="8" t="s">
        <v>960</v>
      </c>
      <c r="B6" s="8" t="s">
        <v>84</v>
      </c>
      <c r="C6" s="37" t="n">
        <f aca="false">17_PROJECT_FINANCE!$C$7+17_PROJECT_FINANCE!$C$8</f>
        <v>1260.36192783843</v>
      </c>
    </row>
    <row r="7" customFormat="false" ht="15" hidden="false" customHeight="false" outlineLevel="0" collapsed="false">
      <c r="A7" s="4" t="s">
        <v>961</v>
      </c>
      <c r="B7" s="8" t="s">
        <v>311</v>
      </c>
      <c r="C7" s="63" t="n">
        <f aca="false">(28_SENSITIVITY!$C$6*28_SENSITIVITY!$C$5+17_PROJECT_FINANCE!$C$41)/03_HYDROLOGY!$C$33*1000</f>
        <v>97.3911060438343</v>
      </c>
    </row>
    <row r="8" customFormat="false" ht="15" hidden="false" customHeight="false" outlineLevel="0" collapsed="false">
      <c r="A8" s="29" t="s">
        <v>962</v>
      </c>
      <c r="B8" s="29" t="s">
        <v>963</v>
      </c>
      <c r="C8" s="29" t="s">
        <v>964</v>
      </c>
      <c r="D8" s="29" t="s">
        <v>965</v>
      </c>
      <c r="E8" s="29" t="s">
        <v>966</v>
      </c>
      <c r="F8" s="29"/>
      <c r="G8" s="29"/>
    </row>
    <row r="9" customFormat="false" ht="15" hidden="false" customHeight="false" outlineLevel="0" collapsed="false">
      <c r="A9" s="8" t="s">
        <v>967</v>
      </c>
      <c r="B9" s="78" t="n">
        <v>0.2</v>
      </c>
      <c r="C9" s="49" t="n">
        <f aca="false">(28_SENSITIVITY!$C$6*(1-$B$9)*28_SENSITIVITY!$C$5+17_PROJECT_FINANCE!$C$41)/03_HYDROLOGY!$C$33*1000</f>
        <v>81.3396615277811</v>
      </c>
      <c r="D9" s="49" t="n">
        <f aca="false">(28_SENSITIVITY!$C$6*(1+$B$9)*28_SENSITIVITY!$C$5+17_PROJECT_FINANCE!$C$41)/03_HYDROLOGY!$C$33*1000</f>
        <v>113.442550559888</v>
      </c>
      <c r="E9" s="49" t="n">
        <f aca="false">D9-C9</f>
        <v>32.1028890321064</v>
      </c>
    </row>
    <row r="10" customFormat="false" ht="15" hidden="false" customHeight="false" outlineLevel="0" collapsed="false">
      <c r="A10" s="8" t="s">
        <v>968</v>
      </c>
      <c r="B10" s="78" t="n">
        <v>0.1</v>
      </c>
      <c r="C10" s="49" t="n">
        <f aca="false">(28_SENSITIVITY!$C$6*28_SENSITIVITY!$C$5+17_PROJECT_FINANCE!$C$41)/(03_HYDROLOGY!$C$33*(1+$B$10))*1000</f>
        <v>88.5373691307585</v>
      </c>
      <c r="D10" s="49" t="n">
        <f aca="false">(28_SENSITIVITY!$C$6*28_SENSITIVITY!$C$5+17_PROJECT_FINANCE!$C$41)/(03_HYDROLOGY!$C$33*(1-$B$10))*1000</f>
        <v>108.212340048705</v>
      </c>
      <c r="E10" s="49" t="n">
        <f aca="false">D10-C10</f>
        <v>19.6749709179463</v>
      </c>
    </row>
    <row r="11" customFormat="false" ht="15" hidden="false" customHeight="false" outlineLevel="0" collapsed="false">
      <c r="A11" s="8" t="s">
        <v>969</v>
      </c>
      <c r="B11" s="78" t="n">
        <v>0.02</v>
      </c>
      <c r="C11" s="49" t="n">
        <f aca="false">(28_SENSITIVITY!$C$6*((02_PROJECT_INPUTS!$C$23-$B$11)/(1-(1+02_PROJECT_INPUTS!$C$23-$B$11)^-02_PROJECT_INPUTS!$C$13))+17_PROJECT_FINANCE!$C$41)/03_HYDROLOGY!$C$33*1000</f>
        <v>84.3387629289453</v>
      </c>
      <c r="D11" s="49" t="n">
        <f aca="false">(28_SENSITIVITY!$C$6*((02_PROJECT_INPUTS!$C$23+$B$11)/(1-(1+02_PROJECT_INPUTS!$C$23+$B$11)^-02_PROJECT_INPUTS!$C$13))+17_PROJECT_FINANCE!$C$41)/03_HYDROLOGY!$C$33*1000</f>
        <v>111.058240208124</v>
      </c>
      <c r="E11" s="49" t="n">
        <f aca="false">D11-C11</f>
        <v>26.7194772791783</v>
      </c>
    </row>
    <row r="12" customFormat="false" ht="15" hidden="false" customHeight="false" outlineLevel="0" collapsed="false">
      <c r="A12" s="8" t="s">
        <v>970</v>
      </c>
      <c r="B12" s="78" t="n">
        <v>0.2</v>
      </c>
      <c r="C12" s="49" t="n">
        <f aca="false">(28_SENSITIVITY!$C$6*28_SENSITIVITY!$C$5+17_PROJECT_FINANCE!$C$41*(1-$B$12))/03_HYDROLOGY!$C$33*1000</f>
        <v>93.9643293511207</v>
      </c>
      <c r="D12" s="49" t="n">
        <f aca="false">(28_SENSITIVITY!$C$6*28_SENSITIVITY!$C$5+17_PROJECT_FINANCE!$C$41*(1+$B$12))/03_HYDROLOGY!$C$33*1000</f>
        <v>100.817882736548</v>
      </c>
      <c r="E12" s="49" t="n">
        <f aca="false">D12-C12</f>
        <v>6.8535533854273</v>
      </c>
    </row>
    <row r="13" customFormat="false" ht="15" hidden="false" customHeight="false" outlineLevel="0" collapsed="false">
      <c r="A13" s="8" t="s">
        <v>971</v>
      </c>
      <c r="B13" s="78" t="n">
        <v>0.15</v>
      </c>
      <c r="C13" s="49" t="n">
        <f aca="false">(28_SENSITIVITY!$C$6*28_SENSITIVITY!$C$5+17_PROJECT_FINANCE!$C$41)/03_HYDROLOGY!$C$33*1000</f>
        <v>97.3911060438343</v>
      </c>
      <c r="D13" s="49" t="n">
        <f aca="false">(28_SENSITIVITY!$C$6*28_SENSITIVITY!$C$5+17_PROJECT_FINANCE!$C$41)/(03_HYDROLOGY!$C$33*(1-$B$13))*1000</f>
        <v>114.577771816276</v>
      </c>
      <c r="E13" s="49" t="n">
        <f aca="false">D13-C13</f>
        <v>17.1866657724414</v>
      </c>
    </row>
    <row r="14" customFormat="false" ht="15" hidden="false" customHeight="false" outlineLevel="0" collapsed="false">
      <c r="A14" s="10" t="s">
        <v>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9" min="2" style="0" width="11"/>
    <col collapsed="false" customWidth="true" hidden="false" outlineLevel="0" max="10" min="10" style="0" width="14"/>
    <col collapsed="false" customWidth="true" hidden="false" outlineLevel="0" max="11" min="11" style="0" width="60"/>
    <col collapsed="false" customWidth="true" hidden="false" outlineLevel="0" max="12" min="12" style="0" width="22"/>
  </cols>
  <sheetData>
    <row r="1" customFormat="false" ht="17.35" hidden="false" customHeight="false" outlineLevel="0" collapsed="false">
      <c r="A1" s="1" t="s">
        <v>973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974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3.85" hidden="false" customHeight="false" outlineLevel="0" collapsed="false">
      <c r="A4" s="79" t="s">
        <v>975</v>
      </c>
      <c r="B4" s="79" t="s">
        <v>976</v>
      </c>
      <c r="C4" s="79" t="s">
        <v>977</v>
      </c>
      <c r="D4" s="79" t="s">
        <v>978</v>
      </c>
      <c r="E4" s="79" t="s">
        <v>979</v>
      </c>
      <c r="F4" s="79" t="s">
        <v>980</v>
      </c>
      <c r="G4" s="79" t="s">
        <v>981</v>
      </c>
      <c r="H4" s="79" t="s">
        <v>982</v>
      </c>
      <c r="I4" s="79" t="s">
        <v>983</v>
      </c>
      <c r="J4" s="79" t="s">
        <v>984</v>
      </c>
      <c r="K4" s="79" t="s">
        <v>985</v>
      </c>
      <c r="L4" s="79" t="s">
        <v>986</v>
      </c>
    </row>
    <row r="5" customFormat="false" ht="23.85" hidden="false" customHeight="false" outlineLevel="0" collapsed="false">
      <c r="A5" s="80" t="s">
        <v>987</v>
      </c>
      <c r="B5" s="81"/>
      <c r="C5" s="81" t="s">
        <v>988</v>
      </c>
      <c r="D5" s="81"/>
      <c r="E5" s="81" t="s">
        <v>989</v>
      </c>
      <c r="F5" s="81"/>
      <c r="G5" s="81"/>
      <c r="H5" s="81"/>
      <c r="I5" s="81"/>
      <c r="J5" s="81" t="s">
        <v>990</v>
      </c>
      <c r="K5" s="80" t="s">
        <v>991</v>
      </c>
      <c r="L5" s="80" t="s">
        <v>992</v>
      </c>
    </row>
    <row r="6" customFormat="false" ht="23.85" hidden="false" customHeight="false" outlineLevel="0" collapsed="false">
      <c r="A6" s="80" t="s">
        <v>993</v>
      </c>
      <c r="B6" s="81"/>
      <c r="C6" s="81" t="s">
        <v>989</v>
      </c>
      <c r="D6" s="81" t="s">
        <v>988</v>
      </c>
      <c r="E6" s="81" t="s">
        <v>989</v>
      </c>
      <c r="F6" s="81"/>
      <c r="G6" s="81"/>
      <c r="H6" s="81" t="s">
        <v>989</v>
      </c>
      <c r="I6" s="81"/>
      <c r="J6" s="81" t="s">
        <v>994</v>
      </c>
      <c r="K6" s="80" t="s">
        <v>995</v>
      </c>
      <c r="L6" s="80" t="s">
        <v>996</v>
      </c>
    </row>
    <row r="7" customFormat="false" ht="23.85" hidden="false" customHeight="false" outlineLevel="0" collapsed="false">
      <c r="A7" s="80" t="s">
        <v>997</v>
      </c>
      <c r="B7" s="81" t="s">
        <v>989</v>
      </c>
      <c r="C7" s="81" t="s">
        <v>988</v>
      </c>
      <c r="D7" s="81" t="s">
        <v>989</v>
      </c>
      <c r="E7" s="81" t="s">
        <v>989</v>
      </c>
      <c r="F7" s="81"/>
      <c r="G7" s="81"/>
      <c r="H7" s="81"/>
      <c r="I7" s="81" t="s">
        <v>989</v>
      </c>
      <c r="J7" s="81" t="s">
        <v>990</v>
      </c>
      <c r="K7" s="80" t="s">
        <v>998</v>
      </c>
      <c r="L7" s="80" t="s">
        <v>999</v>
      </c>
    </row>
    <row r="8" customFormat="false" ht="15" hidden="false" customHeight="false" outlineLevel="0" collapsed="false">
      <c r="A8" s="80" t="s">
        <v>1000</v>
      </c>
      <c r="B8" s="81" t="s">
        <v>989</v>
      </c>
      <c r="C8" s="81" t="s">
        <v>988</v>
      </c>
      <c r="D8" s="81" t="s">
        <v>989</v>
      </c>
      <c r="E8" s="81" t="s">
        <v>989</v>
      </c>
      <c r="F8" s="81"/>
      <c r="G8" s="81"/>
      <c r="H8" s="81" t="s">
        <v>989</v>
      </c>
      <c r="I8" s="81"/>
      <c r="J8" s="81" t="s">
        <v>990</v>
      </c>
      <c r="K8" s="80" t="s">
        <v>1001</v>
      </c>
      <c r="L8" s="80" t="s">
        <v>1002</v>
      </c>
    </row>
    <row r="9" customFormat="false" ht="15" hidden="false" customHeight="false" outlineLevel="0" collapsed="false">
      <c r="A9" s="80" t="s">
        <v>1003</v>
      </c>
      <c r="B9" s="81" t="s">
        <v>989</v>
      </c>
      <c r="C9" s="81"/>
      <c r="D9" s="81"/>
      <c r="E9" s="81"/>
      <c r="F9" s="81" t="s">
        <v>988</v>
      </c>
      <c r="G9" s="81" t="s">
        <v>989</v>
      </c>
      <c r="H9" s="81"/>
      <c r="I9" s="81"/>
      <c r="J9" s="81" t="s">
        <v>990</v>
      </c>
      <c r="K9" s="80" t="s">
        <v>1004</v>
      </c>
      <c r="L9" s="80" t="s">
        <v>1005</v>
      </c>
    </row>
    <row r="10" customFormat="false" ht="15" hidden="false" customHeight="false" outlineLevel="0" collapsed="false">
      <c r="A10" s="80" t="s">
        <v>1006</v>
      </c>
      <c r="B10" s="81" t="s">
        <v>988</v>
      </c>
      <c r="C10" s="81" t="s">
        <v>989</v>
      </c>
      <c r="D10" s="81"/>
      <c r="E10" s="81" t="s">
        <v>989</v>
      </c>
      <c r="F10" s="81" t="s">
        <v>988</v>
      </c>
      <c r="G10" s="81" t="s">
        <v>989</v>
      </c>
      <c r="H10" s="81"/>
      <c r="I10" s="81" t="s">
        <v>989</v>
      </c>
      <c r="J10" s="81" t="s">
        <v>990</v>
      </c>
      <c r="K10" s="80" t="s">
        <v>1007</v>
      </c>
      <c r="L10" s="80" t="s">
        <v>1008</v>
      </c>
    </row>
    <row r="11" customFormat="false" ht="15" hidden="false" customHeight="false" outlineLevel="0" collapsed="false">
      <c r="A11" s="80" t="s">
        <v>1009</v>
      </c>
      <c r="B11" s="81" t="s">
        <v>988</v>
      </c>
      <c r="C11" s="81" t="s">
        <v>989</v>
      </c>
      <c r="D11" s="81"/>
      <c r="E11" s="81" t="s">
        <v>989</v>
      </c>
      <c r="F11" s="81" t="s">
        <v>989</v>
      </c>
      <c r="G11" s="81" t="s">
        <v>989</v>
      </c>
      <c r="H11" s="81"/>
      <c r="I11" s="81"/>
      <c r="J11" s="81" t="s">
        <v>1010</v>
      </c>
      <c r="K11" s="80" t="s">
        <v>1011</v>
      </c>
      <c r="L11" s="80" t="s">
        <v>1012</v>
      </c>
    </row>
    <row r="12" customFormat="false" ht="15" hidden="false" customHeight="false" outlineLevel="0" collapsed="false">
      <c r="A12" s="80" t="s">
        <v>1013</v>
      </c>
      <c r="B12" s="81" t="s">
        <v>988</v>
      </c>
      <c r="C12" s="81" t="s">
        <v>989</v>
      </c>
      <c r="D12" s="81"/>
      <c r="E12" s="81" t="s">
        <v>989</v>
      </c>
      <c r="F12" s="81" t="s">
        <v>988</v>
      </c>
      <c r="G12" s="81" t="s">
        <v>989</v>
      </c>
      <c r="H12" s="81"/>
      <c r="I12" s="81" t="s">
        <v>989</v>
      </c>
      <c r="J12" s="81" t="s">
        <v>990</v>
      </c>
      <c r="K12" s="80" t="s">
        <v>1014</v>
      </c>
      <c r="L12" s="80" t="s">
        <v>1015</v>
      </c>
    </row>
    <row r="13" customFormat="false" ht="15" hidden="false" customHeight="false" outlineLevel="0" collapsed="false">
      <c r="A13" s="80" t="s">
        <v>1016</v>
      </c>
      <c r="B13" s="81"/>
      <c r="C13" s="81" t="s">
        <v>988</v>
      </c>
      <c r="D13" s="81"/>
      <c r="E13" s="81" t="s">
        <v>989</v>
      </c>
      <c r="F13" s="81"/>
      <c r="G13" s="81"/>
      <c r="H13" s="81"/>
      <c r="I13" s="81" t="s">
        <v>989</v>
      </c>
      <c r="J13" s="81" t="s">
        <v>1010</v>
      </c>
      <c r="K13" s="80" t="s">
        <v>1017</v>
      </c>
      <c r="L13" s="80" t="s">
        <v>1018</v>
      </c>
    </row>
    <row r="14" customFormat="false" ht="15" hidden="false" customHeight="false" outlineLevel="0" collapsed="false">
      <c r="A14" s="80" t="s">
        <v>1019</v>
      </c>
      <c r="B14" s="81" t="s">
        <v>988</v>
      </c>
      <c r="C14" s="81" t="s">
        <v>989</v>
      </c>
      <c r="D14" s="81"/>
      <c r="E14" s="81" t="s">
        <v>989</v>
      </c>
      <c r="F14" s="81"/>
      <c r="G14" s="81"/>
      <c r="H14" s="81" t="s">
        <v>989</v>
      </c>
      <c r="I14" s="81" t="s">
        <v>989</v>
      </c>
      <c r="J14" s="81" t="s">
        <v>1020</v>
      </c>
      <c r="K14" s="80" t="s">
        <v>1021</v>
      </c>
      <c r="L14" s="80" t="s">
        <v>1022</v>
      </c>
    </row>
    <row r="15" customFormat="false" ht="15" hidden="false" customHeight="false" outlineLevel="0" collapsed="false">
      <c r="A15" s="80" t="s">
        <v>1023</v>
      </c>
      <c r="B15" s="81" t="s">
        <v>988</v>
      </c>
      <c r="C15" s="81" t="s">
        <v>989</v>
      </c>
      <c r="D15" s="81"/>
      <c r="E15" s="81" t="s">
        <v>989</v>
      </c>
      <c r="F15" s="81"/>
      <c r="G15" s="81"/>
      <c r="H15" s="81"/>
      <c r="I15" s="81"/>
      <c r="J15" s="81" t="s">
        <v>1010</v>
      </c>
      <c r="K15" s="80" t="s">
        <v>1024</v>
      </c>
      <c r="L15" s="80" t="s">
        <v>1025</v>
      </c>
    </row>
    <row r="16" customFormat="false" ht="15" hidden="false" customHeight="false" outlineLevel="0" collapsed="false">
      <c r="A16" s="80" t="s">
        <v>1026</v>
      </c>
      <c r="B16" s="81" t="s">
        <v>988</v>
      </c>
      <c r="C16" s="81" t="s">
        <v>989</v>
      </c>
      <c r="D16" s="81"/>
      <c r="E16" s="81" t="s">
        <v>989</v>
      </c>
      <c r="F16" s="81" t="s">
        <v>988</v>
      </c>
      <c r="G16" s="81"/>
      <c r="H16" s="81"/>
      <c r="I16" s="81" t="s">
        <v>989</v>
      </c>
      <c r="J16" s="81" t="s">
        <v>990</v>
      </c>
      <c r="K16" s="80" t="s">
        <v>1027</v>
      </c>
      <c r="L16" s="80" t="s">
        <v>1028</v>
      </c>
    </row>
    <row r="17" customFormat="false" ht="15" hidden="false" customHeight="false" outlineLevel="0" collapsed="false">
      <c r="A17" s="80" t="s">
        <v>1029</v>
      </c>
      <c r="B17" s="81" t="s">
        <v>989</v>
      </c>
      <c r="C17" s="81" t="s">
        <v>989</v>
      </c>
      <c r="D17" s="81"/>
      <c r="E17" s="81"/>
      <c r="F17" s="81" t="s">
        <v>988</v>
      </c>
      <c r="G17" s="81"/>
      <c r="H17" s="81"/>
      <c r="I17" s="81"/>
      <c r="J17" s="81" t="s">
        <v>990</v>
      </c>
      <c r="K17" s="80" t="s">
        <v>1030</v>
      </c>
      <c r="L17" s="80" t="s">
        <v>1031</v>
      </c>
    </row>
    <row r="18" customFormat="false" ht="15" hidden="false" customHeight="false" outlineLevel="0" collapsed="false">
      <c r="A18" s="80" t="s">
        <v>1032</v>
      </c>
      <c r="B18" s="81" t="s">
        <v>989</v>
      </c>
      <c r="C18" s="81" t="s">
        <v>988</v>
      </c>
      <c r="D18" s="81" t="s">
        <v>989</v>
      </c>
      <c r="E18" s="81" t="s">
        <v>989</v>
      </c>
      <c r="F18" s="81"/>
      <c r="G18" s="81"/>
      <c r="H18" s="81"/>
      <c r="I18" s="81" t="s">
        <v>989</v>
      </c>
      <c r="J18" s="81" t="s">
        <v>990</v>
      </c>
      <c r="K18" s="80" t="s">
        <v>1033</v>
      </c>
      <c r="L18" s="80" t="s">
        <v>1034</v>
      </c>
    </row>
    <row r="19" customFormat="false" ht="15" hidden="false" customHeight="false" outlineLevel="0" collapsed="false">
      <c r="A19" s="80" t="s">
        <v>541</v>
      </c>
      <c r="B19" s="81" t="s">
        <v>989</v>
      </c>
      <c r="C19" s="81" t="s">
        <v>989</v>
      </c>
      <c r="D19" s="81" t="s">
        <v>989</v>
      </c>
      <c r="E19" s="81" t="s">
        <v>989</v>
      </c>
      <c r="F19" s="81" t="s">
        <v>989</v>
      </c>
      <c r="G19" s="81"/>
      <c r="H19" s="81" t="s">
        <v>988</v>
      </c>
      <c r="I19" s="81"/>
      <c r="J19" s="81" t="s">
        <v>990</v>
      </c>
      <c r="K19" s="80" t="s">
        <v>1035</v>
      </c>
      <c r="L19" s="80" t="s">
        <v>1036</v>
      </c>
    </row>
    <row r="20" customFormat="false" ht="15" hidden="false" customHeight="false" outlineLevel="0" collapsed="false">
      <c r="A20" s="80" t="s">
        <v>1037</v>
      </c>
      <c r="B20" s="81" t="s">
        <v>988</v>
      </c>
      <c r="C20" s="81" t="s">
        <v>989</v>
      </c>
      <c r="D20" s="81"/>
      <c r="E20" s="81" t="s">
        <v>989</v>
      </c>
      <c r="F20" s="81" t="s">
        <v>989</v>
      </c>
      <c r="G20" s="81"/>
      <c r="H20" s="81"/>
      <c r="I20" s="81" t="s">
        <v>989</v>
      </c>
      <c r="J20" s="81" t="s">
        <v>1038</v>
      </c>
      <c r="K20" s="80" t="s">
        <v>1039</v>
      </c>
      <c r="L20" s="80" t="s">
        <v>1040</v>
      </c>
    </row>
    <row r="22" customFormat="false" ht="15" hidden="false" customHeight="false" outlineLevel="0" collapsed="false">
      <c r="A22" s="4" t="s">
        <v>1041</v>
      </c>
      <c r="B22" s="8" t="s">
        <v>78</v>
      </c>
      <c r="C22" s="53" t="n">
        <f aca="false">COUNTIF(B5:B20,"P")</f>
        <v>7</v>
      </c>
    </row>
    <row r="23" customFormat="false" ht="15" hidden="false" customHeight="false" outlineLevel="0" collapsed="false">
      <c r="A23" s="4" t="s">
        <v>1042</v>
      </c>
      <c r="B23" s="8" t="s">
        <v>78</v>
      </c>
      <c r="C23" s="53" t="n">
        <f aca="false">COUNTIF(F5:F20,"P")</f>
        <v>5</v>
      </c>
    </row>
    <row r="25" customFormat="false" ht="15" hidden="false" customHeight="false" outlineLevel="0" collapsed="false">
      <c r="A25" s="10" t="s">
        <v>1043</v>
      </c>
    </row>
  </sheetData>
  <conditionalFormatting sqref="B5:I20">
    <cfRule type="cellIs" priority="2" operator="equal" aboveAverage="0" equalAverage="0" bottom="0" percent="0" rank="0" text="" dxfId="2">
      <formula>"P"</formula>
    </cfRule>
    <cfRule type="cellIs" priority="3" operator="equal" aboveAverage="0" equalAverage="0" bottom="0" percent="0" rank="0" text="" dxfId="1">
      <formula>"S"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6" min="4" style="0" width="10"/>
    <col collapsed="false" customWidth="true" hidden="false" outlineLevel="0" max="7" min="7" style="0" width="8"/>
    <col collapsed="false" customWidth="true" hidden="false" outlineLevel="0" max="8" min="8" style="0" width="18"/>
    <col collapsed="false" customWidth="true" hidden="false" outlineLevel="0" max="9" min="9" style="0" width="50"/>
  </cols>
  <sheetData>
    <row r="1" customFormat="false" ht="17.35" hidden="false" customHeight="false" outlineLevel="0" collapsed="false">
      <c r="A1" s="1" t="s">
        <v>1044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1045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29" t="s">
        <v>1046</v>
      </c>
      <c r="B4" s="29" t="s">
        <v>1047</v>
      </c>
      <c r="C4" s="29" t="s">
        <v>671</v>
      </c>
      <c r="D4" s="29" t="s">
        <v>1048</v>
      </c>
      <c r="E4" s="29" t="s">
        <v>1049</v>
      </c>
      <c r="F4" s="29" t="s">
        <v>1050</v>
      </c>
      <c r="G4" s="29" t="s">
        <v>1051</v>
      </c>
      <c r="H4" s="29" t="s">
        <v>472</v>
      </c>
      <c r="I4" s="29" t="s">
        <v>1052</v>
      </c>
    </row>
    <row r="5" customFormat="false" ht="15" hidden="false" customHeight="false" outlineLevel="0" collapsed="false">
      <c r="A5" s="6" t="s">
        <v>1053</v>
      </c>
      <c r="B5" s="7"/>
      <c r="C5" s="7"/>
      <c r="D5" s="7"/>
      <c r="E5" s="7"/>
      <c r="F5" s="7"/>
      <c r="G5" s="82" t="n">
        <f aca="false">MIN(G6:G8)</f>
        <v>2</v>
      </c>
      <c r="H5" s="83" t="str">
        <f aca="false">CHOOSE(G5+1,"CRITICAL GAP","DEVELOPMENT GAP","CONDITIONAL","READY")</f>
        <v>CONDITIONAL</v>
      </c>
      <c r="I5" s="84" t="str">
        <f aca="false">IF(G5&lt;=1,"Commission independent hydrology review; extend record via regional correlation; derive P90 from simulated series",IF(G5=2,"Complete independent hydrology review and agree P90 basis with lenders' technical adviser","No pre-close action required"))</f>
        <v>Complete independent hydrology review and agree P90 basis with lenders' technical adviser</v>
      </c>
      <c r="J5" s="7"/>
    </row>
    <row r="6" customFormat="false" ht="15" hidden="false" customHeight="false" outlineLevel="0" collapsed="false">
      <c r="A6" s="8" t="s">
        <v>1054</v>
      </c>
      <c r="B6" s="8" t="s">
        <v>1055</v>
      </c>
      <c r="C6" s="85" t="n">
        <f aca="false">03_HYDROLOGY!$C$18</f>
        <v>22</v>
      </c>
      <c r="D6" s="86" t="n">
        <v>25</v>
      </c>
      <c r="E6" s="86" t="n">
        <v>15</v>
      </c>
      <c r="F6" s="86" t="n">
        <v>8</v>
      </c>
      <c r="G6" s="47" t="n">
        <f aca="false">IF(C6&gt;=D6,3,IF(C6&gt;=E6,2,IF(C6&gt;=F6,1,0)))</f>
        <v>2</v>
      </c>
      <c r="H6" s="87" t="str">
        <f aca="false">CHOOSE(G6+1,"CRITICAL GAP","DEVELOPMENT GAP","CONDITIONAL","READY")</f>
        <v>CONDITIONAL</v>
      </c>
      <c r="I6" s="8" t="s">
        <v>1056</v>
      </c>
    </row>
    <row r="7" customFormat="false" ht="15" hidden="false" customHeight="false" outlineLevel="0" collapsed="false">
      <c r="A7" s="8" t="s">
        <v>1057</v>
      </c>
      <c r="B7" s="8" t="s">
        <v>1055</v>
      </c>
      <c r="C7" s="61" t="n">
        <f aca="false">03_HYDROLOGY!$C$40</f>
        <v>0.846208</v>
      </c>
      <c r="D7" s="88" t="n">
        <v>0.85</v>
      </c>
      <c r="E7" s="88" t="n">
        <v>0.78</v>
      </c>
      <c r="F7" s="88" t="n">
        <v>0.7</v>
      </c>
      <c r="G7" s="47" t="n">
        <f aca="false">IF(C7&gt;=D7,3,IF(C7&gt;=E7,2,IF(C7&gt;=F7,1,0)))</f>
        <v>2</v>
      </c>
      <c r="H7" s="87" t="str">
        <f aca="false">CHOOSE(G7+1,"CRITICAL GAP","DEVELOPMENT GAP","CONDITIONAL","READY")</f>
        <v>CONDITIONAL</v>
      </c>
      <c r="I7" s="8" t="s">
        <v>1056</v>
      </c>
    </row>
    <row r="8" customFormat="false" ht="15" hidden="false" customHeight="false" outlineLevel="0" collapsed="false">
      <c r="A8" s="8" t="s">
        <v>1058</v>
      </c>
      <c r="B8" s="8" t="s">
        <v>1055</v>
      </c>
      <c r="C8" s="85" t="n">
        <f aca="false">03_HYDROLOGY!$C$19</f>
        <v>2</v>
      </c>
      <c r="D8" s="86" t="n">
        <v>3</v>
      </c>
      <c r="E8" s="86" t="n">
        <v>2</v>
      </c>
      <c r="F8" s="86" t="n">
        <v>1</v>
      </c>
      <c r="G8" s="47" t="n">
        <f aca="false">IF(C8&gt;=D8,3,IF(C8&gt;=E8,2,IF(C8&gt;=F8,1,0)))</f>
        <v>2</v>
      </c>
      <c r="H8" s="87" t="str">
        <f aca="false">CHOOSE(G8+1,"CRITICAL GAP","DEVELOPMENT GAP","CONDITIONAL","READY")</f>
        <v>CONDITIONAL</v>
      </c>
      <c r="I8" s="8" t="s">
        <v>1056</v>
      </c>
    </row>
    <row r="9" customFormat="false" ht="15" hidden="false" customHeight="false" outlineLevel="0" collapsed="false">
      <c r="A9" s="6" t="s">
        <v>1059</v>
      </c>
      <c r="B9" s="7"/>
      <c r="C9" s="7"/>
      <c r="D9" s="7"/>
      <c r="E9" s="7"/>
      <c r="F9" s="7"/>
      <c r="G9" s="82" t="n">
        <f aca="false">MIN(G10:G11)</f>
        <v>2</v>
      </c>
      <c r="H9" s="83" t="str">
        <f aca="false">CHOOSE(G9+1,"CRITICAL GAP","DEVELOPMENT GAP","CONDITIONAL","READY")</f>
        <v>CONDITIONAL</v>
      </c>
      <c r="I9" s="84" t="str">
        <f aca="false">IF(G9&lt;=1,"Re-phase capacity or secure anchor (mining/export) offtake; update load forecast with utility",IF(G9=2,"Confirm demand absorption with utility dispatch study and anchor-load MoUs","No pre-close action required"))</f>
        <v>Confirm demand absorption with utility dispatch study and anchor-load MoUs</v>
      </c>
      <c r="J9" s="7"/>
    </row>
    <row r="10" customFormat="false" ht="15" hidden="false" customHeight="false" outlineLevel="0" collapsed="false">
      <c r="A10" s="8" t="s">
        <v>1060</v>
      </c>
      <c r="B10" s="8" t="s">
        <v>1055</v>
      </c>
      <c r="C10" s="61" t="n">
        <f aca="false">10_DEMAND!$C$37</f>
        <v>1</v>
      </c>
      <c r="D10" s="88" t="n">
        <v>1</v>
      </c>
      <c r="E10" s="88" t="n">
        <v>0.9</v>
      </c>
      <c r="F10" s="88" t="n">
        <v>0.7</v>
      </c>
      <c r="G10" s="47" t="n">
        <f aca="false">IF(C10&gt;=D10,3,IF(C10&gt;=E10,2,IF(C10&gt;=F10,1,0)))</f>
        <v>3</v>
      </c>
      <c r="H10" s="87" t="str">
        <f aca="false">CHOOSE(G10+1,"CRITICAL GAP","DEVELOPMENT GAP","CONDITIONAL","READY")</f>
        <v>READY</v>
      </c>
      <c r="I10" s="8" t="s">
        <v>1061</v>
      </c>
    </row>
    <row r="11" customFormat="false" ht="15" hidden="false" customHeight="false" outlineLevel="0" collapsed="false">
      <c r="A11" s="8" t="s">
        <v>1062</v>
      </c>
      <c r="B11" s="8" t="s">
        <v>1063</v>
      </c>
      <c r="C11" s="89" t="n">
        <f aca="false">09_GRID!$C$21</f>
        <v>0.19232789853173</v>
      </c>
      <c r="D11" s="78" t="n">
        <v>0.15</v>
      </c>
      <c r="E11" s="78" t="n">
        <v>0.25</v>
      </c>
      <c r="F11" s="78" t="n">
        <v>0.35</v>
      </c>
      <c r="G11" s="47" t="n">
        <f aca="false">IF(C11&lt;=D11,3,IF(C11&lt;=E11,2,IF(C11&lt;=F11,1,0)))</f>
        <v>2</v>
      </c>
      <c r="H11" s="87" t="str">
        <f aca="false">CHOOSE(G11+1,"CRITICAL GAP","DEVELOPMENT GAP","CONDITIONAL","READY")</f>
        <v>CONDITIONAL</v>
      </c>
      <c r="I11" s="8" t="s">
        <v>1064</v>
      </c>
    </row>
    <row r="12" customFormat="false" ht="15" hidden="false" customHeight="false" outlineLevel="0" collapsed="false">
      <c r="A12" s="6" t="s">
        <v>1065</v>
      </c>
      <c r="B12" s="7"/>
      <c r="C12" s="7"/>
      <c r="D12" s="7"/>
      <c r="E12" s="7"/>
      <c r="F12" s="7"/>
      <c r="G12" s="82" t="n">
        <f aca="false">MIN(G13:G15)</f>
        <v>2</v>
      </c>
      <c r="H12" s="83" t="str">
        <f aca="false">CHOOSE(G12+1,"CRITICAL GAP","DEVELOPMENT GAP","CONDITIONAL","READY")</f>
        <v>CONDITIONAL</v>
      </c>
      <c r="I12" s="84" t="str">
        <f aca="false">IF(G12&lt;=1,"Value-engineer layout / re-optimise installed capacity; obtain EPC price discovery",IF(G12=2,"Finalise bankable feasibility study and lenders' technical adviser review","No pre-close action required"))</f>
        <v>Finalise bankable feasibility study and lenders' technical adviser review</v>
      </c>
      <c r="J12" s="7"/>
    </row>
    <row r="13" customFormat="false" ht="15" hidden="false" customHeight="false" outlineLevel="0" collapsed="false">
      <c r="A13" s="8" t="s">
        <v>1066</v>
      </c>
      <c r="B13" s="8" t="s">
        <v>1063</v>
      </c>
      <c r="C13" s="61" t="n">
        <f aca="false">05_PLANT_CAPEX!$C$19</f>
        <v>1.02425447316103</v>
      </c>
      <c r="D13" s="88" t="n">
        <v>1</v>
      </c>
      <c r="E13" s="88" t="n">
        <v>1.25</v>
      </c>
      <c r="F13" s="88" t="n">
        <v>1.5</v>
      </c>
      <c r="G13" s="47" t="n">
        <f aca="false">IF(C13&lt;=D13,3,IF(C13&lt;=E13,2,IF(C13&lt;=F13,1,0)))</f>
        <v>2</v>
      </c>
      <c r="H13" s="87" t="str">
        <f aca="false">CHOOSE(G13+1,"CRITICAL GAP","DEVELOPMENT GAP","CONDITIONAL","READY")</f>
        <v>CONDITIONAL</v>
      </c>
      <c r="I13" s="8" t="s">
        <v>1067</v>
      </c>
    </row>
    <row r="14" customFormat="false" ht="15" hidden="false" customHeight="false" outlineLevel="0" collapsed="false">
      <c r="A14" s="8" t="s">
        <v>1068</v>
      </c>
      <c r="B14" s="8" t="s">
        <v>1055</v>
      </c>
      <c r="C14" s="89" t="n">
        <f aca="false">03_HYDROLOGY!$C$36</f>
        <v>0.475420041317705</v>
      </c>
      <c r="D14" s="78" t="n">
        <v>0.45</v>
      </c>
      <c r="E14" s="78" t="n">
        <v>0.35</v>
      </c>
      <c r="F14" s="78" t="n">
        <v>0.25</v>
      </c>
      <c r="G14" s="47" t="n">
        <f aca="false">IF(C14&gt;=D14,3,IF(C14&gt;=E14,2,IF(C14&gt;=F14,1,0)))</f>
        <v>3</v>
      </c>
      <c r="H14" s="87" t="str">
        <f aca="false">CHOOSE(G14+1,"CRITICAL GAP","DEVELOPMENT GAP","CONDITIONAL","READY")</f>
        <v>READY</v>
      </c>
      <c r="I14" s="8" t="s">
        <v>1056</v>
      </c>
    </row>
    <row r="15" customFormat="false" ht="15" hidden="false" customHeight="false" outlineLevel="0" collapsed="false">
      <c r="A15" s="8" t="s">
        <v>1069</v>
      </c>
      <c r="B15" s="8" t="s">
        <v>1055</v>
      </c>
      <c r="C15" s="85" t="n">
        <f aca="false">05_PLANT_CAPEX!$C$16</f>
        <v>2</v>
      </c>
      <c r="D15" s="86" t="n">
        <v>3</v>
      </c>
      <c r="E15" s="86" t="n">
        <v>2</v>
      </c>
      <c r="F15" s="86" t="n">
        <v>1</v>
      </c>
      <c r="G15" s="47" t="n">
        <f aca="false">IF(C15&gt;=D15,3,IF(C15&gt;=E15,2,IF(C15&gt;=F15,1,0)))</f>
        <v>2</v>
      </c>
      <c r="H15" s="87" t="str">
        <f aca="false">CHOOSE(G15+1,"CRITICAL GAP","DEVELOPMENT GAP","CONDITIONAL","READY")</f>
        <v>CONDITIONAL</v>
      </c>
      <c r="I15" s="8" t="s">
        <v>1067</v>
      </c>
    </row>
    <row r="16" customFormat="false" ht="15" hidden="false" customHeight="false" outlineLevel="0" collapsed="false">
      <c r="A16" s="6" t="s">
        <v>1070</v>
      </c>
      <c r="B16" s="7"/>
      <c r="C16" s="7"/>
      <c r="D16" s="7"/>
      <c r="E16" s="7"/>
      <c r="F16" s="7"/>
      <c r="G16" s="82" t="n">
        <f aca="false">MIN(G17:G19)</f>
        <v>1</v>
      </c>
      <c r="H16" s="83" t="str">
        <f aca="false">CHOOSE(G16+1,"CRITICAL GAP","DEVELOPMENT GAP","CONDITIONAL","READY")</f>
        <v>DEVELOPMENT GAP</v>
      </c>
      <c r="I16" s="84" t="str">
        <f aca="false">IF(G16&lt;=1,"Secure financing &amp; EPC for evacuation line; align transmission COD with plant COD; agree deemed-energy allocation",IF(G16=2,"Lock transmission financing and interface agreement (dates, LDs, deemed energy)","No pre-close action required"))</f>
        <v>Secure financing &amp; EPC for evacuation line; align transmission COD with plant COD; agree deemed-energy allocation</v>
      </c>
      <c r="J16" s="7"/>
    </row>
    <row r="17" customFormat="false" ht="15" hidden="false" customHeight="false" outlineLevel="0" collapsed="false">
      <c r="A17" s="8" t="s">
        <v>1071</v>
      </c>
      <c r="B17" s="8" t="s">
        <v>1055</v>
      </c>
      <c r="C17" s="49" t="n">
        <f aca="false">09_GRID!$C$20/02_PROJECT_INPUTS!$C$15</f>
        <v>1.625</v>
      </c>
      <c r="D17" s="88" t="n">
        <v>1</v>
      </c>
      <c r="E17" s="88" t="n">
        <v>0.8</v>
      </c>
      <c r="F17" s="88" t="n">
        <v>0.5</v>
      </c>
      <c r="G17" s="47" t="n">
        <f aca="false">IF(C17&gt;=D17,3,IF(C17&gt;=E17,2,IF(C17&gt;=F17,1,0)))</f>
        <v>3</v>
      </c>
      <c r="H17" s="87" t="str">
        <f aca="false">CHOOSE(G17+1,"CRITICAL GAP","DEVELOPMENT GAP","CONDITIONAL","READY")</f>
        <v>READY</v>
      </c>
      <c r="I17" s="8" t="s">
        <v>1064</v>
      </c>
    </row>
    <row r="18" customFormat="false" ht="15" hidden="false" customHeight="false" outlineLevel="0" collapsed="false">
      <c r="A18" s="8" t="s">
        <v>1072</v>
      </c>
      <c r="B18" s="8" t="s">
        <v>1063</v>
      </c>
      <c r="C18" s="85" t="n">
        <f aca="false">08_TRANSMISSION!$C$26</f>
        <v>0</v>
      </c>
      <c r="D18" s="86" t="n">
        <v>0</v>
      </c>
      <c r="E18" s="86" t="n">
        <v>1</v>
      </c>
      <c r="F18" s="86" t="n">
        <v>2</v>
      </c>
      <c r="G18" s="47" t="n">
        <f aca="false">IF(C18&lt;=D18,3,IF(C18&lt;=E18,2,IF(C18&lt;=F18,1,0)))</f>
        <v>3</v>
      </c>
      <c r="H18" s="87" t="str">
        <f aca="false">CHOOSE(G18+1,"CRITICAL GAP","DEVELOPMENT GAP","CONDITIONAL","READY")</f>
        <v>READY</v>
      </c>
      <c r="I18" s="8" t="s">
        <v>1073</v>
      </c>
    </row>
    <row r="19" customFormat="false" ht="15" hidden="false" customHeight="false" outlineLevel="0" collapsed="false">
      <c r="A19" s="8" t="s">
        <v>1074</v>
      </c>
      <c r="B19" s="8" t="s">
        <v>1055</v>
      </c>
      <c r="C19" s="85" t="n">
        <f aca="false">08_TRANSMISSION!$C$21</f>
        <v>0</v>
      </c>
      <c r="D19" s="86" t="n">
        <v>1</v>
      </c>
      <c r="E19" s="86" t="n">
        <v>1</v>
      </c>
      <c r="F19" s="86" t="n">
        <v>0</v>
      </c>
      <c r="G19" s="47" t="n">
        <f aca="false">IF(C19&gt;=D19,3,IF(C19&gt;=E19,2,IF(C19&gt;=F19,1,0)))</f>
        <v>1</v>
      </c>
      <c r="H19" s="87" t="str">
        <f aca="false">CHOOSE(G19+1,"CRITICAL GAP","DEVELOPMENT GAP","CONDITIONAL","READY")</f>
        <v>DEVELOPMENT GAP</v>
      </c>
      <c r="I19" s="8" t="s">
        <v>1073</v>
      </c>
    </row>
    <row r="20" customFormat="false" ht="15" hidden="false" customHeight="false" outlineLevel="0" collapsed="false">
      <c r="A20" s="6" t="s">
        <v>1075</v>
      </c>
      <c r="B20" s="7"/>
      <c r="C20" s="7"/>
      <c r="D20" s="7"/>
      <c r="E20" s="7"/>
      <c r="F20" s="7"/>
      <c r="G20" s="82" t="n">
        <f aca="false">MIN(G21:G23)</f>
        <v>1</v>
      </c>
      <c r="H20" s="83" t="str">
        <f aca="false">CHOOSE(G20+1,"CRITICAL GAP","DEVELOPMENT GAP","CONDITIONAL","READY")</f>
        <v>DEVELOPMENT GAP</v>
      </c>
      <c r="I20" s="84" t="str">
        <f aca="false">IF(G20&lt;=1,"Agree utility recovery plan (tariff path, loss reduction), escrow of receivables, liquidity facility / LC sizing",IF(G20=2,"Size LC to ≥6 months, ring-fence collections, monitor utility KPIs","No pre-close action required"))</f>
        <v>Agree utility recovery plan (tariff path, loss reduction), escrow of receivables, liquidity facility / LC sizing</v>
      </c>
      <c r="J20" s="7"/>
    </row>
    <row r="21" customFormat="false" ht="15" hidden="false" customHeight="false" outlineLevel="0" collapsed="false">
      <c r="A21" s="8" t="s">
        <v>1076</v>
      </c>
      <c r="B21" s="8" t="s">
        <v>1055</v>
      </c>
      <c r="C21" s="61" t="n">
        <f aca="false">12_UTILITY!$C$45</f>
        <v>2.11200813141894</v>
      </c>
      <c r="D21" s="88" t="n">
        <v>1.2</v>
      </c>
      <c r="E21" s="88" t="n">
        <v>1</v>
      </c>
      <c r="F21" s="88" t="n">
        <v>0.8</v>
      </c>
      <c r="G21" s="47" t="n">
        <f aca="false">IF(C21&gt;=D21,3,IF(C21&gt;=E21,2,IF(C21&gt;=F21,1,0)))</f>
        <v>3</v>
      </c>
      <c r="H21" s="87" t="str">
        <f aca="false">CHOOSE(G21+1,"CRITICAL GAP","DEVELOPMENT GAP","CONDITIONAL","READY")</f>
        <v>READY</v>
      </c>
      <c r="I21" s="8" t="s">
        <v>1077</v>
      </c>
    </row>
    <row r="22" customFormat="false" ht="15" hidden="false" customHeight="false" outlineLevel="0" collapsed="false">
      <c r="A22" s="8" t="s">
        <v>1078</v>
      </c>
      <c r="B22" s="8" t="s">
        <v>1055</v>
      </c>
      <c r="C22" s="42" t="n">
        <f aca="false">12_UTILITY!$C$13+27_SCENARIOS!$C$31</f>
        <v>0.88</v>
      </c>
      <c r="D22" s="78" t="n">
        <v>0.95</v>
      </c>
      <c r="E22" s="78" t="n">
        <v>0.9</v>
      </c>
      <c r="F22" s="78" t="n">
        <v>0.8</v>
      </c>
      <c r="G22" s="47" t="n">
        <f aca="false">IF(C22&gt;=D22,3,IF(C22&gt;=E22,2,IF(C22&gt;=F22,1,0)))</f>
        <v>1</v>
      </c>
      <c r="H22" s="87" t="str">
        <f aca="false">CHOOSE(G22+1,"CRITICAL GAP","DEVELOPMENT GAP","CONDITIONAL","READY")</f>
        <v>DEVELOPMENT GAP</v>
      </c>
      <c r="I22" s="8" t="s">
        <v>1077</v>
      </c>
    </row>
    <row r="23" customFormat="false" ht="15" hidden="false" customHeight="false" outlineLevel="0" collapsed="false">
      <c r="A23" s="8" t="s">
        <v>1079</v>
      </c>
      <c r="B23" s="8" t="s">
        <v>1055</v>
      </c>
      <c r="C23" s="85" t="n">
        <f aca="false">11_OFFTAKER!$C$8</f>
        <v>4</v>
      </c>
      <c r="D23" s="86" t="n">
        <v>6</v>
      </c>
      <c r="E23" s="86" t="n">
        <v>3</v>
      </c>
      <c r="F23" s="86" t="n">
        <v>1</v>
      </c>
      <c r="G23" s="47" t="n">
        <f aca="false">IF(C23&gt;=D23,3,IF(C23&gt;=E23,2,IF(C23&gt;=F23,1,0)))</f>
        <v>2</v>
      </c>
      <c r="H23" s="87" t="str">
        <f aca="false">CHOOSE(G23+1,"CRITICAL GAP","DEVELOPMENT GAP","CONDITIONAL","READY")</f>
        <v>CONDITIONAL</v>
      </c>
      <c r="I23" s="8" t="s">
        <v>1080</v>
      </c>
    </row>
    <row r="24" customFormat="false" ht="15" hidden="false" customHeight="false" outlineLevel="0" collapsed="false">
      <c r="A24" s="6" t="s">
        <v>1081</v>
      </c>
      <c r="B24" s="7"/>
      <c r="C24" s="7"/>
      <c r="D24" s="7"/>
      <c r="E24" s="7"/>
      <c r="F24" s="7"/>
      <c r="G24" s="82" t="n">
        <f aca="false">MIN(G25:G27)</f>
        <v>1</v>
      </c>
      <c r="H24" s="83" t="str">
        <f aca="false">CHOOSE(G24+1,"CRITICAL GAP","DEVELOPMENT GAP","CONDITIONAL","READY")</f>
        <v>DEVELOPMENT GAP</v>
      </c>
      <c r="I24" s="84" t="str">
        <f aca="false">IF(G24&lt;=1,"Close critical legal/regulatory gaps (tariff pass-through, land, FX) before PPA signature",IF(G24=2,"Resolve remaining GAP items via implementation agreement / regulatory decisions","No pre-close action required"))</f>
        <v>Close critical legal/regulatory gaps (tariff pass-through, land, FX) before PPA signature</v>
      </c>
      <c r="J24" s="7"/>
    </row>
    <row r="25" customFormat="false" ht="15" hidden="false" customHeight="false" outlineLevel="0" collapsed="false">
      <c r="A25" s="8" t="s">
        <v>1082</v>
      </c>
      <c r="B25" s="8" t="s">
        <v>1063</v>
      </c>
      <c r="C25" s="85" t="n">
        <f aca="false">13_REGULATION!$C$22</f>
        <v>0</v>
      </c>
      <c r="D25" s="86" t="n">
        <v>0</v>
      </c>
      <c r="E25" s="86" t="n">
        <v>0</v>
      </c>
      <c r="F25" s="86" t="n">
        <v>0</v>
      </c>
      <c r="G25" s="47" t="n">
        <f aca="false">IF(C25&lt;=D25,3,IF(C25&lt;=E25,2,IF(C25&lt;=F25,1,0)))</f>
        <v>3</v>
      </c>
      <c r="H25" s="87" t="str">
        <f aca="false">CHOOSE(G25+1,"CRITICAL GAP","DEVELOPMENT GAP","CONDITIONAL","READY")</f>
        <v>READY</v>
      </c>
      <c r="I25" s="8" t="s">
        <v>1083</v>
      </c>
    </row>
    <row r="26" customFormat="false" ht="15" hidden="false" customHeight="false" outlineLevel="0" collapsed="false">
      <c r="A26" s="8" t="s">
        <v>1084</v>
      </c>
      <c r="B26" s="8" t="s">
        <v>1063</v>
      </c>
      <c r="C26" s="85" t="n">
        <f aca="false">13_REGULATION!$C$23</f>
        <v>4</v>
      </c>
      <c r="D26" s="86" t="n">
        <v>1</v>
      </c>
      <c r="E26" s="86" t="n">
        <v>3</v>
      </c>
      <c r="F26" s="86" t="n">
        <v>5</v>
      </c>
      <c r="G26" s="47" t="n">
        <f aca="false">IF(C26&lt;=D26,3,IF(C26&lt;=E26,2,IF(C26&lt;=F26,1,0)))</f>
        <v>1</v>
      </c>
      <c r="H26" s="87" t="str">
        <f aca="false">CHOOSE(G26+1,"CRITICAL GAP","DEVELOPMENT GAP","CONDITIONAL","READY")</f>
        <v>DEVELOPMENT GAP</v>
      </c>
      <c r="I26" s="8" t="s">
        <v>1083</v>
      </c>
    </row>
    <row r="27" customFormat="false" ht="15" hidden="false" customHeight="false" outlineLevel="0" collapsed="false">
      <c r="A27" s="8" t="s">
        <v>1085</v>
      </c>
      <c r="B27" s="8" t="s">
        <v>1055</v>
      </c>
      <c r="C27" s="89" t="n">
        <f aca="false">16_REVENUE!$C$29</f>
        <v>0.712718032223206</v>
      </c>
      <c r="D27" s="78" t="n">
        <v>0.6</v>
      </c>
      <c r="E27" s="78" t="n">
        <v>0.4</v>
      </c>
      <c r="F27" s="78" t="n">
        <v>0.2</v>
      </c>
      <c r="G27" s="47" t="n">
        <f aca="false">IF(C27&gt;=D27,3,IF(C27&gt;=E27,2,IF(C27&gt;=F27,1,0)))</f>
        <v>3</v>
      </c>
      <c r="H27" s="87" t="str">
        <f aca="false">CHOOSE(G27+1,"CRITICAL GAP","DEVELOPMENT GAP","CONDITIONAL","READY")</f>
        <v>READY</v>
      </c>
      <c r="I27" s="8" t="s">
        <v>1086</v>
      </c>
    </row>
    <row r="28" customFormat="false" ht="15" hidden="false" customHeight="false" outlineLevel="0" collapsed="false">
      <c r="A28" s="6" t="s">
        <v>1087</v>
      </c>
      <c r="B28" s="7"/>
      <c r="C28" s="7"/>
      <c r="D28" s="7"/>
      <c r="E28" s="7"/>
      <c r="F28" s="7"/>
      <c r="G28" s="82" t="n">
        <f aca="false">MIN(G29:G31)</f>
        <v>3</v>
      </c>
      <c r="H28" s="83" t="str">
        <f aca="false">CHOOSE(G28+1,"CRITICAL GAP","DEVELOPMENT GAP","CONDITIONAL","READY")</f>
        <v>READY</v>
      </c>
      <c r="I28" s="84" t="str">
        <f aca="false">IF(G28&lt;=1,"Restructure financing: more concessional debt, longer tenor, grant/VGF, or tariff adjustment to close gap",IF(G28=2,"Lock financing terms; run lender stress cases; agree DSCR covenants","No pre-close action required"))</f>
        <v>No pre-close action required</v>
      </c>
      <c r="J28" s="7"/>
    </row>
    <row r="29" customFormat="false" ht="15" hidden="false" customHeight="false" outlineLevel="0" collapsed="false">
      <c r="A29" s="8" t="s">
        <v>1088</v>
      </c>
      <c r="B29" s="8" t="s">
        <v>1055</v>
      </c>
      <c r="C29" s="61" t="n">
        <f aca="false">17_PROJECT_FINANCE!$C$36</f>
        <v>1.64011829786849</v>
      </c>
      <c r="D29" s="61" t="n">
        <f aca="false">17A_STRUCTURES!$C$22</f>
        <v>1.3</v>
      </c>
      <c r="E29" s="61" t="n">
        <f aca="false">17A_STRUCTURES!$C$25</f>
        <v>1.1</v>
      </c>
      <c r="F29" s="88" t="n">
        <v>1</v>
      </c>
      <c r="G29" s="47" t="n">
        <f aca="false">IF(C29&gt;=D29,3,IF(C29&gt;=E29,2,IF(C29&gt;=F29,1,0)))</f>
        <v>3</v>
      </c>
      <c r="H29" s="87" t="str">
        <f aca="false">CHOOSE(G29+1,"CRITICAL GAP","DEVELOPMENT GAP","CONDITIONAL","READY")</f>
        <v>READY</v>
      </c>
      <c r="I29" s="8" t="s">
        <v>1089</v>
      </c>
    </row>
    <row r="30" customFormat="false" ht="15" hidden="false" customHeight="false" outlineLevel="0" collapsed="false">
      <c r="A30" s="8" t="s">
        <v>1090</v>
      </c>
      <c r="B30" s="8" t="s">
        <v>1063</v>
      </c>
      <c r="C30" s="89" t="n">
        <f aca="false">17_PROJECT_FINANCE!$C$28</f>
        <v>0</v>
      </c>
      <c r="D30" s="78" t="n">
        <v>0</v>
      </c>
      <c r="E30" s="78" t="n">
        <v>0.05</v>
      </c>
      <c r="F30" s="78" t="n">
        <v>0.15</v>
      </c>
      <c r="G30" s="47" t="n">
        <f aca="false">IF(C30&lt;=D30,3,IF(C30&lt;=E30,2,IF(C30&lt;=F30,1,0)))</f>
        <v>3</v>
      </c>
      <c r="H30" s="87" t="str">
        <f aca="false">CHOOSE(G30+1,"CRITICAL GAP","DEVELOPMENT GAP","CONDITIONAL","READY")</f>
        <v>READY</v>
      </c>
      <c r="I30" s="8" t="s">
        <v>1091</v>
      </c>
    </row>
    <row r="31" customFormat="false" ht="15" hidden="false" customHeight="false" outlineLevel="0" collapsed="false">
      <c r="A31" s="8" t="s">
        <v>1092</v>
      </c>
      <c r="B31" s="8" t="s">
        <v>1055</v>
      </c>
      <c r="C31" s="42" t="n">
        <f aca="false">IF(ISNUMBER(17_PROJECT_FINANCE!$C$32),17_PROJECT_FINANCE!$C$32,IF(17_PROJECT_FINANCE!$C$19&gt;0,-1,17A_STRUCTURES!$C$23))</f>
        <v>0.163458350947316</v>
      </c>
      <c r="D31" s="89" t="n">
        <f aca="false">17A_STRUCTURES!$C$23</f>
        <v>0.15</v>
      </c>
      <c r="E31" s="42" t="n">
        <f aca="false">17A_STRUCTURES!$C$23-0.02</f>
        <v>0.13</v>
      </c>
      <c r="F31" s="42" t="n">
        <f aca="false">17A_STRUCTURES!$C$23-0.05</f>
        <v>0.1</v>
      </c>
      <c r="G31" s="47" t="n">
        <f aca="false">IF(C31&gt;=D31,3,IF(C31&gt;=E31,2,IF(C31&gt;=F31,1,0)))</f>
        <v>3</v>
      </c>
      <c r="H31" s="87" t="str">
        <f aca="false">CHOOSE(G31+1,"CRITICAL GAP","DEVELOPMENT GAP","CONDITIONAL","READY")</f>
        <v>READY</v>
      </c>
      <c r="I31" s="8" t="s">
        <v>1093</v>
      </c>
    </row>
    <row r="32" customFormat="false" ht="15" hidden="false" customHeight="false" outlineLevel="0" collapsed="false">
      <c r="A32" s="6" t="s">
        <v>1094</v>
      </c>
      <c r="B32" s="7"/>
      <c r="C32" s="7"/>
      <c r="D32" s="7"/>
      <c r="E32" s="7"/>
      <c r="F32" s="7"/>
      <c r="G32" s="82" t="n">
        <f aca="false">MIN(G33:G37)</f>
        <v>1</v>
      </c>
      <c r="H32" s="83" t="str">
        <f aca="false">CHOOSE(G32+1,"CRITICAL GAP","DEVELOPMENT GAP","CONDITIONAL","READY")</f>
        <v>DEVELOPMENT GAP</v>
      </c>
      <c r="I32" s="84" t="str">
        <f aca="false">IF(G32&lt;=1,"Cap guarantees, replace sovereign guarantees with liquidity instruments, record commitments in fiscal risk statement",IF(G32=2,"Obtain Ministry of Finance fiscal-risk sign-off and disclose commitments","No pre-close action required"))</f>
        <v>Cap guarantees, replace sovereign guarantees with liquidity instruments, record commitments in fiscal risk statement</v>
      </c>
      <c r="J32" s="7"/>
    </row>
    <row r="33" customFormat="false" ht="15" hidden="false" customHeight="false" outlineLevel="0" collapsed="false">
      <c r="A33" s="8" t="s">
        <v>1095</v>
      </c>
      <c r="B33" s="8" t="s">
        <v>1063</v>
      </c>
      <c r="C33" s="89" t="n">
        <f aca="false">26_DEBT_SUSTAINABILITY!$C$32</f>
        <v>0.0181400646842536</v>
      </c>
      <c r="D33" s="78" t="n">
        <v>0.005</v>
      </c>
      <c r="E33" s="78" t="n">
        <v>0.01</v>
      </c>
      <c r="F33" s="78" t="n">
        <v>0.02</v>
      </c>
      <c r="G33" s="47" t="n">
        <f aca="false">IF(C33&lt;=D33,3,IF(C33&lt;=E33,2,IF(C33&lt;=F33,1,0)))</f>
        <v>1</v>
      </c>
      <c r="H33" s="87" t="str">
        <f aca="false">CHOOSE(G33+1,"CRITICAL GAP","DEVELOPMENT GAP","CONDITIONAL","READY")</f>
        <v>DEVELOPMENT GAP</v>
      </c>
      <c r="I33" s="8" t="s">
        <v>1096</v>
      </c>
    </row>
    <row r="34" customFormat="false" ht="15" hidden="false" customHeight="false" outlineLevel="0" collapsed="false">
      <c r="A34" s="8" t="s">
        <v>1097</v>
      </c>
      <c r="B34" s="8" t="s">
        <v>1063</v>
      </c>
      <c r="C34" s="89" t="n">
        <f aca="false">26_DEBT_SUSTAINABILITY!$C$31</f>
        <v>0.0273133499640697</v>
      </c>
      <c r="D34" s="78" t="n">
        <v>0.01</v>
      </c>
      <c r="E34" s="78" t="n">
        <v>0.02</v>
      </c>
      <c r="F34" s="78" t="n">
        <v>0.04</v>
      </c>
      <c r="G34" s="47" t="n">
        <f aca="false">IF(C34&lt;=D34,3,IF(C34&lt;=E34,2,IF(C34&lt;=F34,1,0)))</f>
        <v>1</v>
      </c>
      <c r="H34" s="87" t="str">
        <f aca="false">CHOOSE(G34+1,"CRITICAL GAP","DEVELOPMENT GAP","CONDITIONAL","READY")</f>
        <v>DEVELOPMENT GAP</v>
      </c>
      <c r="I34" s="8" t="s">
        <v>1098</v>
      </c>
    </row>
    <row r="35" customFormat="false" ht="15" hidden="false" customHeight="false" outlineLevel="0" collapsed="false">
      <c r="A35" s="8" t="s">
        <v>1099</v>
      </c>
      <c r="B35" s="8" t="s">
        <v>1063</v>
      </c>
      <c r="C35" s="89" t="n">
        <f aca="false">26_DEBT_SUSTAINABILITY!$C$30</f>
        <v>0.0091402248432385</v>
      </c>
      <c r="D35" s="78" t="n">
        <v>0.005</v>
      </c>
      <c r="E35" s="78" t="n">
        <v>0.01</v>
      </c>
      <c r="F35" s="78" t="n">
        <v>0.02</v>
      </c>
      <c r="G35" s="47" t="n">
        <f aca="false">IF(C35&lt;=D35,3,IF(C35&lt;=E35,2,IF(C35&lt;=F35,1,0)))</f>
        <v>2</v>
      </c>
      <c r="H35" s="87" t="str">
        <f aca="false">CHOOSE(G35+1,"CRITICAL GAP","DEVELOPMENT GAP","CONDITIONAL","READY")</f>
        <v>CONDITIONAL</v>
      </c>
      <c r="I35" s="8" t="s">
        <v>1096</v>
      </c>
    </row>
    <row r="36" customFormat="false" ht="15" hidden="false" customHeight="false" outlineLevel="0" collapsed="false">
      <c r="A36" s="8" t="s">
        <v>1100</v>
      </c>
      <c r="B36" s="8" t="s">
        <v>1055</v>
      </c>
      <c r="C36" s="42" t="n">
        <f aca="false">25_FISCAL_IMPACT!$C$21/(26_DEBT_SUSTAINABILITY!$C$7*1000)</f>
        <v>-0.00311927606240537</v>
      </c>
      <c r="D36" s="78" t="n">
        <v>0</v>
      </c>
      <c r="E36" s="78" t="n">
        <v>-0.005</v>
      </c>
      <c r="F36" s="78" t="n">
        <v>-0.02</v>
      </c>
      <c r="G36" s="47" t="n">
        <f aca="false">IF(C36&gt;=D36,3,IF(C36&gt;=E36,2,IF(C36&gt;=F36,1,0)))</f>
        <v>2</v>
      </c>
      <c r="H36" s="87" t="str">
        <f aca="false">CHOOSE(G36+1,"CRITICAL GAP","DEVELOPMENT GAP","CONDITIONAL","READY")</f>
        <v>CONDITIONAL</v>
      </c>
      <c r="I36" s="8" t="s">
        <v>1101</v>
      </c>
    </row>
    <row r="37" customFormat="false" ht="15" hidden="false" customHeight="false" outlineLevel="0" collapsed="false">
      <c r="A37" s="8" t="s">
        <v>1102</v>
      </c>
      <c r="B37" s="8" t="s">
        <v>1063</v>
      </c>
      <c r="C37" s="85" t="n">
        <f aca="false">26_DEBT_SUSTAINABILITY!$C$14</f>
        <v>2</v>
      </c>
      <c r="D37" s="86" t="n">
        <v>1</v>
      </c>
      <c r="E37" s="86" t="n">
        <v>2</v>
      </c>
      <c r="F37" s="86" t="n">
        <v>3</v>
      </c>
      <c r="G37" s="47" t="n">
        <f aca="false">IF(C37&lt;=D37,3,IF(C37&lt;=E37,2,IF(C37&lt;=F37,1,0)))</f>
        <v>2</v>
      </c>
      <c r="H37" s="87" t="str">
        <f aca="false">CHOOSE(G37+1,"CRITICAL GAP","DEVELOPMENT GAP","CONDITIONAL","READY")</f>
        <v>CONDITIONAL</v>
      </c>
      <c r="I37" s="8" t="s">
        <v>1096</v>
      </c>
    </row>
    <row r="38" customFormat="false" ht="15" hidden="false" customHeight="false" outlineLevel="0" collapsed="false">
      <c r="A38" s="6" t="s">
        <v>1103</v>
      </c>
      <c r="B38" s="7"/>
      <c r="C38" s="7"/>
      <c r="D38" s="7"/>
      <c r="E38" s="7"/>
      <c r="F38" s="7"/>
      <c r="G38" s="82" t="n">
        <f aca="false">MIN(G39:G41)</f>
        <v>2</v>
      </c>
      <c r="H38" s="83" t="str">
        <f aca="false">CHOOSE(G38+1,"CRITICAL GAP","DEVELOPMENT GAP","CONDITIONAL","READY")</f>
        <v>CONDITIONAL</v>
      </c>
      <c r="I38" s="84" t="str">
        <f aca="false">IF(G38&lt;=1,"Upgrade ESIA/RAP to lender standards; independent E&amp;S review; riparian notification",IF(G38=2,"Complete RAP implementation milestones before financial close","No pre-close action required"))</f>
        <v>Complete RAP implementation milestones before financial close</v>
      </c>
      <c r="J38" s="7"/>
    </row>
    <row r="39" customFormat="false" ht="15" hidden="false" customHeight="false" outlineLevel="0" collapsed="false">
      <c r="A39" s="8" t="s">
        <v>1104</v>
      </c>
      <c r="B39" s="8" t="s">
        <v>1055</v>
      </c>
      <c r="C39" s="85" t="n">
        <f aca="false">13_REGULATION!$C$29</f>
        <v>2</v>
      </c>
      <c r="D39" s="86" t="n">
        <v>3</v>
      </c>
      <c r="E39" s="86" t="n">
        <v>2</v>
      </c>
      <c r="F39" s="86" t="n">
        <v>1</v>
      </c>
      <c r="G39" s="47" t="n">
        <f aca="false">IF(C39&gt;=D39,3,IF(C39&gt;=E39,2,IF(C39&gt;=F39,1,0)))</f>
        <v>2</v>
      </c>
      <c r="H39" s="87" t="str">
        <f aca="false">CHOOSE(G39+1,"CRITICAL GAP","DEVELOPMENT GAP","CONDITIONAL","READY")</f>
        <v>CONDITIONAL</v>
      </c>
      <c r="I39" s="8" t="s">
        <v>1083</v>
      </c>
    </row>
    <row r="40" customFormat="false" ht="15" hidden="false" customHeight="false" outlineLevel="0" collapsed="false">
      <c r="A40" s="8" t="s">
        <v>1105</v>
      </c>
      <c r="B40" s="8" t="s">
        <v>1055</v>
      </c>
      <c r="C40" s="85" t="n">
        <f aca="false">13_REGULATION!$C$30</f>
        <v>2</v>
      </c>
      <c r="D40" s="86" t="n">
        <v>3</v>
      </c>
      <c r="E40" s="86" t="n">
        <v>2</v>
      </c>
      <c r="F40" s="86" t="n">
        <v>1</v>
      </c>
      <c r="G40" s="47" t="n">
        <f aca="false">IF(C40&gt;=D40,3,IF(C40&gt;=E40,2,IF(C40&gt;=F40,1,0)))</f>
        <v>2</v>
      </c>
      <c r="H40" s="87" t="str">
        <f aca="false">CHOOSE(G40+1,"CRITICAL GAP","DEVELOPMENT GAP","CONDITIONAL","READY")</f>
        <v>CONDITIONAL</v>
      </c>
      <c r="I40" s="8" t="s">
        <v>1083</v>
      </c>
    </row>
    <row r="41" customFormat="false" ht="15" hidden="false" customHeight="false" outlineLevel="0" collapsed="false">
      <c r="A41" s="8" t="s">
        <v>1106</v>
      </c>
      <c r="B41" s="8" t="s">
        <v>1055</v>
      </c>
      <c r="C41" s="85" t="n">
        <f aca="false">13_REGULATION!$C$31</f>
        <v>3</v>
      </c>
      <c r="D41" s="86" t="n">
        <v>3</v>
      </c>
      <c r="E41" s="86" t="n">
        <v>2</v>
      </c>
      <c r="F41" s="86" t="n">
        <v>1</v>
      </c>
      <c r="G41" s="47" t="n">
        <f aca="false">IF(C41&gt;=D41,3,IF(C41&gt;=E41,2,IF(C41&gt;=F41,1,0)))</f>
        <v>3</v>
      </c>
      <c r="H41" s="87" t="str">
        <f aca="false">CHOOSE(G41+1,"CRITICAL GAP","DEVELOPMENT GAP","CONDITIONAL","READY")</f>
        <v>READY</v>
      </c>
      <c r="I41" s="8" t="s">
        <v>1083</v>
      </c>
    </row>
    <row r="43" customFormat="false" ht="15" hidden="false" customHeight="false" outlineLevel="0" collapsed="false">
      <c r="A43" s="6" t="s">
        <v>1107</v>
      </c>
      <c r="B43" s="7"/>
      <c r="C43" s="7"/>
      <c r="D43" s="7"/>
      <c r="E43" s="7"/>
      <c r="F43" s="7"/>
      <c r="G43" s="7"/>
      <c r="H43" s="7"/>
      <c r="I43" s="7"/>
      <c r="J43" s="7"/>
    </row>
    <row r="44" customFormat="false" ht="15" hidden="false" customHeight="false" outlineLevel="0" collapsed="false">
      <c r="A44" s="29" t="s">
        <v>1108</v>
      </c>
      <c r="B44" s="29" t="s">
        <v>1051</v>
      </c>
      <c r="C44" s="29" t="s">
        <v>1109</v>
      </c>
      <c r="D44" s="29" t="s">
        <v>472</v>
      </c>
      <c r="E44" s="29" t="s">
        <v>1110</v>
      </c>
    </row>
    <row r="45" customFormat="false" ht="15" hidden="false" customHeight="false" outlineLevel="0" collapsed="false">
      <c r="A45" s="8" t="s">
        <v>1053</v>
      </c>
      <c r="B45" s="47" t="n">
        <f aca="false">G5</f>
        <v>2</v>
      </c>
      <c r="C45" s="49" t="n">
        <f aca="false">B45+0.01</f>
        <v>2.01</v>
      </c>
      <c r="D45" s="87" t="str">
        <f aca="false">H5</f>
        <v>CONDITIONAL</v>
      </c>
      <c r="E45" s="87" t="str">
        <f aca="false">I5</f>
        <v>Complete independent hydrology review and agree P90 basis with lenders' technical adviser</v>
      </c>
    </row>
    <row r="46" customFormat="false" ht="15" hidden="false" customHeight="false" outlineLevel="0" collapsed="false">
      <c r="A46" s="8" t="s">
        <v>1059</v>
      </c>
      <c r="B46" s="47" t="n">
        <f aca="false">G9</f>
        <v>2</v>
      </c>
      <c r="C46" s="49" t="n">
        <f aca="false">B46+0.02</f>
        <v>2.02</v>
      </c>
      <c r="D46" s="87" t="str">
        <f aca="false">H9</f>
        <v>CONDITIONAL</v>
      </c>
      <c r="E46" s="87" t="str">
        <f aca="false">I9</f>
        <v>Confirm demand absorption with utility dispatch study and anchor-load MoUs</v>
      </c>
    </row>
    <row r="47" customFormat="false" ht="15" hidden="false" customHeight="false" outlineLevel="0" collapsed="false">
      <c r="A47" s="8" t="s">
        <v>1065</v>
      </c>
      <c r="B47" s="47" t="n">
        <f aca="false">G12</f>
        <v>2</v>
      </c>
      <c r="C47" s="49" t="n">
        <f aca="false">B47+0.03</f>
        <v>2.03</v>
      </c>
      <c r="D47" s="87" t="str">
        <f aca="false">H12</f>
        <v>CONDITIONAL</v>
      </c>
      <c r="E47" s="87" t="str">
        <f aca="false">I12</f>
        <v>Finalise bankable feasibility study and lenders' technical adviser review</v>
      </c>
    </row>
    <row r="48" customFormat="false" ht="15" hidden="false" customHeight="false" outlineLevel="0" collapsed="false">
      <c r="A48" s="8" t="s">
        <v>1070</v>
      </c>
      <c r="B48" s="47" t="n">
        <f aca="false">G16</f>
        <v>1</v>
      </c>
      <c r="C48" s="49" t="n">
        <f aca="false">B48+0.04</f>
        <v>1.04</v>
      </c>
      <c r="D48" s="87" t="str">
        <f aca="false">H16</f>
        <v>DEVELOPMENT GAP</v>
      </c>
      <c r="E48" s="87" t="str">
        <f aca="false">I16</f>
        <v>Secure financing &amp; EPC for evacuation line; align transmission COD with plant COD; agree deemed-energy allocation</v>
      </c>
    </row>
    <row r="49" customFormat="false" ht="15" hidden="false" customHeight="false" outlineLevel="0" collapsed="false">
      <c r="A49" s="8" t="s">
        <v>1075</v>
      </c>
      <c r="B49" s="47" t="n">
        <f aca="false">G20</f>
        <v>1</v>
      </c>
      <c r="C49" s="49" t="n">
        <f aca="false">B49+0.05</f>
        <v>1.05</v>
      </c>
      <c r="D49" s="87" t="str">
        <f aca="false">H20</f>
        <v>DEVELOPMENT GAP</v>
      </c>
      <c r="E49" s="87" t="str">
        <f aca="false">I20</f>
        <v>Agree utility recovery plan (tariff path, loss reduction), escrow of receivables, liquidity facility / LC sizing</v>
      </c>
    </row>
    <row r="50" customFormat="false" ht="15" hidden="false" customHeight="false" outlineLevel="0" collapsed="false">
      <c r="A50" s="8" t="s">
        <v>1081</v>
      </c>
      <c r="B50" s="47" t="n">
        <f aca="false">G24</f>
        <v>1</v>
      </c>
      <c r="C50" s="49" t="n">
        <f aca="false">B50+0.06</f>
        <v>1.06</v>
      </c>
      <c r="D50" s="87" t="str">
        <f aca="false">H24</f>
        <v>DEVELOPMENT GAP</v>
      </c>
      <c r="E50" s="87" t="str">
        <f aca="false">I24</f>
        <v>Close critical legal/regulatory gaps (tariff pass-through, land, FX) before PPA signature</v>
      </c>
    </row>
    <row r="51" customFormat="false" ht="15" hidden="false" customHeight="false" outlineLevel="0" collapsed="false">
      <c r="A51" s="8" t="s">
        <v>1087</v>
      </c>
      <c r="B51" s="47" t="n">
        <f aca="false">G28</f>
        <v>3</v>
      </c>
      <c r="C51" s="49" t="n">
        <f aca="false">B51+0.07</f>
        <v>3.07</v>
      </c>
      <c r="D51" s="87" t="str">
        <f aca="false">H28</f>
        <v>READY</v>
      </c>
      <c r="E51" s="87" t="str">
        <f aca="false">I28</f>
        <v>No pre-close action required</v>
      </c>
    </row>
    <row r="52" customFormat="false" ht="15" hidden="false" customHeight="false" outlineLevel="0" collapsed="false">
      <c r="A52" s="8" t="s">
        <v>1094</v>
      </c>
      <c r="B52" s="47" t="n">
        <f aca="false">G32</f>
        <v>1</v>
      </c>
      <c r="C52" s="49" t="n">
        <f aca="false">B52+0.08</f>
        <v>1.08</v>
      </c>
      <c r="D52" s="87" t="str">
        <f aca="false">H32</f>
        <v>DEVELOPMENT GAP</v>
      </c>
      <c r="E52" s="87" t="str">
        <f aca="false">I32</f>
        <v>Cap guarantees, replace sovereign guarantees with liquidity instruments, record commitments in fiscal risk statement</v>
      </c>
    </row>
    <row r="53" customFormat="false" ht="15" hidden="false" customHeight="false" outlineLevel="0" collapsed="false">
      <c r="A53" s="8" t="s">
        <v>1103</v>
      </c>
      <c r="B53" s="47" t="n">
        <f aca="false">G38</f>
        <v>2</v>
      </c>
      <c r="C53" s="49" t="n">
        <f aca="false">B53+0.09</f>
        <v>2.09</v>
      </c>
      <c r="D53" s="87" t="str">
        <f aca="false">H38</f>
        <v>CONDITIONAL</v>
      </c>
      <c r="E53" s="87" t="str">
        <f aca="false">I38</f>
        <v>Complete RAP implementation milestones before financial close</v>
      </c>
    </row>
    <row r="55" customFormat="false" ht="15" hidden="false" customHeight="false" outlineLevel="0" collapsed="false">
      <c r="A55" s="4" t="s">
        <v>1111</v>
      </c>
      <c r="B55" s="8"/>
      <c r="C55" s="53" t="n">
        <f aca="false">MIN(B45:B53)</f>
        <v>1</v>
      </c>
    </row>
    <row r="56" customFormat="false" ht="15" hidden="false" customHeight="false" outlineLevel="0" collapsed="false">
      <c r="A56" s="8" t="s">
        <v>1112</v>
      </c>
      <c r="B56" s="8" t="s">
        <v>78</v>
      </c>
      <c r="C56" s="14" t="n">
        <f aca="false">COUNTIF(B45:B53,0)</f>
        <v>0</v>
      </c>
    </row>
    <row r="57" customFormat="false" ht="15" hidden="false" customHeight="false" outlineLevel="0" collapsed="false">
      <c r="A57" s="8" t="s">
        <v>1113</v>
      </c>
      <c r="B57" s="8" t="s">
        <v>78</v>
      </c>
      <c r="C57" s="14" t="n">
        <f aca="false">COUNTIF(B45:B53,1)</f>
        <v>4</v>
      </c>
    </row>
    <row r="58" customFormat="false" ht="15" hidden="false" customHeight="false" outlineLevel="0" collapsed="false">
      <c r="A58" s="4" t="s">
        <v>1114</v>
      </c>
      <c r="B58" s="8"/>
      <c r="C58" s="77" t="str">
        <f aca="false">IF(30_BANKABILITY!$C$56&gt;0,"NOT BANKABLE — critical gap(s) must be closed",IF(30_BANKABILITY!$C$57&gt;0,"NOT YET BANKABLE — development gaps remain",IF(30_BANKABILITY!$C$55=2,"BANKABLE SUBJECT TO CONDITIONS","READY FOR FINANCIAL CLOSE")))</f>
        <v>NOT YET BANKABLE — development gaps remain</v>
      </c>
    </row>
    <row r="60" customFormat="false" ht="15" hidden="false" customHeight="false" outlineLevel="0" collapsed="false">
      <c r="A60" s="10" t="s">
        <v>1115</v>
      </c>
    </row>
  </sheetData>
  <conditionalFormatting sqref="H5:H42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4" min="4" style="0" width="9"/>
    <col collapsed="false" customWidth="true" hidden="false" outlineLevel="0" max="5" min="5" style="0" width="34"/>
    <col collapsed="false" customWidth="true" hidden="false" outlineLevel="0" max="7" min="6" style="0" width="12"/>
    <col collapsed="false" customWidth="true" hidden="false" outlineLevel="0" max="8" min="8" style="0" width="30"/>
    <col collapsed="false" customWidth="true" hidden="false" outlineLevel="0" max="9" min="9" style="0" width="28"/>
    <col collapsed="false" customWidth="true" hidden="false" outlineLevel="0" max="10" min="10" style="0" width="40"/>
    <col collapsed="false" customWidth="true" hidden="false" outlineLevel="0" max="11" min="11" style="0" width="44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1116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1117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5.05" hidden="false" customHeight="false" outlineLevel="0" collapsed="false">
      <c r="A4" s="79" t="s">
        <v>1118</v>
      </c>
      <c r="B4" s="79" t="s">
        <v>95</v>
      </c>
      <c r="C4" s="79" t="s">
        <v>639</v>
      </c>
      <c r="D4" s="79" t="s">
        <v>115</v>
      </c>
      <c r="E4" s="79" t="s">
        <v>1119</v>
      </c>
      <c r="F4" s="79" t="s">
        <v>1120</v>
      </c>
      <c r="G4" s="79" t="s">
        <v>1121</v>
      </c>
      <c r="H4" s="79" t="s">
        <v>16</v>
      </c>
      <c r="I4" s="79" t="s">
        <v>1122</v>
      </c>
      <c r="J4" s="79" t="s">
        <v>1123</v>
      </c>
      <c r="K4" s="79" t="s">
        <v>1124</v>
      </c>
      <c r="L4" s="79" t="s">
        <v>1125</v>
      </c>
    </row>
    <row r="5" customFormat="false" ht="23.85" hidden="false" customHeight="false" outlineLevel="0" collapsed="false">
      <c r="A5" s="5" t="s">
        <v>1126</v>
      </c>
      <c r="B5" s="5" t="s">
        <v>1127</v>
      </c>
      <c r="C5" s="5" t="s">
        <v>1128</v>
      </c>
      <c r="D5" s="90" t="n">
        <v>420</v>
      </c>
      <c r="E5" s="5" t="s">
        <v>1129</v>
      </c>
      <c r="F5" s="91" t="n">
        <v>1383</v>
      </c>
      <c r="G5" s="32" t="n">
        <f aca="false">IF(ISNUMBER(F5),F5/D5*1000,"n/a")</f>
        <v>3292.85714285714</v>
      </c>
      <c r="H5" s="5" t="s">
        <v>1130</v>
      </c>
      <c r="I5" s="5" t="s">
        <v>1131</v>
      </c>
      <c r="J5" s="5" t="s">
        <v>1132</v>
      </c>
      <c r="K5" s="5" t="s">
        <v>1133</v>
      </c>
      <c r="L5" s="5" t="s">
        <v>1134</v>
      </c>
    </row>
    <row r="6" customFormat="false" ht="23.85" hidden="false" customHeight="false" outlineLevel="0" collapsed="false">
      <c r="A6" s="5" t="s">
        <v>1135</v>
      </c>
      <c r="B6" s="5" t="s">
        <v>1136</v>
      </c>
      <c r="C6" s="5" t="s">
        <v>1137</v>
      </c>
      <c r="D6" s="90" t="n">
        <v>250</v>
      </c>
      <c r="E6" s="5" t="s">
        <v>1138</v>
      </c>
      <c r="F6" s="91" t="n">
        <v>862</v>
      </c>
      <c r="G6" s="32" t="n">
        <f aca="false">IF(ISNUMBER(F6),F6/D6*1000,"n/a")</f>
        <v>3448</v>
      </c>
      <c r="H6" s="5" t="s">
        <v>1139</v>
      </c>
      <c r="I6" s="5" t="s">
        <v>1140</v>
      </c>
      <c r="J6" s="5" t="s">
        <v>1141</v>
      </c>
      <c r="K6" s="5" t="s">
        <v>1142</v>
      </c>
      <c r="L6" s="5" t="s">
        <v>1143</v>
      </c>
    </row>
    <row r="7" customFormat="false" ht="23.85" hidden="false" customHeight="false" outlineLevel="0" collapsed="false">
      <c r="A7" s="5" t="s">
        <v>1144</v>
      </c>
      <c r="B7" s="5" t="s">
        <v>1145</v>
      </c>
      <c r="C7" s="5" t="s">
        <v>1146</v>
      </c>
      <c r="D7" s="90" t="n">
        <v>400</v>
      </c>
      <c r="E7" s="5" t="s">
        <v>1147</v>
      </c>
      <c r="F7" s="91" t="n">
        <v>790</v>
      </c>
      <c r="G7" s="32" t="n">
        <f aca="false">IF(ISNUMBER(F7),F7/D7*1000,"n/a")</f>
        <v>1975</v>
      </c>
      <c r="H7" s="5" t="s">
        <v>1148</v>
      </c>
      <c r="I7" s="5" t="s">
        <v>1149</v>
      </c>
      <c r="J7" s="5" t="s">
        <v>1150</v>
      </c>
      <c r="K7" s="5" t="s">
        <v>1151</v>
      </c>
      <c r="L7" s="5" t="s">
        <v>1152</v>
      </c>
    </row>
    <row r="8" customFormat="false" ht="23.85" hidden="false" customHeight="false" outlineLevel="0" collapsed="false">
      <c r="A8" s="5" t="s">
        <v>1153</v>
      </c>
      <c r="B8" s="5" t="s">
        <v>1154</v>
      </c>
      <c r="C8" s="5" t="s">
        <v>1155</v>
      </c>
      <c r="D8" s="90" t="n">
        <v>750</v>
      </c>
      <c r="E8" s="5" t="s">
        <v>1156</v>
      </c>
      <c r="F8" s="91" t="n">
        <v>2000</v>
      </c>
      <c r="G8" s="32" t="n">
        <f aca="false">IF(ISNUMBER(F8),F8/D8*1000,"n/a")</f>
        <v>2666.66666666667</v>
      </c>
      <c r="H8" s="5" t="s">
        <v>1157</v>
      </c>
      <c r="I8" s="5" t="s">
        <v>1158</v>
      </c>
      <c r="J8" s="5" t="s">
        <v>1159</v>
      </c>
      <c r="K8" s="5" t="s">
        <v>1160</v>
      </c>
      <c r="L8" s="5" t="s">
        <v>1161</v>
      </c>
    </row>
    <row r="9" customFormat="false" ht="15" hidden="false" customHeight="false" outlineLevel="0" collapsed="false">
      <c r="A9" s="5" t="s">
        <v>1162</v>
      </c>
      <c r="B9" s="5" t="s">
        <v>1136</v>
      </c>
      <c r="C9" s="5" t="s">
        <v>1163</v>
      </c>
      <c r="D9" s="90" t="n">
        <v>183</v>
      </c>
      <c r="E9" s="5" t="s">
        <v>1164</v>
      </c>
      <c r="F9" s="91" t="n">
        <v>567.7</v>
      </c>
      <c r="G9" s="32" t="n">
        <f aca="false">IF(ISNUMBER(F9),F9/D9*1000,"n/a")</f>
        <v>3102.18579234973</v>
      </c>
      <c r="H9" s="5" t="s">
        <v>1165</v>
      </c>
      <c r="I9" s="5" t="s">
        <v>1166</v>
      </c>
      <c r="J9" s="5" t="s">
        <v>1167</v>
      </c>
      <c r="K9" s="5" t="s">
        <v>1168</v>
      </c>
      <c r="L9" s="5" t="s">
        <v>1169</v>
      </c>
    </row>
    <row r="10" customFormat="false" ht="15" hidden="false" customHeight="false" outlineLevel="0" collapsed="false">
      <c r="A10" s="5" t="s">
        <v>1170</v>
      </c>
      <c r="B10" s="5" t="s">
        <v>1136</v>
      </c>
      <c r="C10" s="5" t="s">
        <v>1163</v>
      </c>
      <c r="D10" s="90" t="n">
        <v>600</v>
      </c>
      <c r="E10" s="5" t="s">
        <v>1171</v>
      </c>
      <c r="F10" s="91" t="n">
        <v>1700</v>
      </c>
      <c r="G10" s="32" t="n">
        <f aca="false">IF(ISNUMBER(F10),F10/D10*1000,"n/a")</f>
        <v>2833.33333333333</v>
      </c>
      <c r="H10" s="5" t="s">
        <v>1172</v>
      </c>
      <c r="I10" s="5" t="s">
        <v>1173</v>
      </c>
      <c r="J10" s="5" t="s">
        <v>1167</v>
      </c>
      <c r="K10" s="5" t="s">
        <v>1174</v>
      </c>
      <c r="L10" s="5" t="s">
        <v>1175</v>
      </c>
    </row>
    <row r="11" customFormat="false" ht="23.85" hidden="false" customHeight="false" outlineLevel="0" collapsed="false">
      <c r="A11" s="5" t="s">
        <v>1176</v>
      </c>
      <c r="B11" s="5" t="s">
        <v>1177</v>
      </c>
      <c r="C11" s="5" t="s">
        <v>1178</v>
      </c>
      <c r="D11" s="90" t="n">
        <v>2115</v>
      </c>
      <c r="E11" s="5" t="s">
        <v>1179</v>
      </c>
      <c r="F11" s="91" t="n">
        <v>2850</v>
      </c>
      <c r="G11" s="32" t="n">
        <f aca="false">IF(ISNUMBER(F11),F11/D11*1000,"n/a")</f>
        <v>1347.51773049645</v>
      </c>
      <c r="H11" s="5" t="s">
        <v>1180</v>
      </c>
      <c r="I11" s="5" t="s">
        <v>1181</v>
      </c>
      <c r="J11" s="5" t="s">
        <v>1182</v>
      </c>
      <c r="K11" s="5" t="s">
        <v>1183</v>
      </c>
      <c r="L11" s="5" t="s">
        <v>1184</v>
      </c>
    </row>
    <row r="12" customFormat="false" ht="23.85" hidden="false" customHeight="false" outlineLevel="0" collapsed="false">
      <c r="A12" s="5" t="s">
        <v>1185</v>
      </c>
      <c r="B12" s="5" t="s">
        <v>1186</v>
      </c>
      <c r="C12" s="5" t="s">
        <v>1187</v>
      </c>
      <c r="D12" s="90" t="n">
        <v>80</v>
      </c>
      <c r="E12" s="5" t="s">
        <v>1188</v>
      </c>
      <c r="F12" s="91" t="n">
        <v>468.9</v>
      </c>
      <c r="G12" s="32" t="n">
        <f aca="false">IF(ISNUMBER(F12),F12/D12*1000,"n/a")</f>
        <v>5861.25</v>
      </c>
      <c r="H12" s="5" t="s">
        <v>1189</v>
      </c>
      <c r="I12" s="5" t="s">
        <v>1190</v>
      </c>
      <c r="J12" s="5" t="s">
        <v>1191</v>
      </c>
      <c r="K12" s="5" t="s">
        <v>1192</v>
      </c>
      <c r="L12" s="5" t="s">
        <v>1193</v>
      </c>
    </row>
    <row r="13" customFormat="false" ht="23.85" hidden="false" customHeight="false" outlineLevel="0" collapsed="false">
      <c r="A13" s="5" t="s">
        <v>1194</v>
      </c>
      <c r="B13" s="5" t="s">
        <v>1195</v>
      </c>
      <c r="C13" s="5" t="s">
        <v>1196</v>
      </c>
      <c r="D13" s="90" t="n">
        <v>358.5</v>
      </c>
      <c r="E13" s="5" t="s">
        <v>1197</v>
      </c>
      <c r="F13" s="91" t="n">
        <v>1636</v>
      </c>
      <c r="G13" s="32" t="n">
        <f aca="false">IF(ISNUMBER(F13),F13/D13*1000,"n/a")</f>
        <v>4563.45885634589</v>
      </c>
      <c r="H13" s="5" t="s">
        <v>1198</v>
      </c>
      <c r="I13" s="5" t="s">
        <v>1199</v>
      </c>
      <c r="J13" s="5" t="s">
        <v>1200</v>
      </c>
      <c r="K13" s="5" t="s">
        <v>1201</v>
      </c>
      <c r="L13" s="5" t="s">
        <v>1202</v>
      </c>
    </row>
    <row r="14" customFormat="false" ht="15" hidden="false" customHeight="false" outlineLevel="0" collapsed="false">
      <c r="A14" s="5" t="s">
        <v>1203</v>
      </c>
      <c r="B14" s="5" t="s">
        <v>1204</v>
      </c>
      <c r="C14" s="5" t="s">
        <v>1205</v>
      </c>
      <c r="D14" s="90" t="n">
        <v>206</v>
      </c>
      <c r="E14" s="5" t="s">
        <v>1206</v>
      </c>
      <c r="F14" s="91" t="n">
        <v>760</v>
      </c>
      <c r="G14" s="32" t="n">
        <f aca="false">IF(ISNUMBER(F14),F14/D14*1000,"n/a")</f>
        <v>3689.32038834952</v>
      </c>
      <c r="H14" s="5" t="s">
        <v>1207</v>
      </c>
      <c r="I14" s="5" t="s">
        <v>1208</v>
      </c>
      <c r="J14" s="5" t="s">
        <v>1209</v>
      </c>
      <c r="K14" s="5" t="s">
        <v>1210</v>
      </c>
      <c r="L14" s="5" t="s">
        <v>1211</v>
      </c>
    </row>
    <row r="15" customFormat="false" ht="15" hidden="false" customHeight="false" outlineLevel="0" collapsed="false">
      <c r="A15" s="5" t="s">
        <v>1212</v>
      </c>
      <c r="B15" s="5" t="s">
        <v>1213</v>
      </c>
      <c r="C15" s="5" t="s">
        <v>1214</v>
      </c>
      <c r="D15" s="90" t="n">
        <v>5150</v>
      </c>
      <c r="E15" s="5" t="s">
        <v>1215</v>
      </c>
      <c r="F15" s="91" t="n">
        <v>5000</v>
      </c>
      <c r="G15" s="32" t="n">
        <f aca="false">IF(ISNUMBER(F15),F15/D15*1000,"n/a")</f>
        <v>970.873786407767</v>
      </c>
      <c r="H15" s="5" t="s">
        <v>1216</v>
      </c>
      <c r="I15" s="5" t="s">
        <v>1217</v>
      </c>
      <c r="J15" s="5" t="s">
        <v>1218</v>
      </c>
      <c r="K15" s="5" t="s">
        <v>1219</v>
      </c>
      <c r="L15" s="5" t="s">
        <v>1220</v>
      </c>
    </row>
    <row r="16" customFormat="false" ht="15" hidden="false" customHeight="false" outlineLevel="0" collapsed="false">
      <c r="A16" s="5" t="s">
        <v>1221</v>
      </c>
      <c r="B16" s="5" t="s">
        <v>1213</v>
      </c>
      <c r="C16" s="5" t="s">
        <v>1222</v>
      </c>
      <c r="D16" s="90" t="n">
        <v>1870</v>
      </c>
      <c r="E16" s="5" t="s">
        <v>1223</v>
      </c>
      <c r="F16" s="91"/>
      <c r="G16" s="32" t="str">
        <f aca="false">IF(ISNUMBER(F16),F16/D16*1000,"n/a")</f>
        <v>n/a</v>
      </c>
      <c r="H16" s="5" t="s">
        <v>1224</v>
      </c>
      <c r="I16" s="5" t="s">
        <v>1225</v>
      </c>
      <c r="J16" s="5" t="s">
        <v>1226</v>
      </c>
      <c r="K16" s="5" t="s">
        <v>1227</v>
      </c>
      <c r="L16" s="5" t="s">
        <v>1228</v>
      </c>
    </row>
    <row r="17" customFormat="false" ht="23.85" hidden="false" customHeight="false" outlineLevel="0" collapsed="false">
      <c r="A17" s="5" t="s">
        <v>1229</v>
      </c>
      <c r="B17" s="5" t="s">
        <v>1230</v>
      </c>
      <c r="C17" s="5" t="s">
        <v>1231</v>
      </c>
      <c r="D17" s="90" t="n">
        <v>1070</v>
      </c>
      <c r="E17" s="5" t="s">
        <v>1232</v>
      </c>
      <c r="F17" s="91" t="n">
        <v>1450</v>
      </c>
      <c r="G17" s="32" t="n">
        <f aca="false">IF(ISNUMBER(F17),F17/D17*1000,"n/a")</f>
        <v>1355.14018691589</v>
      </c>
      <c r="H17" s="5" t="s">
        <v>1233</v>
      </c>
      <c r="I17" s="5" t="s">
        <v>1234</v>
      </c>
      <c r="J17" s="5" t="s">
        <v>1235</v>
      </c>
      <c r="K17" s="5" t="s">
        <v>1236</v>
      </c>
      <c r="L17" s="5" t="s">
        <v>1237</v>
      </c>
    </row>
    <row r="18" customFormat="false" ht="23.85" hidden="false" customHeight="false" outlineLevel="0" collapsed="false">
      <c r="A18" s="5" t="s">
        <v>1238</v>
      </c>
      <c r="B18" s="5" t="s">
        <v>1239</v>
      </c>
      <c r="C18" s="5" t="s">
        <v>1240</v>
      </c>
      <c r="D18" s="90" t="n">
        <v>216</v>
      </c>
      <c r="E18" s="5" t="s">
        <v>1241</v>
      </c>
      <c r="F18" s="91" t="n">
        <v>647.4</v>
      </c>
      <c r="G18" s="32" t="n">
        <f aca="false">IF(ISNUMBER(F18),F18/D18*1000,"n/a")</f>
        <v>2997.22222222222</v>
      </c>
      <c r="H18" s="5" t="s">
        <v>1242</v>
      </c>
      <c r="I18" s="5" t="s">
        <v>1243</v>
      </c>
      <c r="J18" s="5" t="s">
        <v>1244</v>
      </c>
      <c r="K18" s="5" t="s">
        <v>1245</v>
      </c>
      <c r="L18" s="5" t="s">
        <v>1246</v>
      </c>
    </row>
    <row r="19" customFormat="false" ht="23.85" hidden="false" customHeight="false" outlineLevel="0" collapsed="false">
      <c r="A19" s="5" t="s">
        <v>1247</v>
      </c>
      <c r="B19" s="5" t="s">
        <v>1248</v>
      </c>
      <c r="C19" s="5" t="s">
        <v>1249</v>
      </c>
      <c r="D19" s="90" t="n">
        <v>305.5</v>
      </c>
      <c r="E19" s="5" t="s">
        <v>1250</v>
      </c>
      <c r="F19" s="91" t="n">
        <v>1400</v>
      </c>
      <c r="G19" s="32" t="n">
        <f aca="false">IF(ISNUMBER(F19),F19/D19*1000,"n/a")</f>
        <v>4582.65139116203</v>
      </c>
      <c r="H19" s="5" t="s">
        <v>1251</v>
      </c>
      <c r="I19" s="5" t="s">
        <v>1252</v>
      </c>
      <c r="J19" s="5" t="s">
        <v>1253</v>
      </c>
      <c r="K19" s="5" t="s">
        <v>1254</v>
      </c>
      <c r="L19" s="5" t="s">
        <v>1255</v>
      </c>
    </row>
    <row r="20" customFormat="false" ht="15" hidden="false" customHeight="false" outlineLevel="0" collapsed="false">
      <c r="A20" s="4" t="s">
        <v>1256</v>
      </c>
      <c r="B20" s="8" t="s">
        <v>1257</v>
      </c>
      <c r="C20" s="92" t="str">
        <f aca="false">17A_STRUCTURES!$C$5</f>
        <v>PPP (SOE + private, DFI-backed)</v>
      </c>
      <c r="D20" s="57" t="n">
        <f aca="false">02_PROJECT_INPUTS!$C$15</f>
        <v>400</v>
      </c>
      <c r="E20" s="8" t="s">
        <v>1258</v>
      </c>
      <c r="F20" s="93" t="n">
        <f aca="false">17_PROJECT_FINANCE!$C$5</f>
        <v>1110.05572917934</v>
      </c>
      <c r="G20" s="32" t="n">
        <f aca="false">F20/D20*1000</f>
        <v>2775.13932294835</v>
      </c>
      <c r="H20" s="87" t="str">
        <f aca="false">"FC "&amp;02_PROJECT_INPUTS!$C$10&amp;" → COD "&amp;06_CONSTRUCTION!$C$8</f>
        <v>FC 2027 → COD 2032</v>
      </c>
    </row>
    <row r="22" customFormat="false" ht="15" hidden="false" customHeight="false" outlineLevel="0" collapsed="false">
      <c r="A22" s="4" t="s">
        <v>1259</v>
      </c>
      <c r="B22" s="8" t="s">
        <v>230</v>
      </c>
      <c r="C22" s="35" t="n">
        <f aca="false">MEDIAN(G5:G19)</f>
        <v>3049.70400728597</v>
      </c>
    </row>
    <row r="23" customFormat="false" ht="15" hidden="false" customHeight="false" outlineLevel="0" collapsed="false">
      <c r="A23" s="4" t="s">
        <v>1260</v>
      </c>
      <c r="B23" s="8" t="s">
        <v>82</v>
      </c>
      <c r="C23" s="64" t="n">
        <f aca="false">G20/C22</f>
        <v>0.909970054903142</v>
      </c>
    </row>
    <row r="25" customFormat="false" ht="15" hidden="false" customHeight="false" outlineLevel="0" collapsed="false">
      <c r="A25" s="10" t="s">
        <v>1261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4"/>
    <col collapsed="false" customWidth="true" hidden="false" outlineLevel="0" max="4" min="4" style="0" width="44"/>
    <col collapsed="false" customWidth="true" hidden="false" outlineLevel="0" max="5" min="5" style="0" width="18"/>
    <col collapsed="false" customWidth="true" hidden="false" outlineLevel="0" max="6" min="6" style="0" width="4"/>
    <col collapsed="false" customWidth="true" hidden="false" outlineLevel="0" max="7" min="7" style="0" width="40"/>
    <col collapsed="false" customWidth="true" hidden="false" outlineLevel="0" max="8" min="8" style="0" width="22"/>
  </cols>
  <sheetData>
    <row r="1" customFormat="false" ht="17.35" hidden="false" customHeight="false" outlineLevel="0" collapsed="false">
      <c r="A1" s="1" t="s">
        <v>1262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4" t="str">
        <f aca="false">"Project: "&amp;02_PROJECT_INPUTS!$C$5&amp;"  |  Structure: "&amp;17A_STRUCTURES!$C$5&amp;"  |  Case: "&amp;CHOOSE(01_CONTROL_PANEL!$C$5,"Base","Low","High")&amp;"  |  Active stresses: "&amp;SUM(01_CONTROL_PANEL!$C$15,01_CONTROL_PANEL!$C$16,01_CONTROL_PANEL!$C$17,01_CONTROL_PANEL!$C$18,01_CONTROL_PANEL!$C$19,01_CONTROL_PANEL!$C$20,01_CONTROL_PANEL!$C$21,01_CONTROL_PANEL!$C$22,01_CONTROL_PANEL!$C$23)</f>
        <v>Project: Lumora Falls Hydropower Project (LFHP)  |  Structure: PPP (SOE + private, DFI-backed)  |  Case: Base  |  Active stresses: 0</v>
      </c>
    </row>
    <row r="4" customFormat="false" ht="15" hidden="false" customHeight="false" outlineLevel="0" collapsed="false">
      <c r="A4" s="94" t="str">
        <f aca="false">"VERDICT: "&amp;30_BANKABILITY!$C$58&amp;"   |   FISCAL SCREEN: "&amp;26_DEBT_SUSTAINABILITY!$C$35</f>
        <v>VERDICT: NOT YET BANKABLE — development gaps remain   |   FISCAL SCREEN: MODERATE additional fiscal pressure</v>
      </c>
    </row>
    <row r="6" customFormat="false" ht="15" hidden="false" customHeight="false" outlineLevel="0" collapsed="false">
      <c r="A6" s="29" t="s">
        <v>1263</v>
      </c>
      <c r="B6" s="30"/>
      <c r="D6" s="29" t="s">
        <v>1264</v>
      </c>
      <c r="E6" s="30"/>
    </row>
    <row r="7" customFormat="false" ht="15" hidden="false" customHeight="false" outlineLevel="0" collapsed="false">
      <c r="A7" s="8" t="s">
        <v>1265</v>
      </c>
      <c r="B7" s="62" t="n">
        <f aca="false">02_PROJECT_INPUTS!$C$15</f>
        <v>400</v>
      </c>
      <c r="D7" s="8" t="s">
        <v>1266</v>
      </c>
      <c r="E7" s="75" t="n">
        <f aca="false">17_PROJECT_FINANCE!$C$30</f>
        <v>0.0971728277032352</v>
      </c>
    </row>
    <row r="8" customFormat="false" ht="15" hidden="false" customHeight="false" outlineLevel="0" collapsed="false">
      <c r="A8" s="8" t="s">
        <v>1267</v>
      </c>
      <c r="B8" s="95" t="n">
        <f aca="false">03_HYDROLOGY!$C$33</f>
        <v>1665.87182477724</v>
      </c>
      <c r="D8" s="8" t="s">
        <v>80</v>
      </c>
      <c r="E8" s="75" t="n">
        <f aca="false">17_PROJECT_FINANCE!$C$32</f>
        <v>0.163458350947316</v>
      </c>
    </row>
    <row r="9" customFormat="false" ht="15" hidden="false" customHeight="false" outlineLevel="0" collapsed="false">
      <c r="A9" s="8" t="s">
        <v>1268</v>
      </c>
      <c r="B9" s="75" t="n">
        <f aca="false">03_HYDROLOGY!$C$36</f>
        <v>0.475420041317705</v>
      </c>
      <c r="D9" s="8" t="s">
        <v>1269</v>
      </c>
      <c r="E9" s="62" t="n">
        <f aca="false">17_PROJECT_FINANCE!$C$31</f>
        <v>-24.0701885443577</v>
      </c>
    </row>
    <row r="10" customFormat="false" ht="15" hidden="false" customHeight="false" outlineLevel="0" collapsed="false">
      <c r="A10" s="8" t="s">
        <v>1270</v>
      </c>
      <c r="B10" s="62" t="n">
        <f aca="false">06_CONSTRUCTION!$C$9</f>
        <v>1030.4</v>
      </c>
      <c r="D10" s="8" t="s">
        <v>1271</v>
      </c>
      <c r="E10" s="96" t="n">
        <f aca="false">17_PROJECT_FINANCE!$C$36</f>
        <v>1.64011829786849</v>
      </c>
    </row>
    <row r="11" customFormat="false" ht="15" hidden="false" customHeight="false" outlineLevel="0" collapsed="false">
      <c r="A11" s="8" t="s">
        <v>1272</v>
      </c>
      <c r="B11" s="95" t="n">
        <f aca="false">05_PLANT_CAPEX!$C$14</f>
        <v>2576</v>
      </c>
      <c r="D11" s="8" t="s">
        <v>1273</v>
      </c>
      <c r="E11" s="96" t="n">
        <f aca="false">17_PROJECT_FINANCE!$C$37</f>
        <v>3.32398517818224</v>
      </c>
    </row>
    <row r="12" customFormat="false" ht="15" hidden="false" customHeight="false" outlineLevel="0" collapsed="false">
      <c r="A12" s="8" t="s">
        <v>1274</v>
      </c>
      <c r="B12" s="97" t="n">
        <f aca="false">06_CONSTRUCTION!$C$8</f>
        <v>2032</v>
      </c>
      <c r="D12" s="8" t="s">
        <v>1275</v>
      </c>
      <c r="E12" s="96" t="n">
        <f aca="false">17_PROJECT_FINANCE!$C$38</f>
        <v>1.86901350615235</v>
      </c>
    </row>
    <row r="13" customFormat="false" ht="15" hidden="false" customHeight="false" outlineLevel="0" collapsed="false">
      <c r="A13" s="8" t="s">
        <v>1276</v>
      </c>
      <c r="B13" s="58" t="n">
        <f aca="false">SUMPRODUCT((06_CONSTRUCTION!$E$5:$AR$5=2)*15_TARIFF!$E$9:$AR$9)</f>
        <v>109.202316881252</v>
      </c>
      <c r="D13" s="8" t="s">
        <v>1277</v>
      </c>
      <c r="E13" s="62" t="n">
        <f aca="false">17_PROJECT_FINANCE!$C$23</f>
        <v>1107.5872755707</v>
      </c>
    </row>
    <row r="14" customFormat="false" ht="15" hidden="false" customHeight="false" outlineLevel="0" collapsed="false">
      <c r="A14" s="8" t="s">
        <v>1278</v>
      </c>
      <c r="B14" s="98" t="n">
        <f aca="false">17_PROJECT_FINANCE!$C$34</f>
        <v>110.61740697128</v>
      </c>
      <c r="D14" s="8" t="s">
        <v>1279</v>
      </c>
      <c r="E14" s="37" t="n">
        <f aca="false">17_PROJECT_FINANCE!$C$15+17_PROJECT_FINANCE!$C$16</f>
        <v>959.66644251657</v>
      </c>
    </row>
    <row r="15" customFormat="false" ht="15" hidden="false" customHeight="false" outlineLevel="0" collapsed="false">
      <c r="A15" s="8" t="s">
        <v>1280</v>
      </c>
      <c r="B15" s="98" t="n">
        <f aca="false">17_PROJECT_FINANCE!$C$35</f>
        <v>133.851004329566</v>
      </c>
      <c r="D15" s="8" t="s">
        <v>1281</v>
      </c>
      <c r="E15" s="62" t="n">
        <f aca="false">17_PROJECT_FINANCE!$C$26</f>
        <v>0</v>
      </c>
    </row>
    <row r="17" customFormat="false" ht="15" hidden="false" customHeight="false" outlineLevel="0" collapsed="false">
      <c r="A17" s="29" t="s">
        <v>1282</v>
      </c>
      <c r="B17" s="30"/>
      <c r="D17" s="29" t="s">
        <v>1283</v>
      </c>
      <c r="E17" s="30"/>
    </row>
    <row r="18" customFormat="false" ht="15" hidden="false" customHeight="false" outlineLevel="0" collapsed="false">
      <c r="A18" s="8" t="s">
        <v>1284</v>
      </c>
      <c r="B18" s="99" t="n">
        <f aca="false">08_TRANSMISSION!$C$26</f>
        <v>0</v>
      </c>
      <c r="D18" s="8" t="s">
        <v>1285</v>
      </c>
      <c r="E18" s="37" t="n">
        <f aca="false">SUMPRODUCT((06_CONSTRUCTION!$E$5:$AR$5=2)*12_UTILITY!$E$48:$AR$48)</f>
        <v>419.522773725863</v>
      </c>
    </row>
    <row r="19" customFormat="false" ht="15" hidden="false" customHeight="false" outlineLevel="0" collapsed="false">
      <c r="A19" s="8" t="s">
        <v>1286</v>
      </c>
      <c r="B19" s="95" t="n">
        <f aca="false">09_GRID!$C$20</f>
        <v>650</v>
      </c>
      <c r="D19" s="8" t="s">
        <v>412</v>
      </c>
      <c r="E19" s="55" t="n">
        <f aca="false">12_UTILITY!$C$13+27_SCENARIOS!$C$31</f>
        <v>0.88</v>
      </c>
    </row>
    <row r="20" customFormat="false" ht="15" hidden="false" customHeight="false" outlineLevel="0" collapsed="false">
      <c r="A20" s="8" t="s">
        <v>1287</v>
      </c>
      <c r="B20" s="75" t="n">
        <f aca="false">09_GRID!$C$21</f>
        <v>0.19232789853173</v>
      </c>
      <c r="D20" s="8" t="s">
        <v>1288</v>
      </c>
      <c r="E20" s="14" t="n">
        <f aca="false">SUMPRODUCT((06_CONSTRUCTION!$E$5:$AR$5=2)*12_UTILITY!$E$55:$AR$55)</f>
        <v>119.066793259907</v>
      </c>
    </row>
    <row r="21" customFormat="false" ht="15" hidden="false" customHeight="false" outlineLevel="0" collapsed="false">
      <c r="A21" s="8" t="s">
        <v>1289</v>
      </c>
      <c r="B21" s="96" t="n">
        <f aca="false">10_DEMAND!$C$37</f>
        <v>1</v>
      </c>
      <c r="D21" s="8" t="s">
        <v>1290</v>
      </c>
      <c r="E21" s="96" t="n">
        <f aca="false">12_UTILITY!$C$45</f>
        <v>2.11200813141894</v>
      </c>
    </row>
    <row r="22" customFormat="false" ht="15" hidden="false" customHeight="false" outlineLevel="0" collapsed="false">
      <c r="A22" s="8" t="s">
        <v>1291</v>
      </c>
      <c r="B22" s="39" t="n">
        <f aca="false">04_GENERATION!$C$19+04_GENERATION!$C$21</f>
        <v>0</v>
      </c>
      <c r="D22" s="8" t="s">
        <v>1292</v>
      </c>
      <c r="E22" s="62" t="n">
        <f aca="false">12_UTILITY!$C$43</f>
        <v>0</v>
      </c>
    </row>
    <row r="23" customFormat="false" ht="15" hidden="false" customHeight="false" outlineLevel="0" collapsed="false">
      <c r="A23" s="8" t="s">
        <v>1293</v>
      </c>
      <c r="B23" s="95" t="n">
        <f aca="false">16_REVENUE!$C$7</f>
        <v>0</v>
      </c>
      <c r="D23" s="8" t="s">
        <v>1294</v>
      </c>
      <c r="E23" s="62" t="n">
        <f aca="false">16_REVENUE!$C$24</f>
        <v>0</v>
      </c>
    </row>
    <row r="25" customFormat="false" ht="15" hidden="false" customHeight="false" outlineLevel="0" collapsed="false">
      <c r="A25" s="29" t="s">
        <v>1295</v>
      </c>
      <c r="B25" s="30"/>
      <c r="D25" s="29" t="s">
        <v>1296</v>
      </c>
      <c r="E25" s="30"/>
    </row>
    <row r="26" customFormat="false" ht="15" hidden="false" customHeight="false" outlineLevel="0" collapsed="false">
      <c r="A26" s="8" t="s">
        <v>1297</v>
      </c>
      <c r="B26" s="37" t="n">
        <f aca="false">22_GOVERNMENT_SUPPORT!$C$6+22_GOVERNMENT_SUPPORT!$C$7+22_GOVERNMENT_SUPPORT!$C$8</f>
        <v>408.292515558542</v>
      </c>
      <c r="D26" s="8" t="s">
        <v>1053</v>
      </c>
      <c r="E26" s="11" t="str">
        <f aca="false">30_BANKABILITY!$H$5</f>
        <v>CONDITIONAL</v>
      </c>
    </row>
    <row r="27" customFormat="false" ht="15" hidden="false" customHeight="false" outlineLevel="0" collapsed="false">
      <c r="A27" s="8" t="s">
        <v>1298</v>
      </c>
      <c r="B27" s="62" t="n">
        <f aca="false">24_CONTINGENT_LIABILITIES!$C$20</f>
        <v>1220.92785723634</v>
      </c>
      <c r="D27" s="8" t="s">
        <v>1059</v>
      </c>
      <c r="E27" s="11" t="str">
        <f aca="false">30_BANKABILITY!$H$9</f>
        <v>CONDITIONAL</v>
      </c>
    </row>
    <row r="28" customFormat="false" ht="15" hidden="false" customHeight="false" outlineLevel="0" collapsed="false">
      <c r="A28" s="8" t="s">
        <v>1299</v>
      </c>
      <c r="B28" s="62" t="n">
        <f aca="false">24_CONTINGENT_LIABILITIES!$C$21</f>
        <v>116.346490081085</v>
      </c>
      <c r="D28" s="8" t="s">
        <v>1065</v>
      </c>
      <c r="E28" s="11" t="str">
        <f aca="false">30_BANKABILITY!$H$12</f>
        <v>CONDITIONAL</v>
      </c>
    </row>
    <row r="29" customFormat="false" ht="15" hidden="false" customHeight="false" outlineLevel="0" collapsed="false">
      <c r="A29" s="8" t="s">
        <v>1300</v>
      </c>
      <c r="B29" s="62" t="n">
        <f aca="false">25_FISCAL_IMPACT!$C$20</f>
        <v>49.4673935262178</v>
      </c>
      <c r="D29" s="8" t="s">
        <v>1070</v>
      </c>
      <c r="E29" s="11" t="str">
        <f aca="false">30_BANKABILITY!$H$16</f>
        <v>DEVELOPMENT GAP</v>
      </c>
    </row>
    <row r="30" customFormat="false" ht="15" hidden="false" customHeight="false" outlineLevel="0" collapsed="false">
      <c r="A30" s="8" t="s">
        <v>1301</v>
      </c>
      <c r="B30" s="62" t="n">
        <f aca="false">25_FISCAL_IMPACT!$C$21</f>
        <v>-109.174662184188</v>
      </c>
      <c r="D30" s="8" t="s">
        <v>1075</v>
      </c>
      <c r="E30" s="11" t="str">
        <f aca="false">30_BANKABILITY!$H$20</f>
        <v>DEVELOPMENT GAP</v>
      </c>
    </row>
    <row r="31" customFormat="false" ht="15" hidden="false" customHeight="false" outlineLevel="0" collapsed="false">
      <c r="A31" s="8" t="s">
        <v>1302</v>
      </c>
      <c r="B31" s="100" t="n">
        <f aca="false">25_FISCAL_IMPACT!$C$24</f>
        <v>0.0181400646842536</v>
      </c>
      <c r="D31" s="8" t="s">
        <v>1081</v>
      </c>
      <c r="E31" s="11" t="str">
        <f aca="false">30_BANKABILITY!$H$24</f>
        <v>DEVELOPMENT GAP</v>
      </c>
    </row>
    <row r="32" customFormat="false" ht="15" hidden="false" customHeight="false" outlineLevel="0" collapsed="false">
      <c r="A32" s="8" t="s">
        <v>901</v>
      </c>
      <c r="B32" s="100" t="n">
        <f aca="false">26_DEBT_SUSTAINABILITY!$C$31</f>
        <v>0.0273133499640697</v>
      </c>
      <c r="D32" s="8" t="s">
        <v>1087</v>
      </c>
      <c r="E32" s="11" t="str">
        <f aca="false">30_BANKABILITY!$H$28</f>
        <v>READY</v>
      </c>
    </row>
    <row r="33" customFormat="false" ht="15" hidden="false" customHeight="false" outlineLevel="0" collapsed="false">
      <c r="A33" s="8" t="s">
        <v>1303</v>
      </c>
      <c r="B33" s="11" t="str">
        <f aca="false">26_DEBT_SUSTAINABILITY!$C$35</f>
        <v>MODERATE additional fiscal pressure</v>
      </c>
      <c r="D33" s="8" t="s">
        <v>1094</v>
      </c>
      <c r="E33" s="11" t="str">
        <f aca="false">30_BANKABILITY!$H$32</f>
        <v>DEVELOPMENT GAP</v>
      </c>
    </row>
    <row r="34" customFormat="false" ht="15" hidden="false" customHeight="false" outlineLevel="0" collapsed="false">
      <c r="D34" s="8" t="s">
        <v>1103</v>
      </c>
      <c r="E34" s="11" t="str">
        <f aca="false">30_BANKABILITY!$H$38</f>
        <v>CONDITIONAL</v>
      </c>
    </row>
    <row r="37" customFormat="false" ht="15" hidden="false" customHeight="false" outlineLevel="0" collapsed="false">
      <c r="A37" s="29" t="s">
        <v>1304</v>
      </c>
      <c r="B37" s="30"/>
      <c r="D37" s="29" t="s">
        <v>1305</v>
      </c>
      <c r="E37" s="30"/>
      <c r="F37" s="30"/>
      <c r="G37" s="30"/>
      <c r="H37" s="30"/>
    </row>
    <row r="38" customFormat="false" ht="15" hidden="false" customHeight="false" outlineLevel="0" collapsed="false">
      <c r="A38" s="87" t="str">
        <f aca="false">"1. "&amp;INDEX(30_BANKABILITY!$A$45:$A$53,MATCH(SMALL(30_BANKABILITY!$C$45:$C$53,1),30_BANKABILITY!$C$45:$C$53,0))</f>
        <v>1. GATE 4 — TRANSMISSION</v>
      </c>
      <c r="B38" s="87" t="str">
        <f aca="false">INDEX(30_BANKABILITY!$D$45:$D$53,MATCH(SMALL(30_BANKABILITY!$C$45:$C$53,1),30_BANKABILITY!$C$45:$C$53,0))</f>
        <v>DEVELOPMENT GAP</v>
      </c>
      <c r="D38" s="87" t="str">
        <f aca="false">"1. "&amp;INDEX(30_BANKABILITY!$E$45:$E$53,MATCH(SMALL(30_BANKABILITY!$C$45:$C$53,1),30_BANKABILITY!$C$45:$C$53,0))</f>
        <v>1. Secure financing &amp; EPC for evacuation line; align transmission COD with plant COD; agree deemed-energy allocation</v>
      </c>
    </row>
    <row r="39" customFormat="false" ht="15" hidden="false" customHeight="false" outlineLevel="0" collapsed="false">
      <c r="A39" s="87" t="str">
        <f aca="false">"2. "&amp;INDEX(30_BANKABILITY!$A$45:$A$53,MATCH(SMALL(30_BANKABILITY!$C$45:$C$53,2),30_BANKABILITY!$C$45:$C$53,0))</f>
        <v>2. GATE 5 — OFFTAKER / UTILITY</v>
      </c>
      <c r="B39" s="87" t="str">
        <f aca="false">INDEX(30_BANKABILITY!$D$45:$D$53,MATCH(SMALL(30_BANKABILITY!$C$45:$C$53,2),30_BANKABILITY!$C$45:$C$53,0))</f>
        <v>DEVELOPMENT GAP</v>
      </c>
      <c r="D39" s="87" t="str">
        <f aca="false">"2. "&amp;INDEX(30_BANKABILITY!$E$45:$E$53,MATCH(SMALL(30_BANKABILITY!$C$45:$C$53,2),30_BANKABILITY!$C$45:$C$53,0))</f>
        <v>2. Agree utility recovery plan (tariff path, loss reduction), escrow of receivables, liquidity facility / LC sizing</v>
      </c>
    </row>
    <row r="40" customFormat="false" ht="15" hidden="false" customHeight="false" outlineLevel="0" collapsed="false">
      <c r="A40" s="87" t="str">
        <f aca="false">"3. "&amp;INDEX(30_BANKABILITY!$A$45:$A$53,MATCH(SMALL(30_BANKABILITY!$C$45:$C$53,3),30_BANKABILITY!$C$45:$C$53,0))</f>
        <v>3. GATE 6 — REGULATION / PPA</v>
      </c>
      <c r="B40" s="87" t="str">
        <f aca="false">INDEX(30_BANKABILITY!$D$45:$D$53,MATCH(SMALL(30_BANKABILITY!$C$45:$C$53,3),30_BANKABILITY!$C$45:$C$53,0))</f>
        <v>DEVELOPMENT GAP</v>
      </c>
      <c r="D40" s="87" t="str">
        <f aca="false">"3. "&amp;INDEX(30_BANKABILITY!$E$45:$E$53,MATCH(SMALL(30_BANKABILITY!$C$45:$C$53,3),30_BANKABILITY!$C$45:$C$53,0))</f>
        <v>3. Close critical legal/regulatory gaps (tariff pass-through, land, FX) before PPA signature</v>
      </c>
    </row>
    <row r="41" customFormat="false" ht="15" hidden="false" customHeight="false" outlineLevel="0" collapsed="false">
      <c r="A41" s="87" t="str">
        <f aca="false">"4. "&amp;INDEX(30_BANKABILITY!$A$45:$A$53,MATCH(SMALL(30_BANKABILITY!$C$45:$C$53,4),30_BANKABILITY!$C$45:$C$53,0))</f>
        <v>4. GATE 8 — PUBLIC FINANCE</v>
      </c>
      <c r="B41" s="87" t="str">
        <f aca="false">INDEX(30_BANKABILITY!$D$45:$D$53,MATCH(SMALL(30_BANKABILITY!$C$45:$C$53,4),30_BANKABILITY!$C$45:$C$53,0))</f>
        <v>DEVELOPMENT GAP</v>
      </c>
      <c r="D41" s="87" t="str">
        <f aca="false">"4. "&amp;INDEX(30_BANKABILITY!$E$45:$E$53,MATCH(SMALL(30_BANKABILITY!$C$45:$C$53,4),30_BANKABILITY!$C$45:$C$53,0))</f>
        <v>4. Cap guarantees, replace sovereign guarantees with liquidity instruments, record commitments in fiscal risk statement</v>
      </c>
    </row>
    <row r="42" customFormat="false" ht="15" hidden="false" customHeight="false" outlineLevel="0" collapsed="false">
      <c r="A42" s="87" t="str">
        <f aca="false">"5. "&amp;INDEX(30_BANKABILITY!$A$45:$A$53,MATCH(SMALL(30_BANKABILITY!$C$45:$C$53,5),30_BANKABILITY!$C$45:$C$53,0))</f>
        <v>5. GATE 1 — RESOURCE</v>
      </c>
      <c r="B42" s="87" t="str">
        <f aca="false">INDEX(30_BANKABILITY!$D$45:$D$53,MATCH(SMALL(30_BANKABILITY!$C$45:$C$53,5),30_BANKABILITY!$C$45:$C$53,0))</f>
        <v>CONDITIONAL</v>
      </c>
      <c r="D42" s="87" t="str">
        <f aca="false">"5. "&amp;INDEX(30_BANKABILITY!$E$45:$E$53,MATCH(SMALL(30_BANKABILITY!$C$45:$C$53,5),30_BANKABILITY!$C$45:$C$53,0))</f>
        <v>5. Complete independent hydrology review and agree P90 basis with lenders' technical adviser</v>
      </c>
    </row>
  </sheetData>
  <conditionalFormatting sqref="E26:E34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conditionalFormatting sqref="B38:B42">
    <cfRule type="cellIs" priority="6" operator="equal" aboveAverage="0" equalAverage="0" bottom="0" percent="0" rank="0" text="" dxfId="0">
      <formula>"READY"</formula>
    </cfRule>
    <cfRule type="cellIs" priority="7" operator="equal" aboveAverage="0" equalAverage="0" bottom="0" percent="0" rank="0" text="" dxfId="1">
      <formula>"CONDITIONAL"</formula>
    </cfRule>
    <cfRule type="cellIs" priority="8" operator="equal" aboveAverage="0" equalAverage="0" bottom="0" percent="0" rank="0" text="" dxfId="2">
      <formula>"DEVELOPMENT GAP"</formula>
    </cfRule>
    <cfRule type="cellIs" priority="9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1306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1307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8" t="s">
        <v>1308</v>
      </c>
      <c r="C4" s="87" t="str">
        <f aca="false">IF(ABS(17_PROJECT_FINANCE!$C$20-17_PROJECT_FINANCE!$C$11)&lt;0.01,"OK","ERROR")</f>
        <v>OK</v>
      </c>
    </row>
    <row r="5" customFormat="false" ht="15" hidden="false" customHeight="false" outlineLevel="0" collapsed="false">
      <c r="A5" s="8" t="s">
        <v>1309</v>
      </c>
      <c r="C5" s="87" t="str">
        <f aca="false">IF(ABS(SUM(20_CASH_FLOW!$E$7:$AR$7)-SUM(20_CASH_FLOW!$E$8:$AR$8)-SUM(20_CASH_FLOW!$E$9:$AR$9)-SUM(20_CASH_FLOW!$E$10:$AR$10))&lt;0.01,"OK","ERROR")</f>
        <v>OK</v>
      </c>
    </row>
    <row r="6" customFormat="false" ht="15" hidden="false" customHeight="false" outlineLevel="0" collapsed="false">
      <c r="A6" s="8" t="s">
        <v>1310</v>
      </c>
      <c r="C6" s="87" t="str">
        <f aca="false">IF(ABS(06_CONSTRUCTION!$C$23-1)&lt;0.0001,"OK","ERROR")</f>
        <v>OK</v>
      </c>
    </row>
    <row r="7" customFormat="false" ht="15" hidden="false" customHeight="false" outlineLevel="0" collapsed="false">
      <c r="A7" s="8" t="s">
        <v>1311</v>
      </c>
      <c r="C7" s="87" t="str">
        <f aca="false">IF(ABS(18_DEBT!$AR$29)&lt;0.01,"OK","ERROR")</f>
        <v>OK</v>
      </c>
    </row>
    <row r="8" customFormat="false" ht="15" hidden="false" customHeight="false" outlineLevel="0" collapsed="false">
      <c r="A8" s="8" t="s">
        <v>1312</v>
      </c>
      <c r="C8" s="87" t="str">
        <f aca="false">IF(ABS(18_DEBT!$AR$37)&lt;0.01,"OK","ERROR")</f>
        <v>OK</v>
      </c>
    </row>
    <row r="9" customFormat="false" ht="15" hidden="false" customHeight="false" outlineLevel="0" collapsed="false">
      <c r="A9" s="8" t="s">
        <v>1313</v>
      </c>
      <c r="C9" s="87" t="str">
        <f aca="false">IF(17A_STRUCTURES!$C$18+17A_STRUCTURES!$C$19&lt;=02_PROJECT_INPUTS!$C$13,"OK","ERROR")</f>
        <v>OK</v>
      </c>
    </row>
    <row r="10" customFormat="false" ht="15" hidden="false" customHeight="false" outlineLevel="0" collapsed="false">
      <c r="A10" s="8" t="s">
        <v>1314</v>
      </c>
      <c r="C10" s="87" t="str">
        <f aca="false">IF(17A_STRUCTURES!$C$21&lt;=02_PROJECT_INPUTS!$C$13,"OK","ERROR")</f>
        <v>OK</v>
      </c>
    </row>
    <row r="11" customFormat="false" ht="15" hidden="false" customHeight="false" outlineLevel="0" collapsed="false">
      <c r="A11" s="8" t="s">
        <v>1315</v>
      </c>
      <c r="C11" s="87" t="str">
        <f aca="false">IF(06_CONSTRUCTION!$C$7+02_PROJECT_INPUTS!$C$13&lt;=40,"OK","ERROR")</f>
        <v>OK</v>
      </c>
    </row>
    <row r="12" customFormat="false" ht="15" hidden="false" customHeight="false" outlineLevel="0" collapsed="false">
      <c r="A12" s="8" t="s">
        <v>1316</v>
      </c>
      <c r="C12" s="87" t="str">
        <f aca="false">IF(04_GENERATION!$C$20&lt;=04_GENERATION!$C$17+0.001,"OK","ERROR")</f>
        <v>OK</v>
      </c>
    </row>
    <row r="13" customFormat="false" ht="15" hidden="false" customHeight="false" outlineLevel="0" collapsed="false">
      <c r="A13" s="8" t="s">
        <v>1317</v>
      </c>
      <c r="C13" s="87" t="str">
        <f aca="false">IF(MIN(16_REVENUE!$E$24:$AR$24)&gt;=-0.001,"OK","ERROR")</f>
        <v>OK</v>
      </c>
    </row>
    <row r="14" customFormat="false" ht="15" hidden="false" customHeight="false" outlineLevel="0" collapsed="false">
      <c r="A14" s="8" t="s">
        <v>1318</v>
      </c>
      <c r="C14" s="87" t="str">
        <f aca="false">IF(SUMPRODUCT((06_CONSTRUCTION!$E$5:$AR$5=17A_STRUCTURES!$C$21)*(18_DEBT!$E$36:$AR$36-(18_DEBT!$E$35:$AR$35-18_DEBT!$E$34:$AR$34)))&lt;0.5,"OK","WARNING")</f>
        <v>OK</v>
      </c>
    </row>
    <row r="15" customFormat="false" ht="15" hidden="false" customHeight="false" outlineLevel="0" collapsed="false">
      <c r="A15" s="8" t="s">
        <v>1319</v>
      </c>
      <c r="C15" s="87" t="str">
        <f aca="false">IF(MIN(20_CASH_FLOW!$E$26:$AR$26)&gt;=-0.001,"OK","ERROR")</f>
        <v>OK</v>
      </c>
    </row>
    <row r="16" customFormat="false" ht="15" hidden="false" customHeight="false" outlineLevel="0" collapsed="false">
      <c r="A16" s="8" t="s">
        <v>1320</v>
      </c>
      <c r="C16" s="87" t="str">
        <f aca="false">IF(ABS(08_TRANSMISSION!$C$33-17_PROJECT_FINANCE!$C$6-SUMPRODUCT(08_TRANSMISSION!$E$33:$AR$33,06_CONSTRUCTION!$E$14:$AR$14))&lt;0.01,"OK","ERROR")</f>
        <v>OK</v>
      </c>
    </row>
    <row r="17" customFormat="false" ht="15" hidden="false" customHeight="false" outlineLevel="0" collapsed="false">
      <c r="A17" s="8" t="s">
        <v>1321</v>
      </c>
      <c r="C17" s="87" t="str">
        <f aca="false">IF(LEFT(17A_STRUCTURES!$C$24,2)="OK","OK","WARNING")</f>
        <v>OK</v>
      </c>
    </row>
    <row r="19" customFormat="false" ht="15" hidden="false" customHeight="false" outlineLevel="0" collapsed="false">
      <c r="A19" s="4" t="s">
        <v>1322</v>
      </c>
      <c r="B19" s="8"/>
      <c r="C19" s="77" t="str">
        <f aca="false">IF(COUNTIF(C4:C17,"OK")=14,"ALL OK",COUNTIF(C4:C17,"&lt;&gt;OK")&amp;" issue(s)")</f>
        <v>ALL OK</v>
      </c>
    </row>
  </sheetData>
  <conditionalFormatting sqref="C4:C19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0">
      <formula>"ALL OK"</formula>
    </cfRule>
    <cfRule type="cellIs" priority="4" operator="equal" aboveAverage="0" equalAverage="0" bottom="0" percent="0" rank="0" text="" dxfId="3">
      <formula>"ERROR"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2026-10-03T20:59:51Z</dcterms:created>
  <dc:creator>Bankable Hydro</dc:creator>
  <dc:description/>
  <dc:language>en-US</dc:language>
  <cp:lastModifiedBy/>
  <dcterms:modified xsi:type="dcterms:W3CDTF">2026-10-03T20:59:54Z</dcterms:modified>
  <cp:revision>1</cp:revision>
  <dc:subject/>
  <dc:title>Bankable Hydro Integrated Bankability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