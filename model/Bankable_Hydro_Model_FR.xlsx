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8.xml.rels" ContentType="application/vnd.openxmlformats-package.relationships+xml"/>
  <Override PartName="/xl/worksheets/_rels/sheet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00_README" sheetId="2" state="visible" r:id="rId4"/>
    <sheet name="01_CONTROL_PANEL" sheetId="3" state="visible" r:id="rId5"/>
    <sheet name="01A_DEVELOPMENT" sheetId="4" state="visible" r:id="rId6"/>
    <sheet name="02_PROJECT_INPUTS" sheetId="5" state="visible" r:id="rId7"/>
    <sheet name="03_HYDROLOGY" sheetId="6" state="visible" r:id="rId8"/>
    <sheet name="04_GENERATION" sheetId="7" state="visible" r:id="rId9"/>
    <sheet name="05_PLANT_CAPEX" sheetId="8" state="visible" r:id="rId10"/>
    <sheet name="05A_CONTRACTING" sheetId="9" state="visible" r:id="rId11"/>
    <sheet name="06_CONSTRUCTION" sheetId="10" state="visible" r:id="rId12"/>
    <sheet name="07_OPEX" sheetId="11" state="visible" r:id="rId13"/>
    <sheet name="08_TRANSMISSION" sheetId="12" state="visible" r:id="rId14"/>
    <sheet name="09_GRID" sheetId="13" state="visible" r:id="rId15"/>
    <sheet name="10_DEMAND" sheetId="14" state="visible" r:id="rId16"/>
    <sheet name="11_OFFTAKER" sheetId="15" state="visible" r:id="rId17"/>
    <sheet name="12_UTILITY" sheetId="16" state="visible" r:id="rId18"/>
    <sheet name="13_REGULATION" sheetId="17" state="visible" r:id="rId19"/>
    <sheet name="14_PPA" sheetId="18" state="visible" r:id="rId20"/>
    <sheet name="15_TARIFF" sheetId="19" state="visible" r:id="rId21"/>
    <sheet name="16_REVENUE" sheetId="20" state="visible" r:id="rId22"/>
    <sheet name="17_PROJECT_FINANCE" sheetId="21" state="visible" r:id="rId23"/>
    <sheet name="17A_STRUCTURES" sheetId="22" state="visible" r:id="rId24"/>
    <sheet name="18_DEBT" sheetId="23" state="visible" r:id="rId25"/>
    <sheet name="19_EQUITY" sheetId="24" state="visible" r:id="rId26"/>
    <sheet name="20_CASH_FLOW" sheetId="25" state="visible" r:id="rId27"/>
    <sheet name="21_TAX" sheetId="26" state="visible" r:id="rId28"/>
    <sheet name="22_GOVERNMENT_SUPPORT" sheetId="27" state="visible" r:id="rId29"/>
    <sheet name="23_GUARANTEES" sheetId="28" state="visible" r:id="rId30"/>
    <sheet name="24_CONTINGENT_LIABILITIES" sheetId="29" state="visible" r:id="rId31"/>
    <sheet name="25_FISCAL_IMPACT" sheetId="30" state="visible" r:id="rId32"/>
    <sheet name="26_DEBT_SUSTAINABILITY" sheetId="31" state="visible" r:id="rId33"/>
    <sheet name="27_SCENARIOS" sheetId="32" state="visible" r:id="rId34"/>
    <sheet name="28_SENSITIVITY" sheetId="33" state="visible" r:id="rId35"/>
    <sheet name="29_RISK_ALLOCATION" sheetId="34" state="visible" r:id="rId36"/>
    <sheet name="30_BANKABILITY" sheetId="35" state="visible" r:id="rId37"/>
    <sheet name="30A_CLOSE_READINESS" sheetId="36" state="visible" r:id="rId38"/>
    <sheet name="31_CASE_STUDY" sheetId="37" state="visible" r:id="rId39"/>
    <sheet name="32_DASHBOARD" sheetId="38" state="visible" r:id="rId40"/>
    <sheet name="33_CHECKS" sheetId="39" state="visible" r:id="rId41"/>
    <sheet name="34_FRAMEWORK_MAP" sheetId="40" state="visible" r:id="rId42"/>
    <sheet name="35_BOOK_CHECK" sheetId="41" state="visible" r:id="rId43"/>
  </sheets>
  <definedNames>
    <definedName function="false" hidden="false" localSheetId="0" name="_xlnm.Print_Area" vbProcedure="false">COVER!$A$1:$H$46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<sst xmlns="http://schemas.openxmlformats.org/spreadsheetml/2006/main" count="2979" uniqueCount="1684">
  <si>
    <t xml:space="preserve">AFRICA ENERGY FINANCE  |  MODÈLES ÉCONOMIQUES ET FINANCIERS</t>
  </si>
  <si>
    <t xml:space="preserve">MODEL 7</t>
  </si>
  <si>
    <t xml:space="preserve">MODÈLE DE DÉVELOPPEMENT ET FINANCEMENT</t>
  </si>
  <si>
    <t xml:space="preserve">DE L'HYDROÉLECTRICITÉ</t>
  </si>
  <si>
    <t xml:space="preserve">De la rivière au bouclage financier</t>
  </si>
  <si>
    <t xml:space="preserve">Un cadre pour développeurs, prêteurs et États appliqué aux projets hydroélectriques en Afrique</t>
  </si>
  <si>
    <t xml:space="preserve">LE HYDRO READINESS FRAMEWORK™ :  8 questions · 23 portes · 1 décision de bouclage financier</t>
  </si>
  <si>
    <t xml:space="preserve">DÉVELOPPEUR  ·  PRÊTEUR  ·  ÉTAT</t>
  </si>
  <si>
    <t xml:space="preserve">Accompagne le Livre 7, Développement et financement de l'hydroélectricité, et MANUAL 7. Version 1.0, release candidate 1.</t>
  </si>
  <si>
    <t xml:space="preserve">Cas de référence : Kasiri River Hydro, PIE au fil de l'eau de 60 MW, République de Navaria (fictive). Toutes les données sont illustratives.</t>
  </si>
  <si>
    <t xml:space="preserve">STATUT ACTUEL</t>
  </si>
  <si>
    <t xml:space="preserve">Décision de bouclage financier (23 portes)</t>
  </si>
  <si>
    <t xml:space="preserve">Portes franchies</t>
  </si>
  <si>
    <t xml:space="preserve">Filtre de développement (9 portes)</t>
  </si>
  <si>
    <t xml:space="preserve">Filtre budgétaire</t>
  </si>
  <si>
    <t xml:space="preserve">Contrôles d'intégrité du modèle (33_CHECKS)</t>
  </si>
  <si>
    <t xml:space="preserve">Cohérence avec le livre (35_BOOK_CHECK)</t>
  </si>
  <si>
    <t xml:space="preserve">COMMENCER ICI</t>
  </si>
  <si>
    <t xml:space="preserve">00_README</t>
  </si>
  <si>
    <t xml:space="preserve">Rôle du modèle, code couleur, versions</t>
  </si>
  <si>
    <t xml:space="preserve">01_CONTROL_PANEL</t>
  </si>
  <si>
    <t xml:space="preserve">Cas, structure, stress et cas prêteurs</t>
  </si>
  <si>
    <t xml:space="preserve">32_DASHBOARD</t>
  </si>
  <si>
    <t xml:space="preserve">Résultats : projet, financement, développeur, compagnie d'électricité, finances publiques</t>
  </si>
  <si>
    <t xml:space="preserve">30A_CLOSE_READINESS</t>
  </si>
  <si>
    <t xml:space="preserve">Les 23 portes du bouclage financier et la décision</t>
  </si>
  <si>
    <t xml:space="preserve">34_FRAMEWORK_MAP</t>
  </si>
  <si>
    <t xml:space="preserve">Cadre du Livre 7 relié au modèle</t>
  </si>
  <si>
    <t xml:space="preserve">33_CHECKS</t>
  </si>
  <si>
    <t xml:space="preserve">Contrôles d'intégrité</t>
  </si>
  <si>
    <t xml:space="preserve">Auteur et conception : Emmanuel Boujieka Kamga</t>
  </si>
  <si>
    <t xml:space="preserve">Outil d'aide à la décision ; pas un conseil en investissement, juridique, fiscal ou comptable. Remplacer chaque donnée d'entrée par les données du projet avant usage.</t>
  </si>
  <si>
    <t xml:space="preserve">Police bleue = donnée d'entrée ; noire = formule ; verte = lien ; cellule sur fond vert = résultat clé. Pas de macros, pas de références circulaires.</t>
  </si>
  <si>
    <t xml:space="preserve">MODEL 7 — Modèle de développement et de financement de l'hydroélectricité (v1.0 release candidate 1)</t>
  </si>
  <si>
    <t xml:space="preserve">Ce projet peut-il fournir une électricité bancable SANS créer de passifs publics insoutenables ?</t>
  </si>
  <si>
    <t xml:space="preserve">Objet</t>
  </si>
  <si>
    <t xml:space="preserve">Un moteur intégré reliant RESSOURCE HYDRAULIQUE → CENTRALE → TRANSPORT → RÉSEAU → DEMANDE → COMPAGNIE D'ÉLECTRICITÉ → RÉGULATION → CAE → FINANCEMENT → PPP/PIE → SOUTIEN DE L'ÉTAT → EXPOSITION BUDGÉTAIRE → BANCABILITÉ.</t>
  </si>
  <si>
    <t xml:space="preserve">Principe de base</t>
  </si>
  <si>
    <t xml:space="preserve">La faisabilité technique n'est pas la bancabilité financière. La bancabilité financière n'est pas la viabilité des finances publiques.</t>
  </si>
  <si>
    <t xml:space="preserve">Projet de référence</t>
  </si>
  <si>
    <t xml:space="preserve">Kasiri River Hydro (PIE au fil de l'eau de 60 MW), République de Navaria, ENTIÈREMENT FICTIF. Accompagne le Livre 7, Développement et financement de l'hydroélectricité. Toutes les données sont illustratives et doivent être remplacées par les données du projet.</t>
  </si>
  <si>
    <t xml:space="preserve">Utilisateurs</t>
  </si>
  <si>
    <t xml:space="preserve">Développeur, investisseur, prêteur, ministère des Finances / cellule PPP, compagnie d'électricité, IFD, conseiller de transaction — même moteur, lectures différentes (voir le manuel d'utilisation).</t>
  </si>
  <si>
    <t xml:space="preserve">Mode d'emploi</t>
  </si>
  <si>
    <t xml:space="preserve">1) Choisir cas, structure et stress dans 01_CONTROL_PANEL. 2) Remplacer les données bleues des feuilles 02-17A, 21-26. 3) Lire 32_DASHBOARD et 30_BANKABILITY. 4) Vérifier que 33_CHECKS = ALL OK.</t>
  </si>
  <si>
    <t xml:space="preserve">Code couleur</t>
  </si>
  <si>
    <t xml:space="preserve">Police bleue = donnée saisie ; fond jaune = levier clé ; noire = formule ; verte = lien vers une autre feuille ; cellule sur fond vert = résultat clé.</t>
  </si>
  <si>
    <t xml:space="preserve">Unités</t>
  </si>
  <si>
    <t xml:space="preserve">Millions USD nominaux sauf mention contraire ; énergie en GWh ; puissance en MW ; données réelles en USD 2026.</t>
  </si>
  <si>
    <t xml:space="preserve">Calendrier</t>
  </si>
  <si>
    <t xml:space="preserve">Annuel, 40 périodes à partir de l'année de départ du modèle. Construction + concession doivent tenir en 40 ans (contrôlé).</t>
  </si>
  <si>
    <t xml:space="preserve">Circularité</t>
  </si>
  <si>
    <t xml:space="preserve">Aucune (contrôlé avec tools/model/check_cycles.py). Les intérêts intercalaires (IDC) et commissions sont financés par la dette dans la limite du gearing via des facteurs analytiques ; le DSRA est financé par fonds propres ; la dette commerciale est sculptée sur un CFADS du cas prêteurs avec impôt non levier. Simplifications documentées.</t>
  </si>
  <si>
    <t xml:space="preserve">Scénarios</t>
  </si>
  <si>
    <t xml:space="preserve">Trois cas exclusifs (Base/Bas/Haut) + neuf stress combinables + cinq variations de sensibilité. Instantanés du moteur complet : python tools/run_snapshots.py.</t>
  </si>
  <si>
    <t xml:space="preserve">Structures</t>
  </si>
  <si>
    <t xml:space="preserve">Cinq structures dans 17A_STRUCTURES évaluées par le moteur complet (choix dans le panneau de contrôle) et par une comparaison analytique en direct.</t>
  </si>
  <si>
    <t xml:space="preserve">Deux niveaux de portes</t>
  </si>
  <si>
    <t xml:space="preserve">Filtre de développement : 9 portes de bancabilité (30_BANKABILITY), maillon le plus faible avec seuils explicites, utilisées pour décider de poursuivre le développement. Maturité pour le bouclage : 23 portes de preuve (30A_CLOSE_READINESS) regroupées sous les huit questions du Hydro Readiness Framework du Livre 7, donnant STOP / NOT READY / CONDITIONAL GO / GO. 34_FRAMEWORK_MAP relie les deux et le livre.</t>
  </si>
  <si>
    <t xml:space="preserve">Cohérence avec le livre</t>
  </si>
  <si>
    <t xml:space="preserve">35_BOOK_CHECK compare le modèle en direct aux chiffres Kasiri imprimés dans le Livre 7 ; avec les données par défaut, il doit afficher ALL PASS.</t>
  </si>
  <si>
    <t xml:space="preserve">Versions</t>
  </si>
  <si>
    <t xml:space="preserve">Livre 7, Model 7, Manual 7 et Case 7 : v1.0 release candidate 1. La version 1.0 est figée après le test sous Microsoft Excel et la clôture des points ouverts de docs/BOOK7_V04_QA_SUMMARY.md.</t>
  </si>
  <si>
    <t xml:space="preserve">La feuille 26 est un FILTRE D'EXPOSITION BUDGÉTAIRE AU NIVEAU DU PROJET. Elle ne remplace pas l'analyse de viabilité de la dette du FMI et de la Banque mondiale.</t>
  </si>
  <si>
    <t xml:space="preserve">Limites</t>
  </si>
  <si>
    <t xml:space="preserve">Modèle simplifié de la compagnie d'électricité ; valeurs P par approximation normale ; écrêtement proportionnel ; périodicité annuelle ; appels de garantie déterministes ; probabilités fondées sur le jugement de l'utilisateur. Pas un conseil en investissement, juridique ou fiscal.</t>
  </si>
  <si>
    <t xml:space="preserve">Sources</t>
  </si>
  <si>
    <t xml:space="preserve">Voir research/source_database.md et research/case_studies/. Les valeurs de référence provisoires sont signalées ; les remplacer par des valeurs vérifiées avant usage.</t>
  </si>
  <si>
    <t xml:space="preserve">Plan du classeur</t>
  </si>
  <si>
    <t xml:space="preserve">COVER | 00 README | 01 Contrôle, 01A Développement | 02-07 Projet, 05A Contrats | 08-10 Système électrique | 11-12 Acheteur/compagnie | 13-16 Régulation, CAE, tarif, revenus | 17-21 Financement, 17A Structures | 22-26 Finances publiques | 27-28 Scénarios/sensibilité | 29 Répartition des risques | 30 Filtre à 9 portes, 30A Maturité à 23 portes | 31 Étude de cas | 32 Tableau de bord | 33 Contrôles | 34 Carte du cadre | 35 Contrôle livre</t>
  </si>
  <si>
    <t xml:space="preserve">01 PANNEAU DE CONTRÔLE — Choix du scénario, de la structure et du cas</t>
  </si>
  <si>
    <t xml:space="preserve">Bleu = donnée d'entrée. Jaune = levier clé. Chaque stress peut être combiné avec tous les autres.</t>
  </si>
  <si>
    <t xml:space="preserve">A. CHOIX DU CAS ET DE LA PRODUCTION</t>
  </si>
  <si>
    <t xml:space="preserve">Cas du modèle (1=Base, 2=Bas, 3=Haut)</t>
  </si>
  <si>
    <t xml:space="preserve">1-3</t>
  </si>
  <si>
    <t xml:space="preserve">Multiplicateurs des cas dans 27_SCENARIOS</t>
  </si>
  <si>
    <t xml:space="preserve">Cas de production des flux (1=P50, 2=P75, 3=P90)</t>
  </si>
  <si>
    <t xml:space="preserve">Cas FP / promoteur : souvent P50</t>
  </si>
  <si>
    <t xml:space="preserve">Cas de production pour la dette (1=P50, 2=P75, 3=P90 à un an, 4=P90 à dix ans)</t>
  </si>
  <si>
    <t xml:space="preserve">1-4</t>
  </si>
  <si>
    <t xml:space="preserve">Les prêteurs dimensionnent souvent la dette sur un P90 (à un an) : vérifier avec le conseiller technique des prêteurs</t>
  </si>
  <si>
    <t xml:space="preserve">B. STRUCTURE DE LA TRANSACTION</t>
  </si>
  <si>
    <t xml:space="preserve">Structure de financement / PPP (1-5, voir 17A_STRUCTURES)</t>
  </si>
  <si>
    <t xml:space="preserve">1-5</t>
  </si>
  <si>
    <t xml:space="preserve">1 Public | 2 PIE | 3 PPP | 4 Hybride | 5 Financement mixte</t>
  </si>
  <si>
    <t xml:space="preserve">Structure choisie</t>
  </si>
  <si>
    <t xml:space="preserve">Mode de dimensionnement de la dette (1=sculptée dans le modèle, 2=montants figés)</t>
  </si>
  <si>
    <t xml:space="preserve">1-2</t>
  </si>
  <si>
    <t xml:space="preserve">Choisir 2 pour stresser une dette FIGÉE (coller les montants du cas de base dans 18_DEBT)</t>
  </si>
  <si>
    <t xml:space="preserve">Garantie budgétaire de l'État sur le déficit CAE de la compagnie (1=oui, 0=non)</t>
  </si>
  <si>
    <t xml:space="preserve">0/1</t>
  </si>
  <si>
    <t xml:space="preserve">1 : le déficit devient un coût budgétaire. 0 : le déficit devient un appel de garantie ou des arriérés envers le PIE</t>
  </si>
  <si>
    <t xml:space="preserve">Part du déficit couverte par la garantie budgétaire</t>
  </si>
  <si>
    <t xml:space="preserve">%</t>
  </si>
  <si>
    <t xml:space="preserve">Le reste va à la garantie CAE, puis aux arriérés</t>
  </si>
  <si>
    <t xml:space="preserve">C. STRESS (1 = ACTIF). Paramètres dans 27_SCENARIOS</t>
  </si>
  <si>
    <t xml:space="preserve">Sécheresse</t>
  </si>
  <si>
    <t xml:space="preserve">Dépassement du CAPEX</t>
  </si>
  <si>
    <t xml:space="preserve">Retard de construction</t>
  </si>
  <si>
    <t xml:space="preserve">Demande faible</t>
  </si>
  <si>
    <t xml:space="preserve">Stress de l'acheteur</t>
  </si>
  <si>
    <t xml:space="preserve">Dépréciation change</t>
  </si>
  <si>
    <t xml:space="preserve">Taux d'intérêt élevé</t>
  </si>
  <si>
    <t xml:space="preserve">Retard du transport</t>
  </si>
  <si>
    <t xml:space="preserve">Tendance climat. débits</t>
  </si>
  <si>
    <t xml:space="preserve">D. VARIATIONS DE SENSIBILITÉ (en plus du cas et des stress)</t>
  </si>
  <si>
    <t xml:space="preserve">Variation CAPEX</t>
  </si>
  <si>
    <t xml:space="preserve">e.g. 0.10 = +10%</t>
  </si>
  <si>
    <t xml:space="preserve">Variation production</t>
  </si>
  <si>
    <t xml:space="preserve">Variation tarif CAE</t>
  </si>
  <si>
    <t xml:space="preserve">Variation OPEX</t>
  </si>
  <si>
    <t xml:space="preserve">Variation du taux commercial (absolue)</t>
  </si>
  <si>
    <t xml:space="preserve">ex. 0,01 = +100 pb</t>
  </si>
  <si>
    <t xml:space="preserve">E. LECTURE DU SCÉNARIO ACTIF</t>
  </si>
  <si>
    <t xml:space="preserve">Nombre de stress actifs</t>
  </si>
  <si>
    <t xml:space="preserve">#</t>
  </si>
  <si>
    <t xml:space="preserve">TRI du projet (après impôt, sans levier)</t>
  </si>
  <si>
    <t xml:space="preserve">TRI FP privés</t>
  </si>
  <si>
    <t xml:space="preserve">DSCR minimum (cas réel)</t>
  </si>
  <si>
    <t xml:space="preserve">x</t>
  </si>
  <si>
    <t xml:space="preserve">Besoin non couvert</t>
  </si>
  <si>
    <t xml:space="preserve">M USD</t>
  </si>
  <si>
    <t xml:space="preserve">VAN budgétaire pour l'État (négatif = coût net)</t>
  </si>
  <si>
    <t xml:space="preserve">VAN budgétaire consolidée, compagnie publique incluse</t>
  </si>
  <si>
    <t xml:space="preserve">TRI développeur (succès)</t>
  </si>
  <si>
    <t xml:space="preserve">Verdict global de bancabilité</t>
  </si>
  <si>
    <t xml:space="preserve">01A DÉVELOPPEMENT — Du site au bouclage financier : budget, attrition et rendements du développeur</t>
  </si>
  <si>
    <t xml:space="preserve">Les années de développement précèdent le départ du modèle (bouclage financier). Les probabilités sont des jugements de l'utilisateur éclairés par le dossier de recherche, pas des statistiques calibrées.</t>
  </si>
  <si>
    <t xml:space="preserve">A. ÉTAPES DE DÉVELOPPEMENT (données)</t>
  </si>
  <si>
    <t xml:space="preserve">Étape</t>
  </si>
  <si>
    <t xml:space="preserve">Financeur (type)</t>
  </si>
  <si>
    <t xml:space="preserve">Durée (mois)</t>
  </si>
  <si>
    <t xml:space="preserve">Budget (M USD réels)</t>
  </si>
  <si>
    <t xml:space="preserve">P(succès étape suiv.)</t>
  </si>
  <si>
    <t xml:space="preserve">1. Identification du site et reconnaissance</t>
  </si>
  <si>
    <t xml:space="preserve">FP du développeur</t>
  </si>
  <si>
    <t xml:space="preserve">2. Préfaisabilité et début du jaugeage</t>
  </si>
  <si>
    <t xml:space="preserve">Fonds propres du développeur / subvention de préparation</t>
  </si>
  <si>
    <t xml:space="preserve">3. Faisabilité, EIES, études géotechniques et réseau</t>
  </si>
  <si>
    <t xml:space="preserve">FP de dévelop., facilité de préparation</t>
  </si>
  <si>
    <t xml:space="preserve">4. Licences, droits d'eau, foncier et permis</t>
  </si>
  <si>
    <t xml:space="preserve">FP de développement</t>
  </si>
  <si>
    <t xml:space="preserve">5. CAE, convention de mise en œuvre et homologation du tarif</t>
  </si>
  <si>
    <t xml:space="preserve">6. Financement : conseillers des prêteurs, juridique, assurances, bouclage</t>
  </si>
  <si>
    <t xml:space="preserve">FP de dévelop., co-développeur</t>
  </si>
  <si>
    <t xml:space="preserve">Budget total de développement (réel)</t>
  </si>
  <si>
    <t xml:space="preserve">Durée de développement</t>
  </si>
  <si>
    <t xml:space="preserve">ans</t>
  </si>
  <si>
    <t xml:space="preserve">Probabilité d'atteindre le bouclage depuis la reconnaissance</t>
  </si>
  <si>
    <t xml:space="preserve">Budget dévelop. / CAPEX centrale</t>
  </si>
  <si>
    <t xml:space="preserve">B. CONDITIONS DÉVELOPPEUR (données)</t>
  </si>
  <si>
    <t xml:space="preserve">Prime de développement versée au bouclage (% du CAPEX centrale)</t>
  </si>
  <si>
    <t xml:space="preserve">Négociée ; vérifier par rapport au dossier de recherche avant usage</t>
  </si>
  <si>
    <t xml:space="preserve">Prime de développement</t>
  </si>
  <si>
    <t xml:space="preserve">Part du développeur dans les fonds propres privés après bouclage</t>
  </si>
  <si>
    <t xml:space="preserve">Le reste par un co-investisseur ou un fonds</t>
  </si>
  <si>
    <t xml:space="preserve">Taux d'actualisation du développeur pour les flux de développement</t>
  </si>
  <si>
    <t xml:space="preserve">Capital à haut risque ; hypothèse</t>
  </si>
  <si>
    <t xml:space="preserve">Taux d'actualisation des fonds propres au bouclage (risque de construction)</t>
  </si>
  <si>
    <t xml:space="preserve">Hypothèse</t>
  </si>
  <si>
    <t xml:space="preserve">Taux d'actualisation des fonds propres à la COD (actif en exploitation)</t>
  </si>
  <si>
    <t xml:space="preserve">C. FLUX DE DÉVELOPPEMENT SUR LE SCÉNARIO DE SUCCÈS (M USD nominaux ; colonnes = années de développement, dernière = année avant bouclage)</t>
  </si>
  <si>
    <t xml:space="preserve">Année de dévelop.</t>
  </si>
  <si>
    <t xml:space="preserve">Dépense : étape 1</t>
  </si>
  <si>
    <t xml:space="preserve">Dépense : étape 2</t>
  </si>
  <si>
    <t xml:space="preserve">Dépense : étape 3</t>
  </si>
  <si>
    <t xml:space="preserve">Dépense : étape 4</t>
  </si>
  <si>
    <t xml:space="preserve">Dépense : étape 5</t>
  </si>
  <si>
    <t xml:space="preserve">Dépense : étape 6</t>
  </si>
  <si>
    <t xml:space="preserve">Dépense totale de dévelop.</t>
  </si>
  <si>
    <t xml:space="preserve">Probabilité que le projet soit encore en vie au moment de la dépense</t>
  </si>
  <si>
    <t xml:space="preserve">D. RENDEMENTS DÉVELOPPEUR</t>
  </si>
  <si>
    <t xml:space="preserve">Coûts de développement remboursés par le projet au bouclage (nominal)</t>
  </si>
  <si>
    <t xml:space="preserve">Participation du développeur : VAN au bouclage de sa part des flux des fonds propres privés, au taux du bouclage</t>
  </si>
  <si>
    <t xml:space="preserve">Valeur reçue au bouclage sur le scénario de succès (remboursement + prime + VAN fonds propres)</t>
  </si>
  <si>
    <t xml:space="preserve">VA au début du développement des dépenses sur le scénario de succès</t>
  </si>
  <si>
    <t xml:space="preserve">VA des dépenses pondérées par le risque (chaque étape pondérée par sa probabilité d'être atteinte)</t>
  </si>
  <si>
    <t xml:space="preserve">VA au début du développement de la valeur reçue au bouclage</t>
  </si>
  <si>
    <t xml:space="preserve">VAN du développeur si le projet atteint le bouclage</t>
  </si>
  <si>
    <t xml:space="preserve">VAN DU DÉVELOPPEUR PONDÉRÉE PAR LE RISQUE (espérée, depuis la reconnaissance)</t>
  </si>
  <si>
    <t xml:space="preserve">Prime de développement qui annule la VAN pondérée par le risque, au premier ordre (coût de la centrale et fonds propres fixes ; la valeur du moteur complet est dans l'instantané)</t>
  </si>
  <si>
    <t xml:space="preserve">  en % du CAPEX centrale</t>
  </si>
  <si>
    <t xml:space="preserve">Probabilité d'atteindre le bouclage au point mort, à la prime actuelle (indicatif : pondérations des dépenses fixes ; n/a si le projet perd de la valeur même sur le scénario de succès)</t>
  </si>
  <si>
    <t xml:space="preserve">D2. VALEUR DE LA POSITION DE DÉVELOPPEMENT AU DÉBUT DE CHAQUE ÉTAPE (pondérée par le risque, réelle, 100 %)</t>
  </si>
  <si>
    <t xml:space="preserve">Étape à venir</t>
  </si>
  <si>
    <t xml:space="preserve">P(bouclage) d'ici</t>
  </si>
  <si>
    <t xml:space="preserve">VA valeur au bouclage</t>
  </si>
  <si>
    <t xml:space="preserve">VA des dépenses restantes</t>
  </si>
  <si>
    <t xml:space="preserve">Valeur pondérée risque</t>
  </si>
  <si>
    <t xml:space="preserve">Lecture : la valeur pondérée par le risque est ce que vaut toute la position de développement, avant le début de l'étape, pour un acheteur appliquant le taux d'actualisation du développeur. C'est le point de départ pour fixer le prix d'entrée d'un co-développeur.</t>
  </si>
  <si>
    <t xml:space="preserve">E. REVALORISATIONS (fonds propres privés, 100 %)</t>
  </si>
  <si>
    <t xml:space="preserve">Fonds propres privés apportés (nominal)</t>
  </si>
  <si>
    <t xml:space="preserve">Valeur des fonds propres privés au bouclage (VAN de tous les flux au taux du bouclage, plus apports en VA)</t>
  </si>
  <si>
    <t xml:space="preserve">Valeur des fonds propres privés à la COD (flux d'exploitation seuls, au taux COD, actualisés au bouclage)</t>
  </si>
  <si>
    <t xml:space="preserve">Valeur créée au bouclage (valeur au bouclage moins VA des apports)</t>
  </si>
  <si>
    <t xml:space="preserve">Revalorisation par réduction du risque, du bouclage à la COD (en VA)</t>
  </si>
  <si>
    <t xml:space="preserve">F. FLUX DU DÉVELOPPEUR SUR LE SCÉNARIO DE SUCCÈS, AVEC CESSION PARTIELLE À LA COD</t>
  </si>
  <si>
    <t xml:space="preserve">Part de la participation du développeur cédée à la COD</t>
  </si>
  <si>
    <t xml:space="preserve">Cession à la valeur COD des fonds propres en exploitation (taux de la section E)</t>
  </si>
  <si>
    <t xml:space="preserve">Valeur de 100 % des fonds propres privés à la COD (fin de construction), au taux COD</t>
  </si>
  <si>
    <t xml:space="preserve">Produit de cession pour le développeur</t>
  </si>
  <si>
    <t xml:space="preserve">Année</t>
  </si>
  <si>
    <t xml:space="preserve">Flux du développeur (M USD)</t>
  </si>
  <si>
    <t xml:space="preserve">TRI DU DÉVELOPPEUR sur le scénario de succès (des dépenses de développement à la dernière distribution)</t>
  </si>
  <si>
    <t xml:space="preserve">Multiple de trésorerie du développeur (entrées / sorties)</t>
  </si>
  <si>
    <t xml:space="preserve">Trésorerie cumulée maximale à risque du développeur</t>
  </si>
  <si>
    <t xml:space="preserve">Lecture : la VAN pondérée par le risque indique si un développeur doit se lancer ; le TRI et le multiple sur le scénario de succès indiquent ce qu'il gagne s'il boucle ; les revalorisations montrent où la valeur se crée entre le bouclage et la COD. Les promotes et le carried interest ne sont pas modélisés.</t>
  </si>
  <si>
    <t xml:space="preserve">02 DONNÉES DU PROJET — Projet de référence fictif : Kasiri River Hydro (PIE privé de 60 MW)</t>
  </si>
  <si>
    <t xml:space="preserve">Toutes les données sont FICTIVES, construites pour la formation. Aucune donnée de projet confidentielle.</t>
  </si>
  <si>
    <t xml:space="preserve">A. IDENTITÉ DU PROJET</t>
  </si>
  <si>
    <t xml:space="preserve">Nom du projet</t>
  </si>
  <si>
    <t xml:space="preserve">Kasiri River Hydro (KRH)</t>
  </si>
  <si>
    <t xml:space="preserve">PIE privé fictif de 60 MW</t>
  </si>
  <si>
    <t xml:space="preserve">Pays</t>
  </si>
  <si>
    <t xml:space="preserve">République de Navaria</t>
  </si>
  <si>
    <t xml:space="preserve">Pays fictif d'Afrique subsaharienne</t>
  </si>
  <si>
    <t xml:space="preserve">Rivière / bassin</t>
  </si>
  <si>
    <t xml:space="preserve">Rivière Kasiri</t>
  </si>
  <si>
    <t xml:space="preserve">Fictif ; régime tropical bimodal, bassin versant à forte pente</t>
  </si>
  <si>
    <t xml:space="preserve">Type d'aménagement</t>
  </si>
  <si>
    <t xml:space="preserve">Au fil de l'eau avec petite retenue journalière</t>
  </si>
  <si>
    <t xml:space="preserve">B. CALENDRIER</t>
  </si>
  <si>
    <t xml:space="preserve">Année de départ du modèle / bouclage financier (t=1)</t>
  </si>
  <si>
    <t xml:space="preserve">année</t>
  </si>
  <si>
    <t xml:space="preserve">Année de base des prix réels</t>
  </si>
  <si>
    <t xml:space="preserve">Toutes les données « réelles » en USD 2026</t>
  </si>
  <si>
    <t xml:space="preserve">Durée de construction de base</t>
  </si>
  <si>
    <t xml:space="preserve">IFC 2015 : jusqu'à environ 4 ans pour les grands ouvrages ; petite hydro en ASS observée à 19-29 mois [hydro_development_evidence]</t>
  </si>
  <si>
    <t xml:space="preserve">Durée d'exploitation concession / CAE</t>
  </si>
  <si>
    <t xml:space="preserve">CAE de 20 ans plus une prolongation supposée de 5 ans au même tarif (hypothèse)</t>
  </si>
  <si>
    <t xml:space="preserve">C. CENTRALE</t>
  </si>
  <si>
    <t xml:space="preserve">Puissance installée</t>
  </si>
  <si>
    <t xml:space="preserve">MW</t>
  </si>
  <si>
    <t xml:space="preserve">3 groupes Francis de 20 MW (fictif)</t>
  </si>
  <si>
    <t xml:space="preserve">Nombre de groupes</t>
  </si>
  <si>
    <t xml:space="preserve">D. MACRO (modèle en USD, compagnie en monnaie locale)</t>
  </si>
  <si>
    <t xml:space="preserve">IPC américain (indexation USD)</t>
  </si>
  <si>
    <t xml:space="preserve">% p.a.</t>
  </si>
  <si>
    <t xml:space="preserve">IPC local (lire navarienne, NVL)</t>
  </si>
  <si>
    <t xml:space="preserve">Taux de change année de base</t>
  </si>
  <si>
    <t xml:space="preserve">NVL/USD</t>
  </si>
  <si>
    <t xml:space="preserve">Fictif</t>
  </si>
  <si>
    <t xml:space="preserve">Dépréciation nominale NVL/USD (cas de base)</t>
  </si>
  <si>
    <t xml:space="preserve">Environ l'écart d'inflation (PPA) — hypothèse</t>
  </si>
  <si>
    <t xml:space="preserve">Indexation du CAPEX pendant la construction</t>
  </si>
  <si>
    <t xml:space="preserve">Taux d'actualisation du projet (USD nominal) pour VAN/LCOE</t>
  </si>
  <si>
    <t xml:space="preserve">Hypothèse ; remplacer par le CMPC du promoteur</t>
  </si>
  <si>
    <t xml:space="preserve">Taux d'actualisation État (VA budgétaire)</t>
  </si>
  <si>
    <t xml:space="preserve">Approximation : coût d'emprunt souverain en USD — hypothèse</t>
  </si>
  <si>
    <t xml:space="preserve">03 HYDROLOGIE — Débit, chute, rendement → énergie mensuelle et annuelle ; P50/P75/P90</t>
  </si>
  <si>
    <t xml:space="preserve">Énergie installée, disponible, attendue et contractuelle restent distinctes (voir 04_GENERATION)</t>
  </si>
  <si>
    <t xml:space="preserve">A. PARAMÈTRES HYDRAULIQUES</t>
  </si>
  <si>
    <t xml:space="preserve">Débit d'équipement des turbines</t>
  </si>
  <si>
    <t xml:space="preserve">m3/s</t>
  </si>
  <si>
    <t xml:space="preserve">Chute nette nominale</t>
  </si>
  <si>
    <t xml:space="preserve">m</t>
  </si>
  <si>
    <t xml:space="preserve">Rendement des turbines</t>
  </si>
  <si>
    <t xml:space="preserve">Hypothèse (sans source)</t>
  </si>
  <si>
    <t xml:space="preserve">Rendement alternateur et transformateur</t>
  </si>
  <si>
    <t xml:space="preserve">Débit réservé</t>
  </si>
  <si>
    <t xml:space="preserve">Fixé par l'EIES / le permis d'eau</t>
  </si>
  <si>
    <t xml:space="preserve">Disponibilité (arrêts planifiés + fortuits)</t>
  </si>
  <si>
    <t xml:space="preserve">Disponibilité de la 1re année (montée en charge)</t>
  </si>
  <si>
    <t xml:space="preserve">Masse volumique de l'eau</t>
  </si>
  <si>
    <t xml:space="preserve">kg/m3</t>
  </si>
  <si>
    <t xml:space="preserve">Constante physique</t>
  </si>
  <si>
    <t xml:space="preserve">Gravité</t>
  </si>
  <si>
    <t xml:space="preserve">m/s2</t>
  </si>
  <si>
    <t xml:space="preserve">B. INCERTITUDE HYDROLOGIQUE</t>
  </si>
  <si>
    <t xml:space="preserve">Coefficient de variation interannuel de l'énergie</t>
  </si>
  <si>
    <t xml:space="preserve">Petit bassin à forte pente : plus variable qu'un grand fleuve (hypothèse)</t>
  </si>
  <si>
    <t xml:space="preserve">Score z normal pour P75</t>
  </si>
  <si>
    <t xml:space="preserve">Approximation normale ; remplacer par la distribution empirique si disponible</t>
  </si>
  <si>
    <t xml:space="preserve">Score z normal pour P90</t>
  </si>
  <si>
    <t xml:space="preserve">Durée de la série de débits fiable</t>
  </si>
  <si>
    <t xml:space="preserve">Jaugeage commencé en préfaisabilité plus corrélation régionale (fictif)</t>
  </si>
  <si>
    <t xml:space="preserve">Maturité de l'étude hydrologique (1=bureau, 2=niveau EF, 3=revue indépendante)</t>
  </si>
  <si>
    <t xml:space="preserve">Test GATE 1</t>
  </si>
  <si>
    <t xml:space="preserve">C. DÉBIT MOYEN MENSUEL (moyenne de long terme, régime bimodal fictif)</t>
  </si>
  <si>
    <t xml:space="preserve">Mois</t>
  </si>
  <si>
    <t xml:space="preserve">Annuel</t>
  </si>
  <si>
    <t xml:space="preserve">Janv.</t>
  </si>
  <si>
    <t xml:space="preserve">Févr.</t>
  </si>
  <si>
    <t xml:space="preserve">Mars</t>
  </si>
  <si>
    <t xml:space="preserve">Avr.</t>
  </si>
  <si>
    <t xml:space="preserve">Mai</t>
  </si>
  <si>
    <t xml:space="preserve">Juin</t>
  </si>
  <si>
    <t xml:space="preserve">Juil.</t>
  </si>
  <si>
    <t xml:space="preserve">Août</t>
  </si>
  <si>
    <t xml:space="preserve">Sept.</t>
  </si>
  <si>
    <t xml:space="preserve">Oct.</t>
  </si>
  <si>
    <t xml:space="preserve">Nov.</t>
  </si>
  <si>
    <t xml:space="preserve">Déc.</t>
  </si>
  <si>
    <t xml:space="preserve">Jours par mois</t>
  </si>
  <si>
    <t xml:space="preserve">jours</t>
  </si>
  <si>
    <t xml:space="preserve">Débit moyen rivière</t>
  </si>
  <si>
    <t xml:space="preserve">Débit turbinable = MIN(MAX(Q - débit réservé,0), Q équipement)</t>
  </si>
  <si>
    <t xml:space="preserve">Puissance moyenne = MIN(rho*g*Q*H*eta/1e6, installée)</t>
  </si>
  <si>
    <t xml:space="preserve">Énergie à 100 % de disponibilité</t>
  </si>
  <si>
    <t xml:space="preserve">GWh</t>
  </si>
  <si>
    <t xml:space="preserve">Énergie attendue (x disponibilité)</t>
  </si>
  <si>
    <t xml:space="preserve">Débit déversé (&gt; débit d'équip.)</t>
  </si>
  <si>
    <t xml:space="preserve">Note de méthode : l'énergie calculée sur les débits mensuels moyens de long terme surestime l'énergie quand les débits dépassent le débit d'équipement certaines années (inégalité de Jensen). Remplacer par une simulation journalière ou mensuelle sur toute la série quand elle est disponible.</t>
  </si>
  <si>
    <t xml:space="preserve">D. STATISTIQUES D'ÉNERGIE ANNUELLE</t>
  </si>
  <si>
    <t xml:space="preserve">Énergie annuelle P50 (attendue, long terme)</t>
  </si>
  <si>
    <t xml:space="preserve">Énergie annuelle P75</t>
  </si>
  <si>
    <t xml:space="preserve">Énergie annuelle P90 (à un an)</t>
  </si>
  <si>
    <t xml:space="preserve">Corrélation interannuelle de l'énergie (persistance des années sèches)</t>
  </si>
  <si>
    <t xml:space="preserve">Hypothèse ; estimer à partir de la série de débits</t>
  </si>
  <si>
    <t xml:space="preserve">P90 de l'énergie moyenne sur 10 ans (avec persistance)</t>
  </si>
  <si>
    <t xml:space="preserve">Facteur de charge au P50</t>
  </si>
  <si>
    <t xml:space="preserve">Puissance disponible (installée x disponibilité)</t>
  </si>
  <si>
    <t xml:space="preserve">Production moyenne au P50</t>
  </si>
  <si>
    <t xml:space="preserve">Puissance garantie saison sèche (mois min.)</t>
  </si>
  <si>
    <t xml:space="preserve">Ratio P90 / P50</t>
  </si>
  <si>
    <t xml:space="preserve">Contrôle : puissance théorique au débit d'équip.</t>
  </si>
  <si>
    <t xml:space="preserve">Doit être ≥ puissance installée</t>
  </si>
  <si>
    <t xml:space="preserve">04 PRODUCTION — Installée, disponible, attendue, évacuée, livrée, contractuelle</t>
  </si>
  <si>
    <t xml:space="preserve">Cas hydrologique, fenêtre de sécheresse et tendance climatique appliqués ici</t>
  </si>
  <si>
    <t xml:space="preserve">Énergie du cas de production choisi (P50/P75/P90)</t>
  </si>
  <si>
    <t xml:space="preserve">Énergie cas prêteurs</t>
  </si>
  <si>
    <t xml:space="preserve">A. PUISSANCE</t>
  </si>
  <si>
    <t xml:space="preserve">Puissance disponible (x disponibilité)</t>
  </si>
  <si>
    <t xml:space="preserve">B. FACTEURS HYDROLOGIQUES</t>
  </si>
  <si>
    <t xml:space="preserve">Facteur sécheresse</t>
  </si>
  <si>
    <t xml:space="preserve">Facteur tendance clim.</t>
  </si>
  <si>
    <t xml:space="preserve">Facteur de montée en charge</t>
  </si>
  <si>
    <t xml:space="preserve">C. ÉNERGIE (GWh)</t>
  </si>
  <si>
    <t xml:space="preserve">Production attendue, P50 (référence)</t>
  </si>
  <si>
    <t xml:space="preserve">Production — cas choisi</t>
  </si>
  <si>
    <t xml:space="preserve">Énergie évacuable (x taux d'évacuation)</t>
  </si>
  <si>
    <t xml:space="preserve">Écrêtement — transport / réseau</t>
  </si>
  <si>
    <t xml:space="preserve">Énergie livrée (absorbée par la demande)</t>
  </si>
  <si>
    <t xml:space="preserve">Écrêtement — demande insuffisante</t>
  </si>
  <si>
    <t xml:space="preserve">Énergie contractuelle (référence P50)</t>
  </si>
  <si>
    <t xml:space="preserve">Production du cas prêteurs</t>
  </si>
  <si>
    <t xml:space="preserve">Facteur de charge (cas choisi)</t>
  </si>
  <si>
    <t xml:space="preserve">05 CAPEX CENTRALE — USD réels 2026, avant indexation</t>
  </si>
  <si>
    <t xml:space="preserve">Estimation fictive ; comparer aux fourchettes de référence (base de sources)</t>
  </si>
  <si>
    <t xml:space="preserve">A. VENTILATION DES COÛTS (M USD réels 2026)</t>
  </si>
  <si>
    <t xml:space="preserve">Génie civil (seuil, prise d'eau, galerie d'amenée, conduite forcée, centrale)</t>
  </si>
  <si>
    <t xml:space="preserve">Équipements hydromécaniques (vannes, blindage)</t>
  </si>
  <si>
    <t xml:space="preserve">Électromécanique (turbines, alternateurs, poste)</t>
  </si>
  <si>
    <t xml:space="preserve">Environnemental et social (PAR, moyens de subsistance, compensations)</t>
  </si>
  <si>
    <t xml:space="preserve">Ingénierie, supervision, ingénieur du maître d'ouvrage</t>
  </si>
  <si>
    <t xml:space="preserve">Coûts maître d'ouvrage (construction)</t>
  </si>
  <si>
    <t xml:space="preserve">Coûts de développement remboursés au bouclage (de 01A_DEVELOPMENT)</t>
  </si>
  <si>
    <t xml:space="preserve">Prime de risque de l'entrepreneur sur génie civil, hydromécanique et électromécanique (de 05A_CONTRACTING)</t>
  </si>
  <si>
    <t xml:space="preserve">Sous-total avant aléas</t>
  </si>
  <si>
    <t xml:space="preserve">Aléas physiques</t>
  </si>
  <si>
    <t xml:space="preserve">IFC 2015 : provision médiane de 9,8 % du coût total de la centrale (5,4-12,6 %)</t>
  </si>
  <si>
    <t xml:space="preserve">CAPEX de base centrale (réel 2026)</t>
  </si>
  <si>
    <t xml:space="preserve">CAPEX unitaire</t>
  </si>
  <si>
    <t xml:space="preserve">USD/kW</t>
  </si>
  <si>
    <t xml:space="preserve">Surcoût par année de retard (réclamations, coûts du maître d'ouvrage, indexation)</t>
  </si>
  <si>
    <t xml:space="preserve">% par an</t>
  </si>
  <si>
    <t xml:space="preserve">Maturité de la faisabilité (1=pré-EF, 2=EF, 3=EF bancable + revue LTA)</t>
  </si>
  <si>
    <t xml:space="preserve">Test GATE 3</t>
  </si>
  <si>
    <t xml:space="preserve">B. RÉFÉRENCE (voir research/source_database.md)</t>
  </si>
  <si>
    <t xml:space="preserve">CAPEX unitaire de référence — central</t>
  </si>
  <si>
    <t xml:space="preserve">IRENA RPGC 2024 tableau 6.3 : grande hydro en Afrique, moyenne pondérée 2018-24 = 2 515 (USD 2024/kW) ; fourchette 2 330-3 290 [HY-01, PF-11]. Écart d'année de prix avec 2026 non corrigé</t>
  </si>
  <si>
    <t xml:space="preserve">CAPEX unitaire / référence</t>
  </si>
  <si>
    <t xml:space="preserve">05A CONTRATS — Qui porte le risque de construction, et à quel prix</t>
  </si>
  <si>
    <t xml:space="preserve">Paramètres indicatifs pour comparer les structures ; remplacer par les offres. Le risque géologique reste en général au maître d'ouvrage, quel que soit l'intitulé.</t>
  </si>
  <si>
    <t xml:space="preserve">Structure contractuelle (1=EPC clés en main forfaitaire, 2=lots séparés génie civil + électromécanique, 3=multicontrats, intégration par le maître d'ouvrage)</t>
  </si>
  <si>
    <t xml:space="preserve">Paramètre</t>
  </si>
  <si>
    <t xml:space="preserve">Unité</t>
  </si>
  <si>
    <t xml:space="preserve">CHOISI</t>
  </si>
  <si>
    <t xml:space="preserve">1 EPC clés en main</t>
  </si>
  <si>
    <t xml:space="preserve">2 Lots séparés</t>
  </si>
  <si>
    <t xml:space="preserve">3 Multicontrats</t>
  </si>
  <si>
    <t xml:space="preserve">Prime de risque de l'entrepreneur sur génie civil, HM et électromécanique</t>
  </si>
  <si>
    <t xml:space="preserve">Part d'un dépassement portée par le MOA</t>
  </si>
  <si>
    <t xml:space="preserve">Part du coût de retard portée par le maître d'ouvrage (après pénalités forfaitaires)</t>
  </si>
  <si>
    <t xml:space="preserve">Risque d'interface (qualitatif, 1 faible à 3 élevé)</t>
  </si>
  <si>
    <t xml:space="preserve">L'EPC clés en main achète la certitude de prix et de délai moyennant une prime, mais les conditions géologiques imprévues sont souvent exclues ou plafonnées ; le Livre Émeraude de la FIDIC (2019) répartit le risque du sous-sol au moyen d'un rapport géotechnique de référence. Le multicontrat est moins cher sur le papier et laisse le risque d'interface et de dépassement au maître d'ouvrage.</t>
  </si>
  <si>
    <t xml:space="preserve">06 CONSTRUCTION — Calendrier maître, indices d'indexation et de change, phasage du CAPEX</t>
  </si>
  <si>
    <t xml:space="preserve">Les indicateurs pilotent toutes les séries</t>
  </si>
  <si>
    <t xml:space="preserve">Année civile</t>
  </si>
  <si>
    <t xml:space="preserve">Année d'exploit.</t>
  </si>
  <si>
    <t xml:space="preserve">Durée effective de construction</t>
  </si>
  <si>
    <t xml:space="preserve">Date de mise en service commerciale (1re année pleine)</t>
  </si>
  <si>
    <t xml:space="preserve">CAPEX centrale (réel 2026), y c. cas, dépassement et coûts de retard</t>
  </si>
  <si>
    <t xml:space="preserve">INDICATEURS</t>
  </si>
  <si>
    <t xml:space="preserve">Indice de période t</t>
  </si>
  <si>
    <t xml:space="preserve">Indic. construction</t>
  </si>
  <si>
    <t xml:space="preserve">indic.</t>
  </si>
  <si>
    <t xml:space="preserve">Indic. exploitation</t>
  </si>
  <si>
    <t xml:space="preserve">Indic. dernière année constr.</t>
  </si>
  <si>
    <t xml:space="preserve">INDICES</t>
  </si>
  <si>
    <t xml:space="preserve">Indice IPC US (2026 = 1)</t>
  </si>
  <si>
    <t xml:space="preserve">Indice IPC local (2026 = 1)</t>
  </si>
  <si>
    <t xml:space="preserve">Taux de change</t>
  </si>
  <si>
    <t xml:space="preserve">Indice de change (2026 = 1)</t>
  </si>
  <si>
    <t xml:space="preserve">Indice d'indexation du CAPEX</t>
  </si>
  <si>
    <t xml:space="preserve">PHASAGE DU CAPEX CENTRALE (courbe en S sinusoïdale sur la durée effective)</t>
  </si>
  <si>
    <t xml:space="preserve">Part du CAPEX (somme = 100 %)</t>
  </si>
  <si>
    <t xml:space="preserve">Part cumulée du CAPEX</t>
  </si>
  <si>
    <t xml:space="preserve">CAPEX centrale, nominal</t>
  </si>
  <si>
    <t xml:space="preserve">Poids de la courbe en S_t = sin(pi(t-0.5)/N)·sin(pi/2N) — forme analytique dont la somme vaut exactement 1 pour tout N. Remplacer par l'échéancier de paiement EPC quand il est disponible.</t>
  </si>
  <si>
    <t xml:space="preserve">07 OPEX — Coûts d'exploitation de la centrale et paiements à l'État</t>
  </si>
  <si>
    <t xml:space="preserve">Données réelles 2026 indexées IPC US</t>
  </si>
  <si>
    <t xml:space="preserve">A. DONNÉES</t>
  </si>
  <si>
    <t xml:space="preserve">O&amp;M fixe (personnel, contrats de maintenance)</t>
  </si>
  <si>
    <t xml:space="preserve">M USD/an réels</t>
  </si>
  <si>
    <t xml:space="preserve">Environ 1,6 % du CAPEX ; fourchette IFC 1-4 % [hydro_development_evidence]</t>
  </si>
  <si>
    <t xml:space="preserve">O&amp;M variable</t>
  </si>
  <si>
    <t xml:space="preserve">USD/MWh réels</t>
  </si>
  <si>
    <t xml:space="preserve">Assurance</t>
  </si>
  <si>
    <t xml:space="preserve">% du CAPEX par an</t>
  </si>
  <si>
    <t xml:space="preserve">Dotation à la réserve de gros entretien</t>
  </si>
  <si>
    <t xml:space="preserve">Frais généraux, suivi E&amp;S, programmes communautaires</t>
  </si>
  <si>
    <t xml:space="preserve">Redevance d'eau / redevance sur la ressource à l'État</t>
  </si>
  <si>
    <t xml:space="preserve">Recette budgétaire</t>
  </si>
  <si>
    <t xml:space="preserve">B. CALCULS (M USD nominaux)</t>
  </si>
  <si>
    <t xml:space="preserve">O&amp;M fixe</t>
  </si>
  <si>
    <t xml:space="preserve">Réserve de gros entretien</t>
  </si>
  <si>
    <t xml:space="preserve">Frais généraux / E&amp;S / communautés</t>
  </si>
  <si>
    <t xml:space="preserve">O&amp;M transport et transit (si détenu par le projet)</t>
  </si>
  <si>
    <t xml:space="preserve">OPEX total</t>
  </si>
  <si>
    <t xml:space="preserve">Redevance d'eau (à l'État)</t>
  </si>
  <si>
    <t xml:space="preserve">Redevance d'eau — cas prêteurs</t>
  </si>
  <si>
    <t xml:space="preserve">08 TRANSPORT — Ligne d'évacuation, postes, renforcement, écart de préparation</t>
  </si>
  <si>
    <t xml:space="preserve">Question : la centrale peut-elle évacuer l'électricité qu'elle produit ?</t>
  </si>
  <si>
    <t xml:space="preserve">Point de raccord.</t>
  </si>
  <si>
    <t xml:space="preserve">Poste 400 kV de Kabanga (fictif)</t>
  </si>
  <si>
    <t xml:space="preserve">Longueur de ligne</t>
  </si>
  <si>
    <t xml:space="preserve">km</t>
  </si>
  <si>
    <t xml:space="preserve">Tension</t>
  </si>
  <si>
    <t xml:space="preserve">kV</t>
  </si>
  <si>
    <t xml:space="preserve">Capacité de transit thermique / stabilité de la ligne</t>
  </si>
  <si>
    <t xml:space="preserve">Confirmer par étude de répartition</t>
  </si>
  <si>
    <t xml:space="preserve">Coût de ligne par km (réel 2026)</t>
  </si>
  <si>
    <t xml:space="preserve">M USD/km</t>
  </si>
  <si>
    <t xml:space="preserve">Hypothèse pour un terne 132 kV ; EAPP 2014 donne 0,27-0,63 M USD(2012)/km en 220 kV [TX-04]</t>
  </si>
  <si>
    <t xml:space="preserve">Postes et extension du poste d'évacuation</t>
  </si>
  <si>
    <t xml:space="preserve">Renforcement du réseau en aval</t>
  </si>
  <si>
    <t xml:space="preserve">Fictif ; issu de l'étude d'impact réseau</t>
  </si>
  <si>
    <t xml:space="preserve">Durée de construction du transport</t>
  </si>
  <si>
    <t xml:space="preserve">Pertes jusqu'au centre de charge</t>
  </si>
  <si>
    <t xml:space="preserve">O&amp;M du transport</t>
  </si>
  <si>
    <t xml:space="preserve">% capex par an</t>
  </si>
  <si>
    <t xml:space="preserve">Qui construit et finance le transport (1=État/compagnie, 2=société de projet)</t>
  </si>
  <si>
    <t xml:space="preserve">Le projet construit l'interconnexion et la transfère à la compagnie à la COD</t>
  </si>
  <si>
    <t xml:space="preserve">COD prévue du transport par rapport à la COD centrale (ans, + = retard)</t>
  </si>
  <si>
    <t xml:space="preserve">Évacuation provisoire par le réseau existant</t>
  </si>
  <si>
    <t xml:space="preserve">Si ligne non prête</t>
  </si>
  <si>
    <t xml:space="preserve">Frais de transit / d'utilisation du réseau à la charge du projet</t>
  </si>
  <si>
    <t xml:space="preserve">USD/MWh</t>
  </si>
  <si>
    <t xml:space="preserve">Mettre &gt;0 si ventes tiers/export</t>
  </si>
  <si>
    <t xml:space="preserve">Financement du transport obtenu (1=oui, 0=non)</t>
  </si>
  <si>
    <t xml:space="preserve">Inclus dans le financement du projet</t>
  </si>
  <si>
    <t xml:space="preserve">B. CALCULS</t>
  </si>
  <si>
    <t xml:space="preserve">CAPEX transport (réel 2026, y c. cas et dépassement)</t>
  </si>
  <si>
    <t xml:space="preserve">COD prévue du transport (année)</t>
  </si>
  <si>
    <t xml:space="preserve">COD effective du transport (année)</t>
  </si>
  <si>
    <t xml:space="preserve">Écart de préparation du transport — délai</t>
  </si>
  <si>
    <t xml:space="preserve">Écart de préparation du transport — capacité à la COD</t>
  </si>
  <si>
    <t xml:space="preserve">Coût de raccordement par kW de centrale</t>
  </si>
  <si>
    <t xml:space="preserve">Indicateur ligne en service</t>
  </si>
  <si>
    <t xml:space="preserve">CAPEX transport, nominal</t>
  </si>
  <si>
    <t xml:space="preserve">  dont public (État/compagnie)</t>
  </si>
  <si>
    <t xml:space="preserve">  dont société de projet</t>
  </si>
  <si>
    <t xml:space="preserve">O&amp;M du transport (une fois en service)</t>
  </si>
  <si>
    <t xml:space="preserve">Pertes de transport sur l'énergie livrée</t>
  </si>
  <si>
    <t xml:space="preserve">Frais de transit payés par le projet</t>
  </si>
  <si>
    <t xml:space="preserve">09 RÉSEAU — Taille du système, limite d'absorption, part du projet dans la pointe</t>
  </si>
  <si>
    <t xml:space="preserve">Filtre simplifié — ne remplace pas les études de répartition des charges / de stabilité</t>
  </si>
  <si>
    <t xml:space="preserve">Pointe du système (2026)</t>
  </si>
  <si>
    <t xml:space="preserve">Charge min. en % de la pointe</t>
  </si>
  <si>
    <t xml:space="preserve">Production fatale à la charge minimale</t>
  </si>
  <si>
    <t xml:space="preserve">Base existante / fil de l'eau</t>
  </si>
  <si>
    <t xml:space="preserve">Capacité d'interconnexion à l'export</t>
  </si>
  <si>
    <t xml:space="preserve">Puissance installée existante</t>
  </si>
  <si>
    <t xml:space="preserve">Pointe du système</t>
  </si>
  <si>
    <t xml:space="preserve">Limite d'absorption à charge min.</t>
  </si>
  <si>
    <t xml:space="preserve">Capacité de ligne disponible pour le projet</t>
  </si>
  <si>
    <t xml:space="preserve">Capacité d'évacuation effective = MIN(ligne, absorption)</t>
  </si>
  <si>
    <t xml:space="preserve">Taux d'évacuation (plafonné à 1)</t>
  </si>
  <si>
    <t xml:space="preserve">Part projet dans la pointe</t>
  </si>
  <si>
    <t xml:space="preserve">Marge de réserve, projet inclus</t>
  </si>
  <si>
    <t xml:space="preserve">Capacité d'évacuation la 1re année d'exploitation</t>
  </si>
  <si>
    <t xml:space="preserve">Part du projet dans la pointe la 1re année d'exploitation</t>
  </si>
  <si>
    <t xml:space="preserve">Simplification d'écrêtement proportionnel : livré = production x MIN(1, MW évacuables / MW installés). Prudent pour les centrales de pointe avec retenue ; remplacer par une simulation de dispatching si disponible.</t>
  </si>
  <si>
    <t xml:space="preserve">10 DEMANDE — Demande potentielle, commerciale, contractuelle et bancable</t>
  </si>
  <si>
    <t xml:space="preserve">Croissance par segment selon le cas ; « bancable » = contractuelle ET absorbable par une demande solvable</t>
  </si>
  <si>
    <t xml:space="preserve">A. DONNÉES PAR SEGMENT (année de base 2026)</t>
  </si>
  <si>
    <t xml:space="preserve">Segment</t>
  </si>
  <si>
    <t xml:space="preserve">GWh 2026</t>
  </si>
  <si>
    <t xml:space="preserve">Croiss. base</t>
  </si>
  <si>
    <t xml:space="preserve">Croiss. basse</t>
  </si>
  <si>
    <t xml:space="preserve">Croiss. haute</t>
  </si>
  <si>
    <t xml:space="preserve">Part commerciale</t>
  </si>
  <si>
    <t xml:space="preserve">Résidentiel</t>
  </si>
  <si>
    <t xml:space="preserve">Commercial</t>
  </si>
  <si>
    <t xml:space="preserve">Industriel</t>
  </si>
  <si>
    <t xml:space="preserve">Mines</t>
  </si>
  <si>
    <t xml:space="preserve">Usages productifs (agro-transformation, etc.)</t>
  </si>
  <si>
    <t xml:space="preserve">Secteur public</t>
  </si>
  <si>
    <t xml:space="preserve">Valeurs fictives. Part commerciale = part de la demande du segment issue de clients capables et disposés à payer des tarifs reflétant les coûts (hypothèse).</t>
  </si>
  <si>
    <t xml:space="preserve">Potentiel d'export via le pool énergétique régional</t>
  </si>
  <si>
    <t xml:space="preserve">GWh/an</t>
  </si>
  <si>
    <t xml:space="preserve">Potentiel seulement</t>
  </si>
  <si>
    <t xml:space="preserve">Ventes à l'export contractées (signées)</t>
  </si>
  <si>
    <t xml:space="preserve">Offre intérieure garantie existante (2026)</t>
  </si>
  <si>
    <t xml:space="preserve">Y c. centrales engagées ; fictif</t>
  </si>
  <si>
    <t xml:space="preserve">Croissance des autres sources disponibles pour la compagnie (engagées + prévues)</t>
  </si>
  <si>
    <t xml:space="preserve">Plafonne les ventes : la demande au-delà de l'offre disponible n'est pas servie</t>
  </si>
  <si>
    <t xml:space="preserve">Production thermique existante substituable</t>
  </si>
  <si>
    <t xml:space="preserve">Diesel/fioul que l'hydro peut remplacer</t>
  </si>
  <si>
    <t xml:space="preserve">B. PROJECTION DE LA DEMANDE (GWh)</t>
  </si>
  <si>
    <t xml:space="preserve">Demande intérieure totale (potentielle, au compteur client)</t>
  </si>
  <si>
    <t xml:space="preserve">Demande POTENTIELLE, export potentiel inclus</t>
  </si>
  <si>
    <t xml:space="preserve">Demande COMMERCIALE (pondérée par la capacité de payer)</t>
  </si>
  <si>
    <t xml:space="preserve">Offre injectée requise (majorée des pertes de la compagnie)</t>
  </si>
  <si>
    <t xml:space="preserve">Autres sources engagées</t>
  </si>
  <si>
    <t xml:space="preserve">Déficit d'offre avant projet</t>
  </si>
  <si>
    <t xml:space="preserve">Énergie du projet absorbable (déficit + substitution thermique + contrats export)</t>
  </si>
  <si>
    <t xml:space="preserve">Demande CONTRACTUELLE (énergie contractée au CAE, P50)</t>
  </si>
  <si>
    <t xml:space="preserve">Demande BANCABLE = MIN(contractuelle, absorbable x ratio commercial)</t>
  </si>
  <si>
    <t xml:space="preserve">Bancable / contractuelle</t>
  </si>
  <si>
    <t xml:space="preserve">  Ratio 5 premières années</t>
  </si>
  <si>
    <t xml:space="preserve">Demande intérieure 2026</t>
  </si>
  <si>
    <t xml:space="preserve">11 ACHETEUR — Répartition des ventes, qualité de crédit et garantie de paiement</t>
  </si>
  <si>
    <t xml:space="preserve">Données qualitatives pour GATE 5</t>
  </si>
  <si>
    <t xml:space="preserve">Acheteur principal</t>
  </si>
  <si>
    <t xml:space="preserve">Navaria Electricity Company (NEC) — intégrée verticalement, publique</t>
  </si>
  <si>
    <t xml:space="preserve">Qualité de crédit de l'acheteur</t>
  </si>
  <si>
    <t xml:space="preserve">Non notée ; souverain noté B- (fictif)</t>
  </si>
  <si>
    <t xml:space="preserve">Part de la production vendue à la compagnie</t>
  </si>
  <si>
    <t xml:space="preserve">Part vendue à l'acheteur minier (bilatéral, USD, via transit)</t>
  </si>
  <si>
    <t xml:space="preserve">Garantie de paiement : couverture par lettre de crédit / séquestre</t>
  </si>
  <si>
    <t xml:space="preserve">mois de facturation CAE</t>
  </si>
  <si>
    <t xml:space="preserve">Test de porte ; 6 mois est le seuil READY (hypothèse)</t>
  </si>
  <si>
    <t xml:space="preserve">Retards de paiement historiques de la compagnie envers les PIE existants</t>
  </si>
  <si>
    <t xml:space="preserve">Montant de LC requis (1re année pleine d'exploitation)</t>
  </si>
  <si>
    <t xml:space="preserve">12 COMPAGNIE — Modèle de trésorerie simplifié et PAIEMENT CAE MAXIMAL SOUTENABLE</t>
  </si>
  <si>
    <t xml:space="preserve">Le modèle ne suppose pas que l'acheteur peut payer ; il le teste. Équivalents USD des flux en monnaie locale.</t>
  </si>
  <si>
    <t xml:space="preserve">A. DONNÉES (2026)</t>
  </si>
  <si>
    <t xml:space="preserve">Clients</t>
  </si>
  <si>
    <t xml:space="preserve">Croissance clients</t>
  </si>
  <si>
    <t xml:space="preserve">Tarif de détail moyen</t>
  </si>
  <si>
    <t xml:space="preserve">NVL/kWh</t>
  </si>
  <si>
    <t xml:space="preserve">Soit 0,135 USD/kWh à 20 NVL/USD (fictif)</t>
  </si>
  <si>
    <t xml:space="preserve">Ajustement tarifaire : répercussion de l'inflation locale</t>
  </si>
  <si>
    <t xml:space="preserve">1,0 = indexation totale au cas de base ; le stress acheteur gèle le tarif</t>
  </si>
  <si>
    <t xml:space="preserve">Pertes techniques</t>
  </si>
  <si>
    <t xml:space="preserve">% de l'injecté</t>
  </si>
  <si>
    <t xml:space="preserve">Pertes commerciales (non techniques)</t>
  </si>
  <si>
    <t xml:space="preserve">Taux de recouvrement</t>
  </si>
  <si>
    <t xml:space="preserve">% de la facturation</t>
  </si>
  <si>
    <t xml:space="preserve">Coût des autres sources (production propre + autres PIE)</t>
  </si>
  <si>
    <t xml:space="preserve">USD/MWh 2026</t>
  </si>
  <si>
    <t xml:space="preserve">Part liée à l'USD du coût des autres sources</t>
  </si>
  <si>
    <t xml:space="preserve">OPEX compagnie (T&amp;D, commercial, frais gén.)</t>
  </si>
  <si>
    <t xml:space="preserve">M USD 2026</t>
  </si>
  <si>
    <t xml:space="preserve">Monnaie locale ; 50 % fixe, 50 % proportionnel aux ventes</t>
  </si>
  <si>
    <t xml:space="preserve">Transferts d'exploitation / subventions de l'État</t>
  </si>
  <si>
    <t xml:space="preserve">Monnaie locale</t>
  </si>
  <si>
    <t xml:space="preserve">Service dette existante compagnie</t>
  </si>
  <si>
    <t xml:space="preserve">M USD/an</t>
  </si>
  <si>
    <t xml:space="preserve">Libellé en USD, constant</t>
  </si>
  <si>
    <t xml:space="preserve">Créances d'ouverture</t>
  </si>
  <si>
    <t xml:space="preserve">Passage en perte annuel des créances anciennes</t>
  </si>
  <si>
    <t xml:space="preserve">% du stock</t>
  </si>
  <si>
    <t xml:space="preserve">Couverture trésorerie requise nouveaux CAE</t>
  </si>
  <si>
    <t xml:space="preserve">Marge prudentielle — hypothèse</t>
  </si>
  <si>
    <t xml:space="preserve">B. BILAN ÉNERGÉTIQUE (GWh)</t>
  </si>
  <si>
    <t xml:space="preserve">Demande de la compagnie (intérieure, hors charge minière servie directement par le projet)</t>
  </si>
  <si>
    <t xml:space="preserve">Énergie injectée requise pour la demande de la compagnie</t>
  </si>
  <si>
    <t xml:space="preserve">  du projet (part compagnie, nette des pertes de transport)</t>
  </si>
  <si>
    <t xml:space="preserve">  des autres sources (plafonné à l'offre disponible)</t>
  </si>
  <si>
    <t xml:space="preserve">Énergie achetée / injectée</t>
  </si>
  <si>
    <t xml:space="preserve">Ventes d'électricité (demande servie)</t>
  </si>
  <si>
    <t xml:space="preserve">Demande non servie (délestage)</t>
  </si>
  <si>
    <t xml:space="preserve">C. RÉSULTAT ET TRÉSORERIE (équivalent M USD)</t>
  </si>
  <si>
    <t xml:space="preserve">Tarif de détail moyen (USD/MWh)</t>
  </si>
  <si>
    <t xml:space="preserve">CA facturé</t>
  </si>
  <si>
    <t xml:space="preserve">Encaissements</t>
  </si>
  <si>
    <t xml:space="preserve">Transferts de l'État</t>
  </si>
  <si>
    <t xml:space="preserve">OPEX compagnie</t>
  </si>
  <si>
    <t xml:space="preserve">Coût des autres sources</t>
  </si>
  <si>
    <t xml:space="preserve">Service dette existante</t>
  </si>
  <si>
    <t xml:space="preserve">Trésorerie disponible après offre substituée, avant paiement du nouveau CAE</t>
  </si>
  <si>
    <t xml:space="preserve">PAIEMENT CAE MAXIMAL SOUTENABLE</t>
  </si>
  <si>
    <t xml:space="preserve">Paiement CAE facturé par le projet (part compagnie)</t>
  </si>
  <si>
    <t xml:space="preserve">ÉCART DE CAPACITÉ DE PAIEMENT ACHETEUR</t>
  </si>
  <si>
    <t xml:space="preserve">Capacité de paiement / paiement CAE</t>
  </si>
  <si>
    <t xml:space="preserve">  Ratio 10 premières années</t>
  </si>
  <si>
    <t xml:space="preserve">Déficit de trésorerie préexistant de la compagnie (avant tout nouveau CAE)</t>
  </si>
  <si>
    <t xml:space="preserve">D. INDICATEURS</t>
  </si>
  <si>
    <t xml:space="preserve">EBITDA de la compagnie (hors transferts)</t>
  </si>
  <si>
    <t xml:space="preserve">EBITDA de la compagnie, transferts de l'État inclus</t>
  </si>
  <si>
    <t xml:space="preserve">Marge d'exploitation (EBITDA / facturé)</t>
  </si>
  <si>
    <t xml:space="preserve">CAE payé sur trésorerie propre</t>
  </si>
  <si>
    <t xml:space="preserve">Trésorerie compagnie après CAE</t>
  </si>
  <si>
    <t xml:space="preserve">DSCR compagnie, dette existante</t>
  </si>
  <si>
    <t xml:space="preserve">Créances (clôture)</t>
  </si>
  <si>
    <t xml:space="preserve">Jours de créances</t>
  </si>
  <si>
    <t xml:space="preserve">Arriérés CAE impayés cumulés envers le projet</t>
  </si>
  <si>
    <t xml:space="preserve">Cas sans projet : achats aux autres sources</t>
  </si>
  <si>
    <t xml:space="preserve">Cas sans projet : ventes</t>
  </si>
  <si>
    <t xml:space="preserve">Sans projet : trésorerie compagnie</t>
  </si>
  <si>
    <t xml:space="preserve">Trésorerie additionnelle de la compagnie (entreprise publique) due au projet, nette des nouveaux arriérés</t>
  </si>
  <si>
    <t xml:space="preserve">Paiement CAE en % du chiffre d'affaires facturé</t>
  </si>
  <si>
    <t xml:space="preserve">Recettes encaissées par MWh injecté</t>
  </si>
  <si>
    <t xml:space="preserve">13 RÉGULATION — Matrice de bancabilité réglementaire (filtre de maturité, PAS un avis juridique)</t>
  </si>
  <si>
    <t xml:space="preserve">Statuts possibles : READY / PARTIAL / GAP / CRITICAL GAP. Statuts fictifs pour la Navaria.</t>
  </si>
  <si>
    <t xml:space="preserve">Élément</t>
  </si>
  <si>
    <t xml:space="preserve">Statut</t>
  </si>
  <si>
    <t xml:space="preserve">Note (3-0)</t>
  </si>
  <si>
    <t xml:space="preserve">Preuve requise / commentaire</t>
  </si>
  <si>
    <t xml:space="preserve">Loi sur l'électricité (participation des PIE autorisée)</t>
  </si>
  <si>
    <t xml:space="preserve">READY</t>
  </si>
  <si>
    <t xml:space="preserve">Loi en vigueur ; chapitre PIE</t>
  </si>
  <si>
    <t xml:space="preserve">Licence de production</t>
  </si>
  <si>
    <t xml:space="preserve">PARTIAL</t>
  </si>
  <si>
    <t xml:space="preserve">Licence provisoire ; définitive au bouclage</t>
  </si>
  <si>
    <t xml:space="preserve">Droits d'eau / permis d'eau</t>
  </si>
  <si>
    <t xml:space="preserve">Volume du permis et débit réservé à concilier</t>
  </si>
  <si>
    <t xml:space="preserve">Convention de concession / de mise en œuvre</t>
  </si>
  <si>
    <t xml:space="preserve">Term sheet arrêtée</t>
  </si>
  <si>
    <t xml:space="preserve">Loi PPP et accords cellule PPP</t>
  </si>
  <si>
    <t xml:space="preserve">Cadre de passation PIE</t>
  </si>
  <si>
    <t xml:space="preserve">Règles sur les offres spontanées floues</t>
  </si>
  <si>
    <t xml:space="preserve">Force exécutoire du CAE (arbitrage, renonciation à l'immunité)</t>
  </si>
  <si>
    <t xml:space="preserve">Arbitrage à l'étranger accepté en principe</t>
  </si>
  <si>
    <t xml:space="preserve">Régulation tarifaire (reflet des coûts, répercussion)</t>
  </si>
  <si>
    <t xml:space="preserve">GAP</t>
  </si>
  <si>
    <t xml:space="preserve">Pas de répercussion automatique des coûts CAE</t>
  </si>
  <si>
    <t xml:space="preserve">Indépendance du régulateur</t>
  </si>
  <si>
    <t xml:space="preserve">Accès au réseau / règles de raccordement</t>
  </si>
  <si>
    <t xml:space="preserve">Code de réseau</t>
  </si>
  <si>
    <t xml:space="preserve">Obsolète ; pas de services système</t>
  </si>
  <si>
    <t xml:space="preserve">Permis environnementaux et sociaux (approbation de l'EIES)</t>
  </si>
  <si>
    <t xml:space="preserve">EIES approuvée ; PAR en attente</t>
  </si>
  <si>
    <t xml:space="preserve">Droits fonciers / acquisition</t>
  </si>
  <si>
    <t xml:space="preserve">Acquisition foncière du réservoir incomplète</t>
  </si>
  <si>
    <t xml:space="preserve">Convertibilité des devises</t>
  </si>
  <si>
    <t xml:space="preserve">Files d'allocation banque centrale</t>
  </si>
  <si>
    <t xml:space="preserve">Régime fiscal (stabilité, incitations)</t>
  </si>
  <si>
    <t xml:space="preserve">Clause de stabilisation disponible</t>
  </si>
  <si>
    <t xml:space="preserve">Rapatriement dividendes et service dette</t>
  </si>
  <si>
    <t xml:space="preserve">Nombre : CRITICAL GAP</t>
  </si>
  <si>
    <t xml:space="preserve">Nombre : GAP</t>
  </si>
  <si>
    <t xml:space="preserve">Nombre : PARTIAL</t>
  </si>
  <si>
    <t xml:space="preserve">Nombre : READY</t>
  </si>
  <si>
    <t xml:space="preserve">Note moyenne de maturité (0-3)</t>
  </si>
  <si>
    <t xml:space="preserve">MATURITÉ E&amp;S / DURABILITÉ (alimente GATE 9)</t>
  </si>
  <si>
    <t xml:space="preserve">Conformité EIES et normes E&amp;S des prêteurs (1=lacunes, 2=en cours, 3=conforme et publié)</t>
  </si>
  <si>
    <t xml:space="preserve">ex. normes de performance de l'IFC / Hydropower Sustainability Standard</t>
  </si>
  <si>
    <t xml:space="preserve">Statut du plan d'action de réinstallation (1=non commencé, 2=approuvé, 3=mis en œuvre et suivi)</t>
  </si>
  <si>
    <t xml:space="preserve">Eaux transfrontalières / notification aux riverains (1=non résolu, 2=en cours, 3=résolu ou n/a)</t>
  </si>
  <si>
    <t xml:space="preserve">14 CAE — Tarif binôme, indexation, énergie réputée livrée, take-or-pay, résiliation</t>
  </si>
  <si>
    <t xml:space="preserve">Conditions commerciales fictives ; la structure reflète la pratique courante des PIE hydro africains</t>
  </si>
  <si>
    <t xml:space="preserve">A. TARIF</t>
  </si>
  <si>
    <t xml:space="preserve">Paiement de capacité / disponibilité</t>
  </si>
  <si>
    <t xml:space="preserve">USD/kW-mois (2026)</t>
  </si>
  <si>
    <t xml:space="preserve">Tarif rémunérant uniquement l'énergie, comme les tarifs d'achat garantis d'Afrique de l'Est</t>
  </si>
  <si>
    <t xml:space="preserve">Paiement d'énergie</t>
  </si>
  <si>
    <t xml:space="preserve">USD/MWh (2026)</t>
  </si>
  <si>
    <t xml:space="preserve">Négocié (pas de REFiT au-delà de 20 MW). REFiT 5.0 de l'Ouganda : 75-79 USD/MWh pour &lt;=20 MW ; Nyamagasani 85 [hydro_development_evidence]</t>
  </si>
  <si>
    <t xml:space="preserve">Part capacité indexée IPC US</t>
  </si>
  <si>
    <t xml:space="preserve">Part service dette en général non indexée</t>
  </si>
  <si>
    <t xml:space="preserve">Part énergie indexée IPC US</t>
  </si>
  <si>
    <t xml:space="preserve">Part du tarif libellée en monnaie locale (NVL)</t>
  </si>
  <si>
    <t xml:space="preserve">0 % = tout en USD (risque de change sur la compagnie/l'État)</t>
  </si>
  <si>
    <t xml:space="preserve">B. VOLUME ET RISQUE</t>
  </si>
  <si>
    <t xml:space="preserve">Énergie réputée livrée payée en cas d'écrêtement acheteur/réseau (1=oui)</t>
  </si>
  <si>
    <t xml:space="preserve">Transfère le risque de transport et de demande à l'acheteur</t>
  </si>
  <si>
    <t xml:space="preserve">Plancher take-or-pay (part de l'énergie contractée P50)</t>
  </si>
  <si>
    <t xml:space="preserve">Alternative à l'énergie réputée</t>
  </si>
  <si>
    <t xml:space="preserve">Disponibilité déclarée / disponibilité contractuelle</t>
  </si>
  <si>
    <t xml:space="preserve">&lt;1 réduit le paiement de capacité</t>
  </si>
  <si>
    <t xml:space="preserve">Résiliation : prime d'indemnisation sur les fonds propres non récupérés</t>
  </si>
  <si>
    <t xml:space="preserve">Résiliation pour défaut de l'État / force majeure politique</t>
  </si>
  <si>
    <t xml:space="preserve">C. CARTE DES RISQUES (qualitative)</t>
  </si>
  <si>
    <t xml:space="preserve">Changement de loi</t>
  </si>
  <si>
    <t xml:space="preserve">Indemnisé par l'acheteur ; ajustement tarifaire</t>
  </si>
  <si>
    <t xml:space="preserve">Force majeure naturelle</t>
  </si>
  <si>
    <t xml:space="preserve">Paiements de capacité suspendus après 180 jours (fictif)</t>
  </si>
  <si>
    <t xml:space="preserve">Force majeure politique</t>
  </si>
  <si>
    <t xml:space="preserve">Paiements de capacité maintenus ; droit de rachat</t>
  </si>
  <si>
    <t xml:space="preserve">Risque hydrologique</t>
  </si>
  <si>
    <t xml:space="preserve">Porté par le projet (paiement d'énergie seul)</t>
  </si>
  <si>
    <t xml:space="preserve">Convertibilité et transfert</t>
  </si>
  <si>
    <t xml:space="preserve">Engagement de l'État dans la convention de mise en œuvre</t>
  </si>
  <si>
    <t xml:space="preserve">15 TARIF — Composantes indexées, tarif moyen pondéré, accessibilité</t>
  </si>
  <si>
    <t xml:space="preserve">Facteur de change sur le tarif (part en monnaie locale)</t>
  </si>
  <si>
    <t xml:space="preserve">Paiement de capacité (nominal)</t>
  </si>
  <si>
    <t xml:space="preserve">USD/kW-mois</t>
  </si>
  <si>
    <t xml:space="preserve">Paiement d'énergie (nominal)</t>
  </si>
  <si>
    <t xml:space="preserve">Tarif CAE moyen pondéré (facturé / énergie payée)</t>
  </si>
  <si>
    <t xml:space="preserve">LCOE du projet (constant, actualisé nominal)</t>
  </si>
  <si>
    <t xml:space="preserve">Tarif de détail moyen de la compagnie</t>
  </si>
  <si>
    <t xml:space="preserve">Recettes encaissées par la compagnie par MWh injecté</t>
  </si>
  <si>
    <t xml:space="preserve">Marge d'accessibilité : encaissé/MWh – tarif CAE moyen pondéré</t>
  </si>
  <si>
    <t xml:space="preserve">16 REVENUS — Facturé et encaissé ; exposition à l'acheteur ; impayés</t>
  </si>
  <si>
    <t xml:space="preserve">A. ÉNERGIE PAYÉE (GWh)</t>
  </si>
  <si>
    <t xml:space="preserve">Énergie réputée livrée (écrêtement non imputable au vendeur)</t>
  </si>
  <si>
    <t xml:space="preserve">Énergie manquante take-or-pay</t>
  </si>
  <si>
    <t xml:space="preserve">Énergie payée</t>
  </si>
  <si>
    <t xml:space="preserve">B. REVENUS FACTURÉS (M USD)</t>
  </si>
  <si>
    <t xml:space="preserve">Paiements de capacité</t>
  </si>
  <si>
    <t xml:space="preserve">Paiements d'énergie (livrée)</t>
  </si>
  <si>
    <t xml:space="preserve">Paiements énergie réputée et take-or-pay</t>
  </si>
  <si>
    <t xml:space="preserve">Total des revenus facturés</t>
  </si>
  <si>
    <t xml:space="preserve">  facturés à la compagnie</t>
  </si>
  <si>
    <t xml:space="preserve">  facturés à la compagnie — 1re année pleine (an. exploit. 2)</t>
  </si>
  <si>
    <t xml:space="preserve">  facturés à l'acheteur minier</t>
  </si>
  <si>
    <t xml:space="preserve">C. PAIEMENT DU DÉFICIT DE LA COMPAGNIE</t>
  </si>
  <si>
    <t xml:space="preserve">Couvert par la garantie budgétaire de l'État</t>
  </si>
  <si>
    <t xml:space="preserve">Plafond de la garantie CAE (mois de facturation compagnie)</t>
  </si>
  <si>
    <t xml:space="preserve">Remboursement par la compagnie des appels de garantie antérieurs</t>
  </si>
  <si>
    <t xml:space="preserve">Couvert par appel de la garantie souveraine de paiement CAE (dans la limite disponible)</t>
  </si>
  <si>
    <t xml:space="preserve">Appels de garantie en cours (non remboursés)</t>
  </si>
  <si>
    <t xml:space="preserve">IMPAYÉS (arriérés envers le projet)</t>
  </si>
  <si>
    <t xml:space="preserve">Revenus encaissés par le projet</t>
  </si>
  <si>
    <t xml:space="preserve">D. REVENUS CAS PRÊTEURS (dimens. dette)</t>
  </si>
  <si>
    <t xml:space="preserve">Revenus du cas prêteurs</t>
  </si>
  <si>
    <t xml:space="preserve">E. QUALITÉ DES REVENUS</t>
  </si>
  <si>
    <t xml:space="preserve">Certitude des revenus : part fixe (capacité) du facturé</t>
  </si>
  <si>
    <t xml:space="preserve">Volatilité : revenus énergie à risque P90 vs P50 (an 2)</t>
  </si>
  <si>
    <t xml:space="preserve">% des revenus</t>
  </si>
  <si>
    <t xml:space="preserve">Exposition à l'acheteur : part compagnie du facturé sur la durée de vie</t>
  </si>
  <si>
    <t xml:space="preserve">Soutien de l'État requis pour maintenir les paiements CAE (durée de vie, nominal)</t>
  </si>
  <si>
    <t xml:space="preserve">17 FINANCEMENT DE PROJET — Base de financement, ressources et emplois, capacité d'endettement, besoin non couvert, indicateurs</t>
  </si>
  <si>
    <t xml:space="preserve">Paramètres de structure issus de 17A_STRUCTURES</t>
  </si>
  <si>
    <t xml:space="preserve">A. BASE DE FINANCEMENT ET EMPLOIS (M USD nom.)</t>
  </si>
  <si>
    <t xml:space="preserve">CAPEX centrale (nominal)</t>
  </si>
  <si>
    <t xml:space="preserve">CAPEX transport financé par le projet</t>
  </si>
  <si>
    <t xml:space="preserve">Dépenses de transport du projet pendant la construction</t>
  </si>
  <si>
    <t xml:space="preserve">Prime de développement versée au développeur au bouclage</t>
  </si>
  <si>
    <t xml:space="preserve">BASE DE FINANCEMENT (CAPEX + prime de développement)</t>
  </si>
  <si>
    <t xml:space="preserve">Intérêts intercalaires (financés par la dette dans la limite du gearing via des facteurs analytiques)</t>
  </si>
  <si>
    <t xml:space="preserve">Commissions initiales</t>
  </si>
  <si>
    <t xml:space="preserve">Dotation initiale du DSRA</t>
  </si>
  <si>
    <t xml:space="preserve">TOTAL EMPLOIS</t>
  </si>
  <si>
    <t xml:space="preserve">B. RESSOURCES</t>
  </si>
  <si>
    <t xml:space="preserve">Subventions / VGF / apport public en capital</t>
  </si>
  <si>
    <t xml:space="preserve">Fonds propres de l'État (structurels)</t>
  </si>
  <si>
    <t xml:space="preserve">Dette senior concessionnelle</t>
  </si>
  <si>
    <t xml:space="preserve">Dette senior commerciale (plafond de gearing appliqué au CAPEX + IDC et commissions financés par dette)</t>
  </si>
  <si>
    <t xml:space="preserve">Fonds propres résiduels requis</t>
  </si>
  <si>
    <t xml:space="preserve">  dont État (si apporteur résiduel)</t>
  </si>
  <si>
    <t xml:space="preserve">  dont promoteurs privés</t>
  </si>
  <si>
    <t xml:space="preserve">TOTAL RESSOURCES</t>
  </si>
  <si>
    <t xml:space="preserve">C. CAPACITÉ DE DETTE ET BESOIN NON COUVERT</t>
  </si>
  <si>
    <t xml:space="preserve">Capacité de dette commerciale (sculptée sur DSCR, cas prêteurs)</t>
  </si>
  <si>
    <t xml:space="preserve">Capacité totale de dette senior</t>
  </si>
  <si>
    <t xml:space="preserve">Dette senior / total emplois</t>
  </si>
  <si>
    <t xml:space="preserve">FP privés disponibles</t>
  </si>
  <si>
    <t xml:space="preserve">BESOIN DE FINANCEMENT NON COUVERT (fonds propres privés requis au-delà du disponible)</t>
  </si>
  <si>
    <t xml:space="preserve">Financement résiduel de l'État (structure publique)</t>
  </si>
  <si>
    <t xml:space="preserve">Besoin non couvert / total emplois</t>
  </si>
  <si>
    <t xml:space="preserve">D. RÉSULTATS CLÉS</t>
  </si>
  <si>
    <t xml:space="preserve">TRI du projet (après impôt, sans levier, nominal)</t>
  </si>
  <si>
    <t xml:space="preserve">VAN du projet au taux d'actual.</t>
  </si>
  <si>
    <t xml:space="preserve">TRI FP privés (nominal)</t>
  </si>
  <si>
    <t xml:space="preserve">TRI FP de l'État (nominal)</t>
  </si>
  <si>
    <t xml:space="preserve">LCOE — centrale (actualisé nominal)</t>
  </si>
  <si>
    <t xml:space="preserve">LCOE — coût système livré, y c. transport public et pertes</t>
  </si>
  <si>
    <t xml:space="preserve">DSCR minimum (cas réel ; 99 = pas de service de la dette)</t>
  </si>
  <si>
    <t xml:space="preserve">DSCR moyen (cas réel ; 99 = pas de service de la dette)</t>
  </si>
  <si>
    <t xml:space="preserve">LLCR à la COD (toutes tranches, taux pondéré, tranche la plus longue)</t>
  </si>
  <si>
    <t xml:space="preserve">PLCR à la COD</t>
  </si>
  <si>
    <t xml:space="preserve">Insuffisance cumulée de SD</t>
  </si>
  <si>
    <t xml:space="preserve">OPEX an. d'exploit. 2</t>
  </si>
  <si>
    <t xml:space="preserve">Marge de paiement de la compagnie par MWh (paiement max. soutenable moyen / énergie payée, an. 1-10)</t>
  </si>
  <si>
    <t xml:space="preserve">17A STRUCTURES — Public / PIE / PPP / Hybride / Mixte pour le MÊME projet</t>
  </si>
  <si>
    <t xml:space="preserve">Colonne C = structure choisie dans 01_CONTROL_PANEL ; les colonnes E:I de la bibliothèque sont des données</t>
  </si>
  <si>
    <t xml:space="preserve">1 Public</t>
  </si>
  <si>
    <t xml:space="preserve">2 PIE</t>
  </si>
  <si>
    <t xml:space="preserve">3 PPP</t>
  </si>
  <si>
    <t xml:space="preserve">4 Hybride</t>
  </si>
  <si>
    <t xml:space="preserve">5 Mixte</t>
  </si>
  <si>
    <t xml:space="preserve">Structure</t>
  </si>
  <si>
    <t xml:space="preserve">Public (EP, emprunt souverain)</t>
  </si>
  <si>
    <t xml:space="preserve">PIE (BOOT privé)</t>
  </si>
  <si>
    <t xml:space="preserve">PPP (EP + privé, appui IFD)</t>
  </si>
  <si>
    <t xml:space="preserve">Hybride (génie civil public, électroméca./O&amp;M privés)</t>
  </si>
  <si>
    <t xml:space="preserve">Financement mixte (subventions + concessionnel + privé)</t>
  </si>
  <si>
    <t xml:space="preserve">FP de l'État</t>
  </si>
  <si>
    <t xml:space="preserve">% base de financement</t>
  </si>
  <si>
    <t xml:space="preserve">Dette concessionnelle</t>
  </si>
  <si>
    <t xml:space="preserve">Dette senior totale maximale (plafond de gearing)</t>
  </si>
  <si>
    <t xml:space="preserve">Fonds propres privés maximaux disponibles</t>
  </si>
  <si>
    <t xml:space="preserve">Apporteur des fonds propres résiduels (1=privé, 2=État)</t>
  </si>
  <si>
    <t xml:space="preserve">Part de la dette senior garantie / contre-garantie par l'État</t>
  </si>
  <si>
    <t xml:space="preserve">Part de la dette senior comptée en dette publique</t>
  </si>
  <si>
    <t xml:space="preserve">Garantie souveraine de paiement CAE (1=oui)</t>
  </si>
  <si>
    <t xml:space="preserve">Obligation d'indemnité de résiliation de concession (1=oui)</t>
  </si>
  <si>
    <t xml:space="preserve">Garantie de convertibilité de l'État sur les transferts</t>
  </si>
  <si>
    <t xml:space="preserve">% couvert</t>
  </si>
  <si>
    <t xml:space="preserve">Taux d'intérêt concessionnel</t>
  </si>
  <si>
    <t xml:space="preserve">Différé concessionnel après la COD</t>
  </si>
  <si>
    <t xml:space="preserve">Durée remb. concessionnelle</t>
  </si>
  <si>
    <t xml:space="preserve">Taux de la dette senior commerciale / IFD (tout compris, fixe/swappé)</t>
  </si>
  <si>
    <t xml:space="preserve">Durée remb. dette commerciale après COD</t>
  </si>
  <si>
    <t xml:space="preserve">DSCR cible</t>
  </si>
  <si>
    <t xml:space="preserve">TRI cible des fonds propres privés (USD nominal)</t>
  </si>
  <si>
    <t xml:space="preserve">Contrôle : subventions + FP État + dette max. + FP privés max. ≥ 100 %</t>
  </si>
  <si>
    <t xml:space="preserve">DSCR de blocage</t>
  </si>
  <si>
    <t xml:space="preserve">Commissions initiales/engagement</t>
  </si>
  <si>
    <t xml:space="preserve">% de la dette senior</t>
  </si>
  <si>
    <t xml:space="preserve">Exigence de DSRA</t>
  </si>
  <si>
    <t xml:space="preserve">mois de SD an. suivante</t>
  </si>
  <si>
    <t xml:space="preserve">COMPARAISON ANALYTIQUE DES STRUCTURES EN DIRECT (filtre ; avant impôt, annuité réelle constante, P50)</t>
  </si>
  <si>
    <t xml:space="preserve">Indicateur</t>
  </si>
  <si>
    <t xml:space="preserve">CMPC_s = Σ poids x coûts (subventions à coût nul pour le projet ; fonds propres de l'État au taux d'actualisation de l'État). Tarif requis = (base de financement x (1-% subvention) x CRF(CMPC, durée) + OPEX de l'année 2) / P50. Ne remplace pas les calculs du moteur complet (instantané ci-dessous).</t>
  </si>
  <si>
    <t xml:space="preserve">Part de dette commerciale (supposée au plafond de gearing)</t>
  </si>
  <si>
    <t xml:space="preserve">Part FP privés</t>
  </si>
  <si>
    <t xml:space="preserve">Part FP résiduels de l'État</t>
  </si>
  <si>
    <t xml:space="preserve">Coût du capital moyen avant impôt (fonds propres privés majorés de l'impôt)</t>
  </si>
  <si>
    <t xml:space="preserve">Coût du capital hors subventions</t>
  </si>
  <si>
    <t xml:space="preserve">Facteur de récup. du capital</t>
  </si>
  <si>
    <t xml:space="preserve">Tarif actualisé requis (filtre ; capital y c. IDC et commissions)</t>
  </si>
  <si>
    <t xml:space="preserve">Marge de paiement de la compagnie par MWh (paiement max. soutenable / énergie, moy. 10 premières années)</t>
  </si>
  <si>
    <t xml:space="preserve">Subvention annuelle implicite pour combler l'écart d'accessibilité</t>
  </si>
  <si>
    <t xml:space="preserve">Capital public initial (FP État + subventions)</t>
  </si>
  <si>
    <t xml:space="preserve">FP privés</t>
  </si>
  <si>
    <t xml:space="preserve">Dette senior</t>
  </si>
  <si>
    <t xml:space="preserve">Service annuel indicatif de la dette (annuité moyenne)</t>
  </si>
  <si>
    <t xml:space="preserve">Dette publique directe</t>
  </si>
  <si>
    <t xml:space="preserve">Dette garantie (éventuelle)</t>
  </si>
  <si>
    <t xml:space="preserve">Exposition à la garantie CAE (12 mois de paiements)</t>
  </si>
  <si>
    <t xml:space="preserve">Exposition de résiliation à la COD (dette + FP privés x (1+prime))</t>
  </si>
  <si>
    <t xml:space="preserve">Exposition publique brute à la COD. Proche de la base de financement par construction : chaque dollar est public ou protégé en cas de résiliation</t>
  </si>
  <si>
    <t xml:space="preserve">Exposition publique brute / PIB</t>
  </si>
  <si>
    <t xml:space="preserve">STRUCTURES (cas de base, dette dimensionnée dans le modèle) — INSTANTANÉ DU MOTEUR COMPLET (valeurs statiques, générées le 2026-10-04 par tools/run_snapshots.py ; stress calculés avec le financement FIGÉ aux montants du cas de base et l'échéancier de principal sculpté du cas de base)</t>
  </si>
  <si>
    <t xml:space="preserve">Calcul</t>
  </si>
  <si>
    <t xml:space="preserve">TRI du projet</t>
  </si>
  <si>
    <t xml:space="preserve">TRI des FP</t>
  </si>
  <si>
    <t xml:space="preserve">DSCR min.</t>
  </si>
  <si>
    <t xml:space="preserve">LLCR</t>
  </si>
  <si>
    <t xml:space="preserve">Besoin non couv. M USD</t>
  </si>
  <si>
    <t xml:space="preserve">LCOE USD/MWh</t>
  </si>
  <si>
    <t xml:space="preserve">Capacité paiement cie (min. an. 1-10)</t>
  </si>
  <si>
    <t xml:space="preserve">Écart CAE cie M USD (vie)</t>
  </si>
  <si>
    <t xml:space="preserve">Insuffisance SD M USD</t>
  </si>
  <si>
    <t xml:space="preserve">VAN budgétaire M USD</t>
  </si>
  <si>
    <t xml:space="preserve">Pic éventuel M USD</t>
  </si>
  <si>
    <t xml:space="preserve">Pic trésorerie % rev.</t>
  </si>
  <si>
    <t xml:space="preserve">VAN budgétaire consolidée M USD</t>
  </si>
  <si>
    <t xml:space="preserve">VAN dév. pondérée risque M USD</t>
  </si>
  <si>
    <t xml:space="preserve">Décision de bouclage financier</t>
  </si>
  <si>
    <t xml:space="preserve">Verdict de bancabilité</t>
  </si>
  <si>
    <t xml:space="preserve">Structure 1</t>
  </si>
  <si>
    <t xml:space="preserve">n/a</t>
  </si>
  <si>
    <t xml:space="preserve">STOP : une porte critique n'est pas franchie</t>
  </si>
  <si>
    <t xml:space="preserve">NOT BANKABLE : lacune(s) critique(s) à combler</t>
  </si>
  <si>
    <t xml:space="preserve">LOW : faible pression budgétaire supplémentaire</t>
  </si>
  <si>
    <t xml:space="preserve">Structure 2</t>
  </si>
  <si>
    <t xml:space="preserve">Structure 3</t>
  </si>
  <si>
    <t xml:space="preserve">Structure 4</t>
  </si>
  <si>
    <t xml:space="preserve">Structure 5</t>
  </si>
  <si>
    <t xml:space="preserve">18 DETTE — Tranches concessionnelle et commerciale, sculptage DSCR, DSRA</t>
  </si>
  <si>
    <t xml:space="preserve">Non circulaire : IDC et frais financés par la dette via des facteurs explicites ; DSRA financé par fonds propres ; dimensionnement sur un cas prêteurs à impôt hors levier</t>
  </si>
  <si>
    <t xml:space="preserve">Dette commerciale figée (debt_mode = 2)</t>
  </si>
  <si>
    <t xml:space="preserve">debt_m du cas de base (tools/run_snapshots.py le fixe dans les copies de scénario ; saisir ici les valeurs du cas de base seulement si debt_mode passe à 2)</t>
  </si>
  <si>
    <t xml:space="preserve">Dette concessionnelle figée (debt_mode = 2)</t>
  </si>
  <si>
    <t xml:space="preserve">debt_c du cas de base</t>
  </si>
  <si>
    <t xml:space="preserve">Subvention / VGF figée (debt_mode = 2)</t>
  </si>
  <si>
    <t xml:space="preserve">s_grant du cas de base</t>
  </si>
  <si>
    <t xml:space="preserve">Fonds propres de l'État figés (debt_mode = 2)</t>
  </si>
  <si>
    <t xml:space="preserve">s_goveq du cas de base</t>
  </si>
  <si>
    <t xml:space="preserve">Part de la dette commerciale à taux fixe ou swappée</t>
  </si>
  <si>
    <t xml:space="preserve">Le stress de taux ne s'applique qu'à la part non couverte</t>
  </si>
  <si>
    <t xml:space="preserve">Taux commercial effectif</t>
  </si>
  <si>
    <t xml:space="preserve">Échéancier figé du principal commercial par année d'EXPLOITATION (debt_mode = 2 ; colonne E = année d'expl. 1, F = année d'expl. 2, ...)</t>
  </si>
  <si>
    <t xml:space="preserve">Taux d'impôt du CFADS du cas prêteurs</t>
  </si>
  <si>
    <t xml:space="preserve">IDC par USD de dette concessionnelle (facteur non circulaire)</t>
  </si>
  <si>
    <t xml:space="preserve">IDC par USD de dette commerciale (facteur non circulaire)</t>
  </si>
  <si>
    <t xml:space="preserve">A. CFADS DU CAS PRÊTEURS ET SCULPTAGE</t>
  </si>
  <si>
    <t xml:space="preserve">CFADS du cas prêteurs (impôt hors levier)</t>
  </si>
  <si>
    <t xml:space="preserve">Indic. durée prêt commercial</t>
  </si>
  <si>
    <t xml:space="preserve">Facteur d'actualisation au taux commercial (à la COD)</t>
  </si>
  <si>
    <t xml:space="preserve">Taux pondéré dette senior</t>
  </si>
  <si>
    <t xml:space="preserve">Tranche senior en cours (durée du prêt)</t>
  </si>
  <si>
    <t xml:space="preserve">Facteur d'actualisation au taux pondéré</t>
  </si>
  <si>
    <t xml:space="preserve">Capacité SD commercial sculptée</t>
  </si>
  <si>
    <t xml:space="preserve">B. TRANCHE CONCESSIONNELLE</t>
  </si>
  <si>
    <t xml:space="preserve">Solde d'ouverture</t>
  </si>
  <si>
    <t xml:space="preserve">Tirage</t>
  </si>
  <si>
    <t xml:space="preserve">Intérêts</t>
  </si>
  <si>
    <t xml:space="preserve">Remboursement du principal</t>
  </si>
  <si>
    <t xml:space="preserve">Solde de clôture</t>
  </si>
  <si>
    <t xml:space="preserve">Service de la dette (exploitation)</t>
  </si>
  <si>
    <t xml:space="preserve">C. TRANCHE COMMERCIALE</t>
  </si>
  <si>
    <t xml:space="preserve">Service de la dette cible (sculpté ou annuité)</t>
  </si>
  <si>
    <t xml:space="preserve">D. TOTAUX ET DSRA</t>
  </si>
  <si>
    <t xml:space="preserve">Service total de la dette senior</t>
  </si>
  <si>
    <t xml:space="preserve">Intérêts intercalaires (IDC)</t>
  </si>
  <si>
    <t xml:space="preserve">Encours total de la dette senior</t>
  </si>
  <si>
    <t xml:space="preserve">Solde cible du DSRA</t>
  </si>
  <si>
    <t xml:space="preserve">Dotation initiale du DSRA (fin de construction)</t>
  </si>
  <si>
    <t xml:space="preserve">19 FONDS PROPRES — Apports, distributions, rendements par détenteur</t>
  </si>
  <si>
    <t xml:space="preserve">Total fonds propres (État + privé)</t>
  </si>
  <si>
    <t xml:space="preserve">Part de l'État dans les fonds propres</t>
  </si>
  <si>
    <t xml:space="preserve">TRI cible des fonds propres privés</t>
  </si>
  <si>
    <t xml:space="preserve">TRI des fonds propres de l'État</t>
  </si>
  <si>
    <t xml:space="preserve">Multiple des fonds propres privés (distrib. / apports)</t>
  </si>
  <si>
    <t xml:space="preserve">Fonds propres privés apportés</t>
  </si>
  <si>
    <t xml:space="preserve">Distributions aux fonds propres privés</t>
  </si>
  <si>
    <t xml:space="preserve">Flux net des fonds propres privés</t>
  </si>
  <si>
    <t xml:space="preserve">Dividendes versés à l'État</t>
  </si>
  <si>
    <t xml:space="preserve">Valeur des distributions privées restantes au TRI cible (récurrence inverse)</t>
  </si>
  <si>
    <t xml:space="preserve">Fonds propres privés non récupérés (indemnité de résiliation)</t>
  </si>
  <si>
    <t xml:space="preserve">20 FLUX DE TRÉSORERIE — Financement de la construction, cascade d'exploitation, flux hors levier, flux LCOE</t>
  </si>
  <si>
    <t xml:space="preserve">A. FINANCEMENT DE LA CONSTRUCTION</t>
  </si>
  <si>
    <t xml:space="preserve">Emplois : CAPEX + transport du projet + IDC + frais + DSRA</t>
  </si>
  <si>
    <t xml:space="preserve">Subventions tirées</t>
  </si>
  <si>
    <t xml:space="preserve">Dette senior tirée</t>
  </si>
  <si>
    <t xml:space="preserve">Apports en fonds propres (total)</t>
  </si>
  <si>
    <t xml:space="preserve">  Fonds propres de l'État</t>
  </si>
  <si>
    <t xml:space="preserve">  Fonds propres privés</t>
  </si>
  <si>
    <t xml:space="preserve">B. CASCADE D'EXPLOITATION</t>
  </si>
  <si>
    <t xml:space="preserve">Recettes encaissées</t>
  </si>
  <si>
    <t xml:space="preserve">OPEX</t>
  </si>
  <si>
    <t xml:space="preserve">Redevance sur l'eau</t>
  </si>
  <si>
    <t xml:space="preserve">EBITDA</t>
  </si>
  <si>
    <t xml:space="preserve">Impôt</t>
  </si>
  <si>
    <t xml:space="preserve">CFADS (après dépenses de transport financées par le projet en exploitation)</t>
  </si>
  <si>
    <t xml:space="preserve">Service de la dette senior</t>
  </si>
  <si>
    <t xml:space="preserve">DSCR</t>
  </si>
  <si>
    <t xml:space="preserve">Trésorerie après service de la dette, avant mouvements de réserve (y c. trésorerie bloquée)</t>
  </si>
  <si>
    <t xml:space="preserve">Tirage du DSRA pour le service de la dette</t>
  </si>
  <si>
    <t xml:space="preserve">Libération du DSRA au-delà de la cible</t>
  </si>
  <si>
    <t xml:space="preserve">Reconstitution DSRA sur tréso. dispo.</t>
  </si>
  <si>
    <t xml:space="preserve">Solde réel du DSRA</t>
  </si>
  <si>
    <t xml:space="preserve">DSRA : tirage + libération - reconst.</t>
  </si>
  <si>
    <t xml:space="preserve">Tréso. après service dette</t>
  </si>
  <si>
    <t xml:space="preserve">Trésorerie reportée (bloquée)</t>
  </si>
  <si>
    <t xml:space="preserve">Insuffisance de service de dette couverte par garant/promoteur</t>
  </si>
  <si>
    <t xml:space="preserve">Test de distribution réussi (1 = oui)</t>
  </si>
  <si>
    <t xml:space="preserve">Tréso. disponible après couverture du déficit</t>
  </si>
  <si>
    <t xml:space="preserve">Remboursement des appels de garantie souveraine (avant distributions)</t>
  </si>
  <si>
    <t xml:space="preserve">Distributions aux fonds propres</t>
  </si>
  <si>
    <t xml:space="preserve">Trésorerie reportée</t>
  </si>
  <si>
    <t xml:space="preserve">C. FLUX DES FONDS PROPRES</t>
  </si>
  <si>
    <t xml:space="preserve">Insuffisance payée par la garantie souveraine</t>
  </si>
  <si>
    <t xml:space="preserve">Insuffisance payée par les fonds propres (soutien du promoteur)</t>
  </si>
  <si>
    <t xml:space="preserve">Encours des appels de garantie souveraine</t>
  </si>
  <si>
    <t xml:space="preserve">Flux des fonds propres de l'État</t>
  </si>
  <si>
    <t xml:space="preserve">Flux des fonds propres privés</t>
  </si>
  <si>
    <t xml:space="preserve">Fonds propres privés cumulés (non récupérés si négatif)</t>
  </si>
  <si>
    <t xml:space="preserve">D. FLUX HORS LEVIER ET LCOE</t>
  </si>
  <si>
    <t xml:space="preserve">Flux du projet hors levier après impôt</t>
  </si>
  <si>
    <t xml:space="preserve">Flux de coûts de la centrale (CAPEX + OPEX + redevance)</t>
  </si>
  <si>
    <t xml:space="preserve">Énergie livrée + réputée livrée</t>
  </si>
  <si>
    <t xml:space="preserve">Flux de coûts du système (+ CAPEX et O&amp;M du transport public)</t>
  </si>
  <si>
    <t xml:space="preserve">Énergie livrée à la charge (nette des pertes de transport)</t>
  </si>
  <si>
    <t xml:space="preserve">21 FISCALITÉ — Amortissement, déductibilité des intérêts, report des pertes, exonération</t>
  </si>
  <si>
    <t xml:space="preserve">Taux de l'impôt sur les sociétés</t>
  </si>
  <si>
    <t xml:space="preserve">Exonération fiscale (ans d'expl.)</t>
  </si>
  <si>
    <t xml:space="preserve">Incitation fiscale = recettes abandonnées</t>
  </si>
  <si>
    <t xml:space="preserve">Durée d'amortissement fiscal (linéaire)</t>
  </si>
  <si>
    <t xml:space="preserve">Base amortissable (base de financement + IDC + frais − subventions)</t>
  </si>
  <si>
    <t xml:space="preserve">Amortissement fiscal</t>
  </si>
  <si>
    <t xml:space="preserve">Amortissement du cas prêteurs (hors IDC et frais, évite la circularité)</t>
  </si>
  <si>
    <t xml:space="preserve">Charges d'intérêts (exploitation)</t>
  </si>
  <si>
    <t xml:space="preserve">Résultat imposable avant pertes</t>
  </si>
  <si>
    <t xml:space="preserve">Pertes reportées en début</t>
  </si>
  <si>
    <t xml:space="preserve">Pertes imputées</t>
  </si>
  <si>
    <t xml:space="preserve">Pertes reportées en fin</t>
  </si>
  <si>
    <t xml:space="preserve">Impôt sur les sociétés payé</t>
  </si>
  <si>
    <t xml:space="preserve">Impôt abandonné (exonération)</t>
  </si>
  <si>
    <t xml:space="preserve">Impôt hors levier (pour le TRI du projet)</t>
  </si>
  <si>
    <t xml:space="preserve">22 SOUTIEN DE L'ÉTAT — Exposition directe (trésorerie)</t>
  </si>
  <si>
    <t xml:space="preserve">Fonds propres, subventions/VGF, investissement de transport, soutien à la compagnie</t>
  </si>
  <si>
    <t xml:space="preserve">Apports en fonds propres de l'État</t>
  </si>
  <si>
    <t xml:space="preserve">CAPEX du transport public</t>
  </si>
  <si>
    <t xml:space="preserve">O&amp;M du transport public</t>
  </si>
  <si>
    <t xml:space="preserve">Soutien à la compagnie : garantie budgétaire de l'insuffisance du CAE</t>
  </si>
  <si>
    <t xml:space="preserve">EXPOSITION DIRECTE TOTALE DE L'ÉTAT (TRÉSORERIE)</t>
  </si>
  <si>
    <t xml:space="preserve">Le transport est présenté en base trésorerie (capex). S'il est financé par un prêt souverain, le profil budgétaire devient le service de ce prêt ; la comparaison en valeur actuelle figure dans 25_FISCAL_IMPACT.</t>
  </si>
  <si>
    <t xml:space="preserve">23 GARANTIES — Exposition nominale par instrument (montant maximal à risque chaque année)</t>
  </si>
  <si>
    <t xml:space="preserve">Les expositions ne s'ADDITIONNENT PAS : voir 24 pour le maximum sans double compte</t>
  </si>
  <si>
    <t xml:space="preserve">Plafond garantie CAE</t>
  </si>
  <si>
    <t xml:space="preserve">mois de facturation de la compagnie</t>
  </si>
  <si>
    <t xml:space="preserve">Mesure d'exposition de la garantie</t>
  </si>
  <si>
    <t xml:space="preserve">Niveau de garantie de recettes minimales (0 = aucune)</t>
  </si>
  <si>
    <t xml:space="preserve">% des recettes P50 facturées</t>
  </si>
  <si>
    <t xml:space="preserve">Exposition garantie de dette / contre-garantie</t>
  </si>
  <si>
    <t xml:space="preserve">Exposition garantie de paiement du CAE</t>
  </si>
  <si>
    <t xml:space="preserve">Exposition indemnité de résiliation</t>
  </si>
  <si>
    <t xml:space="preserve">Garantie de convertibilité (transferts annuels couverts)</t>
  </si>
  <si>
    <t xml:space="preserve">Garantie de recettes minimales : appel déterministe</t>
  </si>
  <si>
    <t xml:space="preserve">Dette du projet comptée en dette publique directe</t>
  </si>
  <si>
    <t xml:space="preserve">24 PASSIFS ÉVENTUELS — Exposition maximale, appels déterministes, perte attendue définie par l'utilisateur</t>
  </si>
  <si>
    <t xml:space="preserve">Probabilités = JUGEMENTS DE L'UTILISATEUR pour le filtrage, pas des probabilités de défaut calibrées</t>
  </si>
  <si>
    <t xml:space="preserve">Probabilité annuelle : appel de la garantie de dette</t>
  </si>
  <si>
    <t xml:space="preserve">Jugement utilisateur</t>
  </si>
  <si>
    <t xml:space="preserve">Probabilité annuelle : appel de la garantie du CAE</t>
  </si>
  <si>
    <t xml:space="preserve">Jugement de l'utilisateur, éclairé par l'historique d'arriérés de la compagnie</t>
  </si>
  <si>
    <t xml:space="preserve">Probabilité annuelle : résiliation pour défaut de l'État / FM politique</t>
  </si>
  <si>
    <t xml:space="preserve">Perte en cas d'appel (nette des recouvrements)</t>
  </si>
  <si>
    <t xml:space="preserve">A. EXPOSITION</t>
  </si>
  <si>
    <t xml:space="preserve">Exposition simultanée maximale = MAX(résiliation, garantie de dette + garantie du CAE + couverture de change)</t>
  </si>
  <si>
    <t xml:space="preserve">B. APPELS DÉTERMINISTES DU SCÉNARIO ACTIF</t>
  </si>
  <si>
    <t xml:space="preserve">Appels de la garantie du CAE</t>
  </si>
  <si>
    <t xml:space="preserve">Appels de la garantie de dette (insuffisance SD x part garantie)</t>
  </si>
  <si>
    <t xml:space="preserve">Appels de la garantie de recettes minimales</t>
  </si>
  <si>
    <t xml:space="preserve">Total des appels déterministes</t>
  </si>
  <si>
    <t xml:space="preserve">C. PERTE ATTENDUE (fiable selon les probabilités saisies)</t>
  </si>
  <si>
    <t xml:space="preserve">Perte annuelle attendue</t>
  </si>
  <si>
    <t xml:space="preserve">Facteur d'actualisation de l'État</t>
  </si>
  <si>
    <t xml:space="preserve">Pic de l'exposition éventuelle maximale</t>
  </si>
  <si>
    <t xml:space="preserve">VA de la perte attendue (filtrage)</t>
  </si>
  <si>
    <t xml:space="preserve">VA des appels déterministes du scénario actif</t>
  </si>
  <si>
    <t xml:space="preserve">25 IMPACT BUDGÉTAIRE — Besoin de trésorerie annuel de l'État et VAN budgétaire</t>
  </si>
  <si>
    <t xml:space="preserve">Négatif = coût pour l'État</t>
  </si>
  <si>
    <t xml:space="preserve">A. DÉCAISSEMENTS</t>
  </si>
  <si>
    <t xml:space="preserve">Soutien direct (22)</t>
  </si>
  <si>
    <t xml:space="preserve">Appels de garantie du scénario actif (24)</t>
  </si>
  <si>
    <t xml:space="preserve">B. ENCAISSEMENTS</t>
  </si>
  <si>
    <t xml:space="preserve">Impôt sociétés</t>
  </si>
  <si>
    <t xml:space="preserve">Dividendes sur les fonds propres de l'État</t>
  </si>
  <si>
    <t xml:space="preserve">Recouvrements des appels de garantie (projet et compagnie)</t>
  </si>
  <si>
    <t xml:space="preserve">FLUX BUDGÉTAIRE NET (administration centrale)</t>
  </si>
  <si>
    <t xml:space="preserve">Trésorerie incrémentale de la compagnie publique (y c. nouveaux arriérés en coût)</t>
  </si>
  <si>
    <t xml:space="preserve">FLUX NET CONSOLIDÉ DU SECTEUR PUBLIC</t>
  </si>
  <si>
    <t xml:space="preserve">Flux budgétaire net cumulé</t>
  </si>
  <si>
    <t xml:space="preserve">Besoin de trésorerie annuel de l'État (décaissements)</t>
  </si>
  <si>
    <t xml:space="preserve">Besoin de trésorerie annuel / recettes publiques</t>
  </si>
  <si>
    <t xml:space="preserve">VAN BUDGÉTAIRE @ taux d'actualisation de l'État</t>
  </si>
  <si>
    <t xml:space="preserve">VAN BUDGÉTAIRE CONSOLIDÉE (État + compagnie publique)</t>
  </si>
  <si>
    <t xml:space="preserve">VAN budgétaire moins VA de la perte attendue sur l'exposition éventuelle restante</t>
  </si>
  <si>
    <t xml:space="preserve">Pic du besoin de trésorerie annuel de l'État</t>
  </si>
  <si>
    <t xml:space="preserve">Pic du besoin annuel / recettes publiques</t>
  </si>
  <si>
    <t xml:space="preserve">Décaissement budgétaire cumulé maximal</t>
  </si>
  <si>
    <t xml:space="preserve">Impôt abandonné par exonération (nominal)</t>
  </si>
  <si>
    <t xml:space="preserve">26 FILTRAGE DE L'EXPOSITION BUDGÉTAIRE DU PROJET</t>
  </si>
  <si>
    <t xml:space="preserve">PAS une analyse de viabilité de la dette. Ne remplace pas l'AVD FMI/Banque mondiale. Données pays fictives.</t>
  </si>
  <si>
    <t xml:space="preserve">A. DONNÉES PAYS (Navaria fictive, 2026)</t>
  </si>
  <si>
    <t xml:space="preserve">PIB nominal</t>
  </si>
  <si>
    <t xml:space="preserve">Md USD</t>
  </si>
  <si>
    <t xml:space="preserve">Croissance du PIB nominal en USD</t>
  </si>
  <si>
    <t xml:space="preserve">Recettes publiques (hors dons)</t>
  </si>
  <si>
    <t xml:space="preserve">% PIB</t>
  </si>
  <si>
    <t xml:space="preserve">Dette publique</t>
  </si>
  <si>
    <t xml:space="preserve">Part externe / en devises de la dette publique</t>
  </si>
  <si>
    <t xml:space="preserve">Service de la dette publique / recettes</t>
  </si>
  <si>
    <t xml:space="preserve">Solde budgétaire global</t>
  </si>
  <si>
    <t xml:space="preserve">Dernier risque de surendettement publié dans l'AVD (1 = faible, 2 = modéré, 3 = élevé, 4 = surendetté)</t>
  </si>
  <si>
    <t xml:space="preserve">Tiré de la dernière AVD FMI/BM : fictif ici</t>
  </si>
  <si>
    <t xml:space="preserve">B. SEUILS DE FILTRAGE (modifiables, indicatifs)</t>
  </si>
  <si>
    <t xml:space="preserve">Référence dette publique / PIB</t>
  </si>
  <si>
    <t xml:space="preserve">Référence LIC-DSF VA dette publique totale 35/55/70 % (faible/moyenne/forte) [FR-09] ; nominal vs VA non ajusté</t>
  </si>
  <si>
    <t xml:space="preserve">Hausse significative de la dette / PIB due à un projet</t>
  </si>
  <si>
    <t xml:space="preserve">Convention de filtrage (utilisateur)</t>
  </si>
  <si>
    <t xml:space="preserve">Exposition éventuelle significative</t>
  </si>
  <si>
    <t xml:space="preserve">Besoin de trésorerie annuel significatif</t>
  </si>
  <si>
    <t xml:space="preserve">% recettes</t>
  </si>
  <si>
    <t xml:space="preserve">C. PROJECTIONS</t>
  </si>
  <si>
    <t xml:space="preserve">Recettes publiques</t>
  </si>
  <si>
    <t xml:space="preserve">Dette du projet inscrite au budget / PIB</t>
  </si>
  <si>
    <t xml:space="preserve">Exposition éventuelle maximale / PIB</t>
  </si>
  <si>
    <t xml:space="preserve">Besoin de trésorerie de l'État / recettes</t>
  </si>
  <si>
    <t xml:space="preserve">Décaissement budgétaire cumulé / PIB</t>
  </si>
  <si>
    <t xml:space="preserve">Arriérés de la compagnie envers le PIE / PIB</t>
  </si>
  <si>
    <t xml:space="preserve">Hausse budgétaire la même année (dette directe + décaissement cumulé + arriérés EP) / PIB</t>
  </si>
  <si>
    <t xml:space="preserve">D. RÉSULTAT DU FILTRAGE</t>
  </si>
  <si>
    <t xml:space="preserve">Pic de la hausse budgétaire / PIB</t>
  </si>
  <si>
    <t xml:space="preserve">Pic de l'exposition éventuelle / PIB</t>
  </si>
  <si>
    <t xml:space="preserve">Pic du besoin de trésorerie / recettes</t>
  </si>
  <si>
    <t xml:space="preserve">% rec.</t>
  </si>
  <si>
    <t xml:space="preserve">Dette publique / PIB y c. pic de hausse due au projet</t>
  </si>
  <si>
    <t xml:space="preserve">Seuils dépassés (0-4 ; 4e = le projet porte la dette au-delà de la référence)</t>
  </si>
  <si>
    <t xml:space="preserve">RÉSULTAT DU FILTRAGE DE L'EXPOSITION BUDGÉTAIRE DU PROJET</t>
  </si>
  <si>
    <t xml:space="preserve">27 SCÉNARIOS — Table des cas, paramètres de stress et leviers effectifs</t>
  </si>
  <si>
    <t xml:space="preserve">Les cas s'excluent mutuellement ; les stress sont des options cumulables (01_CONTROL_PANEL). Table d'instantanés remplie par tools/run_snapshots.py</t>
  </si>
  <si>
    <t xml:space="preserve">Paramètre du cas</t>
  </si>
  <si>
    <t xml:space="preserve">Base</t>
  </si>
  <si>
    <t xml:space="preserve">Low</t>
  </si>
  <si>
    <t xml:space="preserve">High</t>
  </si>
  <si>
    <t xml:space="preserve">Note</t>
  </si>
  <si>
    <t xml:space="preserve">Facteur d'hydrologie (débit)</t>
  </si>
  <si>
    <t xml:space="preserve">S'applique à toutes les années</t>
  </si>
  <si>
    <t xml:space="preserve">Facteur CAPEX</t>
  </si>
  <si>
    <t xml:space="preserve">Ajustement de croissance de la demande (ajouté à chaque segment)</t>
  </si>
  <si>
    <t xml:space="preserve">pp</t>
  </si>
  <si>
    <t xml:space="preserve">Facteur OPEX</t>
  </si>
  <si>
    <t xml:space="preserve">PARAMÈTRES DE STRESS (appliqués seulement si l'option est activée)</t>
  </si>
  <si>
    <t xml:space="preserve">Sécheresse : facteur de débit pendant la période de sécheresse</t>
  </si>
  <si>
    <t xml:space="preserve">Kariba 2024 : allocation réduite d'env. 47 % (presse) [CL-04] ; calibrer sur la pire séquence du bassin</t>
  </si>
  <si>
    <t xml:space="preserve">Sécheresse : 1re année d'exploitation touchée</t>
  </si>
  <si>
    <t xml:space="preserve">an. expl.</t>
  </si>
  <si>
    <t xml:space="preserve">Sécheresse : durée</t>
  </si>
  <si>
    <t xml:space="preserve">Kariba a connu des sécheresses pluriannuelles (voir la bibliothèque de cas)</t>
  </si>
  <si>
    <t xml:space="preserve">Ansar et al. 2014 : dépassement réel médian +27 %, moyen +96 % [HY-08]</t>
  </si>
  <si>
    <t xml:space="preserve">Ansar et al. 2014 : retard moyen 2,3 ans, médian 1,7 [HY-08]</t>
  </si>
  <si>
    <t xml:space="preserve">Demande faible : facteur de niveau</t>
  </si>
  <si>
    <t xml:space="preserve">Stress acheteur : baisse du taux de recouvrement (dès la COD)</t>
  </si>
  <si>
    <t xml:space="preserve">Stress acheteur : baisse des transferts de l'État à la compagnie (dès la COD)</t>
  </si>
  <si>
    <t xml:space="preserve">Stress acheteur : gel du tarif de détail dès la COD</t>
  </si>
  <si>
    <t xml:space="preserve">Gel nominal, puis reprise de l'indexation (niveau non rattrapé)</t>
  </si>
  <si>
    <t xml:space="preserve">Stress de change : dévaluation ponctuelle (hausse du NVL par USD)</t>
  </si>
  <si>
    <t xml:space="preserve">Palier à la COD de la centrale, en plus de la tendance ; cf. fortes dévaluations récentes en ASS</t>
  </si>
  <si>
    <t xml:space="preserve">Taux élevés : majoration du taux commercial</t>
  </si>
  <si>
    <t xml:space="preserve">% abs.</t>
  </si>
  <si>
    <t xml:space="preserve">Dette concessionnelle supposée à taux fixe</t>
  </si>
  <si>
    <t xml:space="preserve">Tendance climatique des débits moyens</t>
  </si>
  <si>
    <t xml:space="preserve">% / décennie</t>
  </si>
  <si>
    <t xml:space="preserve">Indicatif ; doit provenir d'une étude climatique propre au bassin</t>
  </si>
  <si>
    <t xml:space="preserve">LEVIERS EFFECTIFS UTILISÉS PAR LE MOTEUR</t>
  </si>
  <si>
    <t xml:space="preserve">Facteur de débit effectif</t>
  </si>
  <si>
    <t xml:space="preserve">Facteur CAPEX effectif (dépassement porté par le maître d'ouvrage selon le montage contractuel)</t>
  </si>
  <si>
    <t xml:space="preserve">Retard de construction effectif</t>
  </si>
  <si>
    <t xml:space="preserve">Ajust. croissance demande</t>
  </si>
  <si>
    <t xml:space="preserve">Facteur de niveau de demande</t>
  </si>
  <si>
    <t xml:space="preserve">Ajustement du taux de recouvrement</t>
  </si>
  <si>
    <t xml:space="preserve">Facteur de transferts de l'État</t>
  </si>
  <si>
    <t xml:space="preserve">Gel du tarif de détail</t>
  </si>
  <si>
    <t xml:space="preserve">Dépréciation tendancielle</t>
  </si>
  <si>
    <t xml:space="preserve">Dévaluation ponctuelle à la COD</t>
  </si>
  <si>
    <t xml:space="preserve">Majoration du taux commercial</t>
  </si>
  <si>
    <t xml:space="preserve">Tendance climatique</t>
  </si>
  <si>
    <t xml:space="preserve">%/décennie</t>
  </si>
  <si>
    <t xml:space="preserve">Facteur tarifaire</t>
  </si>
  <si>
    <t xml:space="preserve">SCÉNARIOS — INSTANTANÉ DU MOTEUR COMPLET (valeurs statiques, générées le 2026-10-04 par tools/run_snapshots.py ; stress calculés avec le financement FIGÉ aux montants du cas de base et l'échéancier sculpté du principal du cas de base)</t>
  </si>
  <si>
    <t xml:space="preserve">Base : dette dimensionnée</t>
  </si>
  <si>
    <t xml:space="preserve">Base : dette figée</t>
  </si>
  <si>
    <t xml:space="preserve">Cas bas</t>
  </si>
  <si>
    <t xml:space="preserve">Cas haut</t>
  </si>
  <si>
    <t xml:space="preserve">Dépassement CAPEX, moyenne de la classe de référence (+96 %)</t>
  </si>
  <si>
    <t xml:space="preserve">Stress acheteur, sans garantie budgétaire (garantie du CAE appelée)</t>
  </si>
  <si>
    <t xml:space="preserve">Combiné : dépassement + retard + acheteur + change</t>
  </si>
  <si>
    <t xml:space="preserve">28 SENSIBILITÉ — Tornade LCOE explicite en direct + instantané du moteur complet</t>
  </si>
  <si>
    <t xml:space="preserve">La section directe se recalcule instantanément ; la section instantané est générée par tools/run_snapshots.py</t>
  </si>
  <si>
    <t xml:space="preserve">A. TORNADE LCOE EN DIRECT (filtrage : annuité réelle sur CAPEX centrale, P50, taux d'actualisation)</t>
  </si>
  <si>
    <t xml:space="preserve">Capital de base (base de financement + IDC)</t>
  </si>
  <si>
    <t xml:space="preserve">LCOE de filtrage : base</t>
  </si>
  <si>
    <t xml:space="preserve">Facteur</t>
  </si>
  <si>
    <t xml:space="preserve">Variation</t>
  </si>
  <si>
    <t xml:space="preserve">LCOE bas</t>
  </si>
  <si>
    <t xml:space="preserve">LCOE haut</t>
  </si>
  <si>
    <t xml:space="preserve">Écart</t>
  </si>
  <si>
    <t xml:space="preserve">CAPEX ±20 %</t>
  </si>
  <si>
    <t xml:space="preserve">Production ±10 %</t>
  </si>
  <si>
    <t xml:space="preserve">Taux d'actualisation ±2 pp</t>
  </si>
  <si>
    <t xml:space="preserve">OPEX ±20 %</t>
  </si>
  <si>
    <t xml:space="preserve">Part livrée (écrêtement 0-15 %)</t>
  </si>
  <si>
    <t xml:space="preserve">Filtrage explicite : ignore l'impôt, la structure de financement et le calendrier. Utiliser l'instantané du moteur complet pour les indicateurs de financement.</t>
  </si>
  <si>
    <t xml:space="preserve">SENSIBILITÉS — INSTANTANÉ DU MOTEUR COMPLET (valeurs statiques, générées le 2026-10-04 par tools/run_snapshots.py ; stress calculés avec le financement FIGÉ aux montants du cas de base et l'échéancier sculpté du principal du cas de base)</t>
  </si>
  <si>
    <t xml:space="preserve">CAPEX -20 %</t>
  </si>
  <si>
    <t xml:space="preserve">CAPEX +20 %</t>
  </si>
  <si>
    <t xml:space="preserve">Production -10 %</t>
  </si>
  <si>
    <t xml:space="preserve">Production +10 %</t>
  </si>
  <si>
    <t xml:space="preserve">Tarif -10 %</t>
  </si>
  <si>
    <t xml:space="preserve">Tarif +10 %</t>
  </si>
  <si>
    <t xml:space="preserve">OPEX +20 %</t>
  </si>
  <si>
    <t xml:space="preserve">Taux commercial +200 pb</t>
  </si>
  <si>
    <t xml:space="preserve">Production P90 dans les flux</t>
  </si>
  <si>
    <t xml:space="preserve">29 RÉPARTITION DES RISQUES — Qui porte chaque risque, et peut-il être atténué par contrat ?</t>
  </si>
  <si>
    <t xml:space="preserve">P = porteur principal, S = risque partagé, vide = aucun. Répartition indicative pour la structure PPP/PIE choisie (fictive).</t>
  </si>
  <si>
    <t xml:space="preserve">Risque</t>
  </si>
  <si>
    <t xml:space="preserve">État</t>
  </si>
  <si>
    <t xml:space="preserve">Développeur</t>
  </si>
  <si>
    <t xml:space="preserve">EPC</t>
  </si>
  <si>
    <t xml:space="preserve">Prêteur</t>
  </si>
  <si>
    <t xml:space="preserve">Compagnie</t>
  </si>
  <si>
    <t xml:space="preserve">Consommateur</t>
  </si>
  <si>
    <t xml:space="preserve">Assureur</t>
  </si>
  <si>
    <t xml:space="preserve">IFD</t>
  </si>
  <si>
    <t xml:space="preserve">Atténuable par contrat ?</t>
  </si>
  <si>
    <t xml:space="preserve">Principaux instruments</t>
  </si>
  <si>
    <t xml:space="preserve">Lien modèle</t>
  </si>
  <si>
    <t xml:space="preserve">Hydrologie</t>
  </si>
  <si>
    <t xml:space="preserve">P</t>
  </si>
  <si>
    <t xml:space="preserve">S</t>
  </si>
  <si>
    <t xml:space="preserve">Partiellement</t>
  </si>
  <si>
    <t xml:space="preserve">Exposition limitée à l'énergie via un tarif binôme ; DSRA ; dimensionnement sur P90 ; réserve hydrologique ; couverture paramétrique sécheresse (si disponible)</t>
  </si>
  <si>
    <t xml:space="preserve">03/04, st_drought</t>
  </si>
  <si>
    <t xml:space="preserve">Construction (géologie, qualité)</t>
  </si>
  <si>
    <t xml:space="preserve">Oui (largement)</t>
  </si>
  <si>
    <t xml:space="preserve">EPC à prix et date fermes, pénalités, garanties de bonne exécution, assurance TRC, rapport géotechnique de référence</t>
  </si>
  <si>
    <t xml:space="preserve">05/06</t>
  </si>
  <si>
    <t xml:space="preserve">Surcoût</t>
  </si>
  <si>
    <t xml:space="preserve">Provisions pour aléas, dette/fonds propres de réserve, soutien d'achèvement du promoteur ; la géologie imprévue revient souvent au maître d'ouvrage</t>
  </si>
  <si>
    <t xml:space="preserve">st_capex</t>
  </si>
  <si>
    <t xml:space="preserve">Retard</t>
  </si>
  <si>
    <t xml:space="preserve">Pénalités de retard, assurance perte d'exploitation anticipée (DSU), provision IDC</t>
  </si>
  <si>
    <t xml:space="preserve">st_delay</t>
  </si>
  <si>
    <t xml:space="preserve">Demande</t>
  </si>
  <si>
    <t xml:space="preserve">Take-or-pay / énergie réputée livrée : risque transféré à la compagnie → in fine à l'État/aux consommateurs</t>
  </si>
  <si>
    <t xml:space="preserve">10, st_demand</t>
  </si>
  <si>
    <t xml:space="preserve">Paiement de l'acheteur</t>
  </si>
  <si>
    <t xml:space="preserve">LC/séquestre, facilité de liquidité, garantie souveraine, PRG, MIGA NHSFO, plan de redressement de la compagnie</t>
  </si>
  <si>
    <t xml:space="preserve">12, st_offtaker</t>
  </si>
  <si>
    <t xml:space="preserve">Révision tarifaire / réglementaire</t>
  </si>
  <si>
    <t xml:space="preserve">Oui</t>
  </si>
  <si>
    <t xml:space="preserve">Tarif du CAE fixé par contrat ; approbation de la répercussion par le régulateur</t>
  </si>
  <si>
    <t xml:space="preserve">13/14</t>
  </si>
  <si>
    <t xml:space="preserve">Change</t>
  </si>
  <si>
    <t xml:space="preserve">Tarif en USD (risque transféré à la compagnie), engagement de convertibilité, tranche de dette en monnaie locale</t>
  </si>
  <si>
    <t xml:space="preserve">st_fx</t>
  </si>
  <si>
    <t xml:space="preserve">Taux d'intérêt</t>
  </si>
  <si>
    <t xml:space="preserve">Prêts d'IFD à taux fixe, swaps, tranches concessionnelles à taux fixe</t>
  </si>
  <si>
    <t xml:space="preserve">st_rate</t>
  </si>
  <si>
    <t xml:space="preserve">Politique</t>
  </si>
  <si>
    <t xml:space="preserve">Oui (assurable)</t>
  </si>
  <si>
    <t xml:space="preserve">Assurance risque politique MIGA/ATI, PRG, stabilisation, arbitrage</t>
  </si>
  <si>
    <t xml:space="preserve">23</t>
  </si>
  <si>
    <t xml:space="preserve">Réglementaire / changement de loi</t>
  </si>
  <si>
    <t xml:space="preserve">Indemnisation changement de loi (CAE/convention)</t>
  </si>
  <si>
    <t xml:space="preserve">13</t>
  </si>
  <si>
    <t xml:space="preserve">Transport</t>
  </si>
  <si>
    <t xml:space="preserve">Accord d'interface, énergie réputée livrée, financement parallèle de la ligne, PPP de transport</t>
  </si>
  <si>
    <t xml:space="preserve">08/09, st_trans</t>
  </si>
  <si>
    <t xml:space="preserve">Stabilité du réseau / écrêtement</t>
  </si>
  <si>
    <t xml:space="preserve">Respect du code de réseau, énergie réputée livrée, règles de dispatching</t>
  </si>
  <si>
    <t xml:space="preserve">09</t>
  </si>
  <si>
    <t xml:space="preserve">Environnemental et social</t>
  </si>
  <si>
    <t xml:space="preserve">EIES/PGES aux normes des prêteurs, budget PAR, suivi indépendant, engagements de débit réservé</t>
  </si>
  <si>
    <t xml:space="preserve">13 (porte 9)</t>
  </si>
  <si>
    <t xml:space="preserve">Assurance ; exonération FM ; prolongation</t>
  </si>
  <si>
    <t xml:space="preserve">14</t>
  </si>
  <si>
    <t xml:space="preserve">Résiliation</t>
  </si>
  <si>
    <t xml:space="preserve">Oui (définit la responsabilité)</t>
  </si>
  <si>
    <t xml:space="preserve">Formules d'indemnité de résiliation ; rachat ; droits de substitution</t>
  </si>
  <si>
    <t xml:space="preserve">23 x_term</t>
  </si>
  <si>
    <t xml:space="preserve">Risques dont l'État est porteur principal</t>
  </si>
  <si>
    <t xml:space="preserve">Risques dont la compagnie est porteur principal</t>
  </si>
  <si>
    <t xml:space="preserve">Répartition selon une logique générique de matrice des risques, pour discussion ; la répartition réelle dépend des contrats négociés. Pas un avis juridique.</t>
  </si>
  <si>
    <t xml:space="preserve">30 BANCABILITÉ — FILTRE DE BANCABILITÉ À 9 PORTES, phase de développement (maillon faible, seuils vérifiables). Le test de bouclage à 23 portes est en 30A.</t>
  </si>
  <si>
    <t xml:space="preserve">Score : 3 READY, 2 CONDITIONAL, 1 DEVELOPMENT GAP, 0 CRITICAL GAP. Statut de la porte = test le plus faible. Seuils indicatifs et modifiables.</t>
  </si>
  <si>
    <t xml:space="preserve">Porte / test</t>
  </si>
  <si>
    <t xml:space="preserve">Sens</t>
  </si>
  <si>
    <t xml:space="preserve">READY si</t>
  </si>
  <si>
    <t xml:space="preserve">COND. si</t>
  </si>
  <si>
    <t xml:space="preserve">DEV. GAP si</t>
  </si>
  <si>
    <t xml:space="preserve">Score</t>
  </si>
  <si>
    <t xml:space="preserve">Source / logique</t>
  </si>
  <si>
    <t xml:space="preserve">GATE 1 — RESSOURCE</t>
  </si>
  <si>
    <t xml:space="preserve">   Série de débits fiable (ans)</t>
  </si>
  <si>
    <t xml:space="preserve">H</t>
  </si>
  <si>
    <t xml:space="preserve">03_HYDROLOGY</t>
  </si>
  <si>
    <t xml:space="preserve">   Ratio d'énergie P90 / P50</t>
  </si>
  <si>
    <t xml:space="preserve">   Maturité de l'étude hydrologique (1-3)</t>
  </si>
  <si>
    <t xml:space="preserve">GATE 2 — DEMANDE</t>
  </si>
  <si>
    <t xml:space="preserve">   Demande bancable / contractée, pire des an. expl. 1-5</t>
  </si>
  <si>
    <t xml:space="preserve">10_DEMAND</t>
  </si>
  <si>
    <t xml:space="preserve">   Part du projet dans la pointe du système à la COD</t>
  </si>
  <si>
    <t xml:space="preserve">L</t>
  </si>
  <si>
    <t xml:space="preserve">09_GRID</t>
  </si>
  <si>
    <t xml:space="preserve">GATE 3 — CONFIGURATION</t>
  </si>
  <si>
    <t xml:space="preserve">   CAPEX unitaire / référence</t>
  </si>
  <si>
    <t xml:space="preserve">05_PLANT_CAPEX</t>
  </si>
  <si>
    <t xml:space="preserve">   Facteur de charge (P50)</t>
  </si>
  <si>
    <t xml:space="preserve">   Maturité de la faisabilité (1-3)</t>
  </si>
  <si>
    <t xml:space="preserve">GATE 4 — TRANSPORT</t>
  </si>
  <si>
    <t xml:space="preserve">   Capacité d'évacuation à la COD / installée</t>
  </si>
  <si>
    <t xml:space="preserve">   Retard du transport sur la COD (ans)</t>
  </si>
  <si>
    <t xml:space="preserve">08_TRANSMISSION</t>
  </si>
  <si>
    <t xml:space="preserve">   Financement du transport acquis (1/0)</t>
  </si>
  <si>
    <t xml:space="preserve">GATE 5 — ACHETEUR / COMPAGNIE</t>
  </si>
  <si>
    <t xml:space="preserve">   Capacité de paiement / paiement CAE, pire des an. expl. 1-10</t>
  </si>
  <si>
    <t xml:space="preserve">12_UTILITY</t>
  </si>
  <si>
    <t xml:space="preserve">   Taux de recouvrement compagnie</t>
  </si>
  <si>
    <t xml:space="preserve">   Garantie de paiement (mois de facturation)</t>
  </si>
  <si>
    <t xml:space="preserve">11_OFFTAKER</t>
  </si>
  <si>
    <t xml:space="preserve">GATE 6 — RÉGLEMENTATION / CAE</t>
  </si>
  <si>
    <t xml:space="preserve">   Éléments réglementaires en CRITICAL GAP</t>
  </si>
  <si>
    <t xml:space="preserve">13_REGULATION</t>
  </si>
  <si>
    <t xml:space="preserve">   Éléments réglementaires en GAP</t>
  </si>
  <si>
    <t xml:space="preserve">   Part fixe (capacité) des recettes</t>
  </si>
  <si>
    <t xml:space="preserve">16_REVENUE</t>
  </si>
  <si>
    <t xml:space="preserve">GATE 7 — FINANCEMENT</t>
  </si>
  <si>
    <t xml:space="preserve">   DSCR minimum, cas réel</t>
  </si>
  <si>
    <t xml:space="preserve">20_CASH_FLOW</t>
  </si>
  <si>
    <t xml:space="preserve">   Besoin de financement / emplois totaux</t>
  </si>
  <si>
    <t xml:space="preserve">17_PROJECT_FINANCE</t>
  </si>
  <si>
    <t xml:space="preserve">   TRI fonds propres privés vs cible (n/a = franchi)</t>
  </si>
  <si>
    <t xml:space="preserve">19_EQUITY</t>
  </si>
  <si>
    <t xml:space="preserve">GATE 8 — FINANCES PUBLIQUES</t>
  </si>
  <si>
    <t xml:space="preserve">   Pic du besoin de trésorerie annuel de l'État / recettes</t>
  </si>
  <si>
    <t xml:space="preserve">26_DEBT_SUSTAINABILITY</t>
  </si>
  <si>
    <t xml:space="preserve">   Pic de l'exposition éventuelle / PIB</t>
  </si>
  <si>
    <t xml:space="preserve">24/26</t>
  </si>
  <si>
    <t xml:space="preserve">   Pic de la hausse budgétaire / PIB (dette directe, décaissements, arriérés EP)</t>
  </si>
  <si>
    <t xml:space="preserve">   VAN budgétaire consolidée (y c. compagnie publique) / PIB</t>
  </si>
  <si>
    <t xml:space="preserve">25_FISCAL_IMPACT</t>
  </si>
  <si>
    <t xml:space="preserve">   Note de risque AVD du pays (1-4)</t>
  </si>
  <si>
    <t xml:space="preserve">GATE 9 — E&amp;S / DURABILITÉ</t>
  </si>
  <si>
    <t xml:space="preserve">   EIES et conformité aux normes des prêteurs (1-3)</t>
  </si>
  <si>
    <t xml:space="preserve">   État du plan de réinstallation (1-3)</t>
  </si>
  <si>
    <t xml:space="preserve">   Enjeux transfrontaliers / riverains (1-3)</t>
  </si>
  <si>
    <t xml:space="preserve">SYNTHÈSE ET CLASSEMENT DES PORTES (départage : ordre des portes)</t>
  </si>
  <si>
    <t xml:space="preserve">Porte</t>
  </si>
  <si>
    <t xml:space="preserve">Clé de rang</t>
  </si>
  <si>
    <t xml:space="preserve">Action</t>
  </si>
  <si>
    <t xml:space="preserve">Score de porte le plus bas</t>
  </si>
  <si>
    <t xml:space="preserve">Portes en CRITICAL GAP</t>
  </si>
  <si>
    <t xml:space="preserve">Portes en DEVELOPMENT GAP</t>
  </si>
  <si>
    <t xml:space="preserve">VERDICT GLOBAL</t>
  </si>
  <si>
    <t xml:space="preserve">Méthode : chaque test associe un indicateur à un statut via trois seuils explicites. Le statut d'une porte est celui de son test le plus faible (sans moyenne ni pondération cachée). Seuils de filtrage indicatifs choisis par l'auteur du modèle ; les calibrer sur les term sheets des prêteurs, les orientations FMI/BM et le contexte du projet.</t>
  </si>
  <si>
    <t xml:space="preserve">30A MATURITÉ POUR LE BOUCLAGE FINANCIER — 23 portes, la preuve d'abord</t>
  </si>
  <si>
    <t xml:space="preserve">Statut : MET / PARTIAL / NOT MET / NO EVIDENCE. Les tests du modèle sont automatiques. STOP si une porte critique est NOT MET ou en NO EVIDENCE ; CONDITIONAL GO si toutes les portes critiques sont MET ; GO seulement si toutes les portes sont MET. Pas une recommandation.</t>
  </si>
  <si>
    <t xml:space="preserve">Domaine</t>
  </si>
  <si>
    <t xml:space="preserve">Critique</t>
  </si>
  <si>
    <t xml:space="preserve">Statut de la preuve (saisie)</t>
  </si>
  <si>
    <t xml:space="preserve">Statut retenu</t>
  </si>
  <si>
    <t xml:space="preserve">Preuve / test du modèle</t>
  </si>
  <si>
    <t xml:space="preserve">Question du cadre</t>
  </si>
  <si>
    <t xml:space="preserve">Doit être acceptée par</t>
  </si>
  <si>
    <t xml:space="preserve">Série de débits d'au moins 15 ans et revue hydrologique indépendante</t>
  </si>
  <si>
    <t xml:space="preserve">Ressource</t>
  </si>
  <si>
    <t xml:space="preserve">Y</t>
  </si>
  <si>
    <t xml:space="preserve">test du modèle</t>
  </si>
  <si>
    <t xml:space="preserve">Automatique : AND(rec_years&gt;=15,hyd_study=3)</t>
  </si>
  <si>
    <t xml:space="preserve">Q1 Techniquement viable</t>
  </si>
  <si>
    <t xml:space="preserve">Développeur, prêteurs</t>
  </si>
  <si>
    <t xml:space="preserve">Énergie P90 confirmée par le conseiller technique des prêteurs</t>
  </si>
  <si>
    <t xml:space="preserve">Dossier de preuve (référence du document à saisir)</t>
  </si>
  <si>
    <t xml:space="preserve">Étude de faisabilité bancable validée par le conseiller technique des prêteurs</t>
  </si>
  <si>
    <t xml:space="preserve">Conception</t>
  </si>
  <si>
    <t xml:space="preserve">Automatique : fs_level=3</t>
  </si>
  <si>
    <t xml:space="preserve">Reconnaissance géotechnique suffisante pour un rapport de référence</t>
  </si>
  <si>
    <t xml:space="preserve">EIES approuvée et conforme aux normes des prêteurs</t>
  </si>
  <si>
    <t xml:space="preserve">E&amp;S</t>
  </si>
  <si>
    <t xml:space="preserve">Automatique : es_level=3</t>
  </si>
  <si>
    <t xml:space="preserve">Q2 Développable</t>
  </si>
  <si>
    <t xml:space="preserve">Développeur, État</t>
  </si>
  <si>
    <t xml:space="preserve">Plan d'action de réinstallation approuvé et financé</t>
  </si>
  <si>
    <t xml:space="preserve">Automatique : rap_level&gt;=2</t>
  </si>
  <si>
    <t xml:space="preserve">Licence de production et permis d'utilisation de l'eau délivrés</t>
  </si>
  <si>
    <t xml:space="preserve">Permis</t>
  </si>
  <si>
    <t xml:space="preserve">Droits fonciers acquis sur toutes les emprises du projet</t>
  </si>
  <si>
    <t xml:space="preserve">NOT MET</t>
  </si>
  <si>
    <t xml:space="preserve">CAE signé et approuvé par le régulateur</t>
  </si>
  <si>
    <t xml:space="preserve">Recettes</t>
  </si>
  <si>
    <t xml:space="preserve">Convention de mise en œuvre ou de concession signée</t>
  </si>
  <si>
    <t xml:space="preserve">Transport financé (test du modèle) ; contrat de raccordement signé à justifier</t>
  </si>
  <si>
    <t xml:space="preserve">Réseau</t>
  </si>
  <si>
    <t xml:space="preserve">Automatique : tx_fin=1</t>
  </si>
  <si>
    <t xml:space="preserve">Q3 Économique pour le système</t>
  </si>
  <si>
    <t xml:space="preserve">Transport en service au plus tard à la COD de la centrale</t>
  </si>
  <si>
    <t xml:space="preserve">N</t>
  </si>
  <si>
    <t xml:space="preserve">Automatique : tx_gap_yrs&lt;=0</t>
  </si>
  <si>
    <t xml:space="preserve">Contrat(s) EPC signé(s) à prix ferme, date d'achèvement et pénalités</t>
  </si>
  <si>
    <t xml:space="preserve">Construction</t>
  </si>
  <si>
    <t xml:space="preserve">Q6 Constructible dans le budget</t>
  </si>
  <si>
    <t xml:space="preserve">Dispositif O&amp;M et équipe du maître d'ouvrage en place</t>
  </si>
  <si>
    <t xml:space="preserve">Exploitation</t>
  </si>
  <si>
    <t xml:space="preserve">Garantie de paiement d'au moins 6 mois en place</t>
  </si>
  <si>
    <t xml:space="preserve">Acheteur</t>
  </si>
  <si>
    <t xml:space="preserve">Automatique : lc_months&gt;=6</t>
  </si>
  <si>
    <t xml:space="preserve">Q7 Abordable pour l'acheteur et l'État</t>
  </si>
  <si>
    <t xml:space="preserve">Capacité de paiement de l'acheteur d'au moins 1,2x la facture du CAE (pire des 10 premières années)</t>
  </si>
  <si>
    <t xml:space="preserve">Automatique : ut_ratio10&gt;=1.2</t>
  </si>
  <si>
    <t xml:space="preserve">Plan de financement entièrement engagé (aucun besoin non couvert)</t>
  </si>
  <si>
    <t xml:space="preserve">Financement</t>
  </si>
  <si>
    <t xml:space="preserve">Automatique : fin_gap&lt;=0.5</t>
  </si>
  <si>
    <t xml:space="preserve">Q5 Bancable</t>
  </si>
  <si>
    <t xml:space="preserve">Prêteurs</t>
  </si>
  <si>
    <t xml:space="preserve">DSCR minimum au moins égal à la cible de dimensionnement dans le cas retenu</t>
  </si>
  <si>
    <t xml:space="preserve">Automatique : AND(debt_m+debt_c&gt;0,kpi_min_dscr&gt;=str_dscr)</t>
  </si>
  <si>
    <t xml:space="preserve">TRI des fonds propres au moins égal à la cible (test du modèle) ; engagements de fonds propres signés à justifier</t>
  </si>
  <si>
    <t xml:space="preserve">Automatique : IF(ISNUMBER(kpi_eirr),kpi_eirr&gt;=str_hurdle,s_priv&lt;=0)</t>
  </si>
  <si>
    <t xml:space="preserve">Q4 Investissable pour le développeur</t>
  </si>
  <si>
    <t xml:space="preserve">Couverture du risque politique ou garanties signées</t>
  </si>
  <si>
    <t xml:space="preserve">NO EVIDENCE</t>
  </si>
  <si>
    <t xml:space="preserve">Filtre budgétaire non HIGH (test du modèle) ; approbation du soutien par le ministère des Finances à justifier</t>
  </si>
  <si>
    <t xml:space="preserve">Finances publiques</t>
  </si>
  <si>
    <t xml:space="preserve">Automatique : LEFT(sc_result,4)&lt;&gt;"HIGH"</t>
  </si>
  <si>
    <t xml:space="preserve">Programme d'assurances placé (tous risques chantier, DSU)</t>
  </si>
  <si>
    <t xml:space="preserve">Audit indépendant du modèle réalisé</t>
  </si>
  <si>
    <t xml:space="preserve">Portes</t>
  </si>
  <si>
    <t xml:space="preserve">Portes critiques NOT MET</t>
  </si>
  <si>
    <t xml:space="preserve">Portes critiques en NO EVIDENCE</t>
  </si>
  <si>
    <t xml:space="preserve">Portes critiques PARTIAL</t>
  </si>
  <si>
    <t xml:space="preserve">DÉCISION DE BOUCLAGE FINANCIER</t>
  </si>
  <si>
    <t xml:space="preserve">Un GO signifie que le dossier de preuve est complet pour que prêteurs et promoteurs décident. Ce n'est pas une recommandation d'investissement.</t>
  </si>
  <si>
    <t xml:space="preserve">HYDRO READINESS FRAMEWORK : huit questions, 23 portes, une décision de bouclage</t>
  </si>
  <si>
    <t xml:space="preserve">Question</t>
  </si>
  <si>
    <t xml:space="preserve">Franch.</t>
  </si>
  <si>
    <t xml:space="preserve">Critiques non franchies ou sans preuve</t>
  </si>
  <si>
    <t xml:space="preserve">Q8 Prêt pour le bouclage</t>
  </si>
  <si>
    <t xml:space="preserve">Développeur, prêteurs, État</t>
  </si>
  <si>
    <t xml:space="preserve">31 ÉTUDE DE CAS — Projet de référence fictif vs cas publics de référence</t>
  </si>
  <si>
    <t xml:space="preserve">Références issues uniquement de sources publiques (voir research/). « DONNÉES PUBLIQUES NON TROUVÉES » si non vérifié.</t>
  </si>
  <si>
    <t xml:space="preserve">Projet</t>
  </si>
  <si>
    <t xml:space="preserve">Coût annoncé (tel que publié)</t>
  </si>
  <si>
    <t xml:space="preserve">Coût retenu (M USD, nominal)</t>
  </si>
  <si>
    <t xml:space="preserve">USD/kW (nominal, non ajusté)</t>
  </si>
  <si>
    <t xml:space="preserve">Dépassement / retard</t>
  </si>
  <si>
    <t xml:space="preserve">Soutien au crédit</t>
  </si>
  <si>
    <t xml:space="preserve">Leçon (inférence de l'analyste)</t>
  </si>
  <si>
    <t xml:space="preserve">Source (fichier research/ et ID)</t>
  </si>
  <si>
    <t xml:space="preserve">Nachtigal</t>
  </si>
  <si>
    <t xml:space="preserve">Cameroun</t>
  </si>
  <si>
    <t xml:space="preserve">PIE/PPP, dette d'IFD menée par l'IFC</t>
  </si>
  <si>
    <t xml:space="preserve">1 184 M EUR (~1 383 M USD) selon le PAD Banque mondiale</t>
  </si>
  <si>
    <t xml:space="preserve">BF nov. 2018 ; 57 mois de travaux prévus, COD 2023 ; 7e groupe couplé le 27 févr. 2025</t>
  </si>
  <si>
    <t xml:space="preserve">Pleine puissance ~2 ans en retard ; défauts relevés par le régulateur (ARSEL) en août 2023</t>
  </si>
  <si>
    <t xml:space="preserve">Garantie de paiement BIRD 86 M EUR + garantie de prêt 171 M EUR (contre-garantie souveraine) ; MIGA jusqu'à 224,8 M EUR ; dette/fonds propres 76:24 (PAD)</t>
  </si>
  <si>
    <t xml:space="preserve">Les garanties transfèrent le risque de paiement à l'État via les contre-garanties</t>
  </si>
  <si>
    <t xml:space="preserve">africa_part2 S1-S5, S63-S64 ; source_database PF-11</t>
  </si>
  <si>
    <t xml:space="preserve">Bujagali</t>
  </si>
  <si>
    <t xml:space="preserve">Ouganda</t>
  </si>
  <si>
    <t xml:space="preserve">PIE + PRG IDA</t>
  </si>
  <si>
    <t xml:space="preserve">582 M USD (est. 2001) → 799 M (est. 2007) → 862 M (2012, promoteur « à ce jour »)</t>
  </si>
  <si>
    <t xml:space="preserve">c.2007-2012</t>
  </si>
  <si>
    <t xml:space="preserve">+48 % vs projet 2001 annulé ; non comparable (périmètre 2001 avec ligne de 100 km)</t>
  </si>
  <si>
    <t xml:space="preserve">PRG IDA 115 M USD avec contre-garantie souveraine ; MIGA 115 M USD ; facilité de liquidité</t>
  </si>
  <si>
    <t xml:space="preserve">Maturité courte, tarif concentré au début ; refinancement 2018 payé par l'État via une exonération fiscale</t>
  </si>
  <si>
    <t xml:space="preserve">africa_part2 S48-S53</t>
  </si>
  <si>
    <t xml:space="preserve">Bui</t>
  </si>
  <si>
    <t xml:space="preserve">Ghana</t>
  </si>
  <si>
    <t xml:space="preserve">Public (BPA), China Exim, séquestre cacao</t>
  </si>
  <si>
    <t xml:space="preserve">622 M USD → 790 M (revue 2012)</t>
  </si>
  <si>
    <t xml:space="preserve">COD déc. 2013</t>
  </si>
  <si>
    <t xml:space="preserve">+168 M USD (+27 %)</t>
  </si>
  <si>
    <t xml:space="preserve">Tranches China Exim garanties par un séquestre sur exportations de cacao</t>
  </si>
  <si>
    <t xml:space="preserve">Un séquestre sur matières premières peut pallier un acheteur faible ; les arriérés de la compagnie persistent</t>
  </si>
  <si>
    <t xml:space="preserve">africa_part1 S38-S43</t>
  </si>
  <si>
    <t xml:space="preserve">Kafue Gorge Lower</t>
  </si>
  <si>
    <t xml:space="preserve">Zambie</t>
  </si>
  <si>
    <t xml:space="preserve">Public, dette chinoise sous garantie souveraine</t>
  </si>
  <si>
    <t xml:space="preserve">2,0 Md USD y c. 312 M USD d'intérêts capitalisés</t>
  </si>
  <si>
    <t xml:space="preserve">Nov. 2015 → COD complète mars 2023</t>
  </si>
  <si>
    <t xml:space="preserve">contre 1,48 Md USD ; ~3 ans de retard</t>
  </si>
  <si>
    <t xml:space="preserve">Garantie souveraine ; arriérés de ZESCO intégrés à l'AVD souveraine</t>
  </si>
  <si>
    <t xml:space="preserve">Les passifs de la compagnie migrent vers le bilan de l'État</t>
  </si>
  <si>
    <t xml:space="preserve">africa_part1 S57-S60 ; source_database DB-03</t>
  </si>
  <si>
    <t xml:space="preserve">Isimba</t>
  </si>
  <si>
    <t xml:space="preserve">Public, 85 % China Exim / 15 % GoU</t>
  </si>
  <si>
    <t xml:space="preserve">567,7 M USD</t>
  </si>
  <si>
    <t xml:space="preserve">Avr. 2015 → mars 2019</t>
  </si>
  <si>
    <t xml:space="preserve">~7 mois de retard ; ~700 défauts signalés</t>
  </si>
  <si>
    <t xml:space="preserve">Emprunteur souverain</t>
  </si>
  <si>
    <t xml:space="preserve">Financement public rapide ≠ qualité ; l'ingénieur du maître d'ouvrage compte</t>
  </si>
  <si>
    <t xml:space="preserve">africa_part2 S34-S35 (défauts signalés en 2021)</t>
  </si>
  <si>
    <t xml:space="preserve">Karuma</t>
  </si>
  <si>
    <t xml:space="preserve">1,7 Md USD</t>
  </si>
  <si>
    <t xml:space="preserve">Contrat 2013 (5 ans) → COD juin 2024</t>
  </si>
  <si>
    <t xml:space="preserve">~5-6 ans de retard</t>
  </si>
  <si>
    <t xml:space="preserve">Coût du retard porté par la compagnie publique (intérêts capitalisés)</t>
  </si>
  <si>
    <t xml:space="preserve">africa_part2 S40-S42</t>
  </si>
  <si>
    <t xml:space="preserve">Julius Nyerere (Rufiji)</t>
  </si>
  <si>
    <t xml:space="preserve">Tanzanie</t>
  </si>
  <si>
    <t xml:space="preserve">100 % budget de l'État</t>
  </si>
  <si>
    <t xml:space="preserve">2,8-2,9 Md USD (6,5-7,45 bn TZS)</t>
  </si>
  <si>
    <t xml:space="preserve">Construction 2019 → 2025/26 (EPC de 42 mois)</t>
  </si>
  <si>
    <t xml:space="preserve">~3 ans de retard ; estimation passée de 6,5 → 7,45 bn TZS</t>
  </si>
  <si>
    <t xml:space="preserve">Aucun (financé par le budget ; 99,5 % recettes intérieures)</t>
  </si>
  <si>
    <t xml:space="preserve">Crée un excédent sur la pointe ; dépend des exportations/de la croissance de la demande</t>
  </si>
  <si>
    <t xml:space="preserve">africa_part2 S30-S32, S65</t>
  </si>
  <si>
    <t xml:space="preserve">Rusumo Falls</t>
  </si>
  <si>
    <t xml:space="preserve">Rwanda/Tanzanie/Burundi</t>
  </si>
  <si>
    <t xml:space="preserve">Public régional, financé par l'IDA</t>
  </si>
  <si>
    <t xml:space="preserve">Coût du projet 468,9 M USD</t>
  </si>
  <si>
    <t xml:space="preserve">Approbation 2013 → COD févr. 2025</t>
  </si>
  <si>
    <t xml:space="preserve">Lot génie civil CP1 +47 % ; rétablissement des moyens de subsistance/dév. local 18 M USD → ~38 M</t>
  </si>
  <si>
    <t xml:space="preserve">Dons/crédits IDA ; transport cofinancé en parallèle BAD/UE</t>
  </si>
  <si>
    <t xml:space="preserve">Le transport et les CAE multipays conditionnent les recettes</t>
  </si>
  <si>
    <t xml:space="preserve">africa_part2 S16-S18</t>
  </si>
  <si>
    <t xml:space="preserve">Mpatamanga</t>
  </si>
  <si>
    <t xml:space="preserve">Malawi</t>
  </si>
  <si>
    <t xml:space="preserve">PPP, retenue + pointe</t>
  </si>
  <si>
    <t xml:space="preserve">1,5-1,64 Md USD (estimation)</t>
  </si>
  <si>
    <t xml:space="preserve">Avant construction ; 5 ans de travaux dans un CAE de 35 ans</t>
  </si>
  <si>
    <t xml:space="preserve">Estimation partie d'environ 1 Md USD (ENR, sept. 2022)</t>
  </si>
  <si>
    <t xml:space="preserve">PRG IDA 100 M USD ; MIGA 180 M USD ; don IDA de 350 M USD à l'État</t>
  </si>
  <si>
    <t xml:space="preserve">Fort empilement concessionnel pour rendre le tarif abordable</t>
  </si>
  <si>
    <t xml:space="preserve">africa_part2 S26-S29</t>
  </si>
  <si>
    <t xml:space="preserve">Ruzizi III</t>
  </si>
  <si>
    <t xml:space="preserve">RDC/Rwanda/Burundi</t>
  </si>
  <si>
    <t xml:space="preserve">PPP régional (bloqué)</t>
  </si>
  <si>
    <t xml:space="preserve">760 M USD (2025 ; 728 M EUR pour la conception à 147 MW en 2020)</t>
  </si>
  <si>
    <t xml:space="preserve">Cible 2030 avant la pause due au conflit</t>
  </si>
  <si>
    <t xml:space="preserve">En préparation depuis au moins 2009 ; pas de bouclage financier</t>
  </si>
  <si>
    <t xml:space="preserve">IFI ~60 % prévus ; BEI arrangeur principal</t>
  </si>
  <si>
    <t xml:space="preserve">Le risque multi-États et de conflit empêche le bouclage</t>
  </si>
  <si>
    <t xml:space="preserve">africa_part2 S20-S25</t>
  </si>
  <si>
    <t xml:space="preserve">GERD</t>
  </si>
  <si>
    <t xml:space="preserve">Éthiopie</t>
  </si>
  <si>
    <t xml:space="preserve">Public, financement intérieur</t>
  </si>
  <si>
    <t xml:space="preserve">≈5 Md USD (budget 4,8 Md USD)</t>
  </si>
  <si>
    <t xml:space="preserve">2011 → inauguration sept. 2025</t>
  </si>
  <si>
    <t xml:space="preserve">~14 ans de travaux</t>
  </si>
  <si>
    <t xml:space="preserve">91 % intérieur (obligations, retenues sur salaires, public) ; China Exim ~1 Md USD pour l'électromécanique ; aucun financement BMD</t>
  </si>
  <si>
    <t xml:space="preserve">Différends transfrontaliers ; coût/kW bas mais travaux très longs</t>
  </si>
  <si>
    <t xml:space="preserve">africa_part1 S1-S6</t>
  </si>
  <si>
    <t xml:space="preserve">Gibe III</t>
  </si>
  <si>
    <t xml:space="preserve">Public, EPC financé par ICBC</t>
  </si>
  <si>
    <t xml:space="preserve">1,47-1,55 Md EUR</t>
  </si>
  <si>
    <t xml:space="preserve">Inauguré en déc. 2016</t>
  </si>
  <si>
    <t xml:space="preserve">DONNÉES PUBLIQUES NON TROUVÉES</t>
  </si>
  <si>
    <t xml:space="preserve">Prêt ICBC après le retrait des BMD</t>
  </si>
  <si>
    <t xml:space="preserve">La gouvernance de la passation détermine l'éligibilité aux prêteurs</t>
  </si>
  <si>
    <t xml:space="preserve">africa_part1 S53-S55</t>
  </si>
  <si>
    <t xml:space="preserve">Nam Theun 2 (intl.)</t>
  </si>
  <si>
    <t xml:space="preserve">RDP lao</t>
  </si>
  <si>
    <t xml:space="preserve">PIE d'export, garanti par des BMD</t>
  </si>
  <si>
    <t xml:space="preserve">1,25 Md USD de base + 200 M USD de provisions</t>
  </si>
  <si>
    <t xml:space="preserve">BF juin 2005 → mise en service avr. 2010</t>
  </si>
  <si>
    <t xml:space="preserve">EPC clés en main à prix plafonné ; dépassement DONNÉES PUBLIQUES NON TROUVÉES</t>
  </si>
  <si>
    <t xml:space="preserve">PRG IDA et BAsD, MIGA (~186 M USD de dette couverts) ; CAE take-or-pay EGAT</t>
  </si>
  <si>
    <t xml:space="preserve">Un acheteur export solvable, et non la compagnie locale, a fondé la bancabilité</t>
  </si>
  <si>
    <t xml:space="preserve">international_benchmarks S9-S13, S24</t>
  </si>
  <si>
    <t xml:space="preserve">Upper Trishuli-1 (intl.)</t>
  </si>
  <si>
    <t xml:space="preserve">Népal</t>
  </si>
  <si>
    <t xml:space="preserve">PIE national mené par des IFD</t>
  </si>
  <si>
    <t xml:space="preserve">647,4 M USD</t>
  </si>
  <si>
    <t xml:space="preserve">Achèvement repoussé de 2024 → déc. 2026 (prévu)</t>
  </si>
  <si>
    <t xml:space="preserve">~2 ans</t>
  </si>
  <si>
    <t xml:space="preserve">Dette d'IFD ~70 %</t>
  </si>
  <si>
    <t xml:space="preserve">Un PIE vendant à la compagnie nationale exige un empilement de couvertures d'IFD</t>
  </si>
  <si>
    <t xml:space="preserve">international_benchmarks S15-S19</t>
  </si>
  <si>
    <t xml:space="preserve">Reventazón (intl.)</t>
  </si>
  <si>
    <t xml:space="preserve">Costa Rica</t>
  </si>
  <si>
    <t xml:space="preserve">Fiducie et bail compagnie, obligation</t>
  </si>
  <si>
    <t xml:space="preserve">1,4 Md USD</t>
  </si>
  <si>
    <t xml:space="preserve">BF janv. 2014 → inauguration sept. 2016 (résumé de recherche)</t>
  </si>
  <si>
    <t xml:space="preserve">Réparation évacuateur post-COD ~15 M USD</t>
  </si>
  <si>
    <t xml:space="preserve">La fiducie détient la centrale, louée à l'ICE ; prêt A BID, IFC, obligation notée IG, dette bancaire en monnaie locale</t>
  </si>
  <si>
    <t xml:space="preserve">Montage hors bilan, mais le risque reste à la compagnie publique</t>
  </si>
  <si>
    <t xml:space="preserve">international_benchmarks S20-S23</t>
  </si>
  <si>
    <t xml:space="preserve">Kasiri River Hydro (référence FICTIVE)</t>
  </si>
  <si>
    <t xml:space="preserve">Navaria (fictive)</t>
  </si>
  <si>
    <t xml:space="preserve">Modèle : CAPEX nominal de la centrale</t>
  </si>
  <si>
    <t xml:space="preserve">USD/kW médian des cas de référence chiffrés en USD (nominal, non ajusté)</t>
  </si>
  <si>
    <t xml:space="preserve">Kasiri River Hydro / médiane</t>
  </si>
  <si>
    <t xml:space="preserve">Coûts tels que publiés, en monnaie nominale de l'année indiquée, sur des périmètres différents (certains incluent IDC, transport, réinstallation). Les coûts unitaires ne sont PAS ajustés des prix ni du périmètre et restent indicatifs. Fiches de cas complètes champ par champ (A-AD), y c. les mentions « DONNÉES PUBLIQUES NON TROUVÉES », dans research/case_studies/. Coûts en EUR non convertis (n/a).</t>
  </si>
  <si>
    <t xml:space="preserve">32 TABLEAU DE BORD — Ce projet peut-il fournir une électricité bancable sans passifs publics insoutenables ?</t>
  </si>
  <si>
    <t xml:space="preserve">ÉTAT DU PROJET</t>
  </si>
  <si>
    <t xml:space="preserve">FINANCIER</t>
  </si>
  <si>
    <t xml:space="preserve">DÉVELOPPEUR</t>
  </si>
  <si>
    <t xml:space="preserve">Puissance installée (MW)</t>
  </si>
  <si>
    <t xml:space="preserve">Budget de développement (M USD, réel)</t>
  </si>
  <si>
    <t xml:space="preserve">Production P50 (GWh/an)</t>
  </si>
  <si>
    <t xml:space="preserve">Durée de développement (ans)</t>
  </si>
  <si>
    <t xml:space="preserve">Facteur de charge (P50)</t>
  </si>
  <si>
    <t xml:space="preserve">VAN du projet (M USD)</t>
  </si>
  <si>
    <t xml:space="preserve">Probabilité d'atteindre le bouclage</t>
  </si>
  <si>
    <t xml:space="preserve">CAPEX centrale réel 2026 (M USD)</t>
  </si>
  <si>
    <t xml:space="preserve">DSCR minimum</t>
  </si>
  <si>
    <t xml:space="preserve">VAN développeur pondérée risque (M USD)</t>
  </si>
  <si>
    <t xml:space="preserve">CAPEX unitaire (USD/kW, base)</t>
  </si>
  <si>
    <t xml:space="preserve">DSCR moyen</t>
  </si>
  <si>
    <t xml:space="preserve">TRI développeur, scénario de succès</t>
  </si>
  <si>
    <t xml:space="preserve">COD</t>
  </si>
  <si>
    <t xml:space="preserve">Multiple tréso. développeur</t>
  </si>
  <si>
    <t xml:space="preserve">Tarif CAE moyen pondéré, an. 2 (USD/MWh)</t>
  </si>
  <si>
    <t xml:space="preserve">Capacité de dette senior (M USD)</t>
  </si>
  <si>
    <t xml:space="preserve">Prime de dév. au point mort (% CAPEX)</t>
  </si>
  <si>
    <t xml:space="preserve">LCOE centrale (USD/MWh)</t>
  </si>
  <si>
    <t xml:space="preserve">Dette senior levée (M USD)</t>
  </si>
  <si>
    <t xml:space="preserve">Revalorisation bouclage-COD (M USD)</t>
  </si>
  <si>
    <t xml:space="preserve">LCOE système livré (USD/MWh)</t>
  </si>
  <si>
    <t xml:space="preserve">Besoin de financement (M USD)</t>
  </si>
  <si>
    <t xml:space="preserve">SYSTÈME ÉLECTRIQUE</t>
  </si>
  <si>
    <t xml:space="preserve">COMPAGNIE</t>
  </si>
  <si>
    <t xml:space="preserve">MATURITÉ POUR LE BOUCLAGE À 23 PORTES (phase de transaction)</t>
  </si>
  <si>
    <t xml:space="preserve">Retard de préparation du transport (ans)</t>
  </si>
  <si>
    <t xml:space="preserve">EBITDA compagnie an. 2 (M USD)</t>
  </si>
  <si>
    <t xml:space="preserve">Capacité d'évacuation à la COD (MW)</t>
  </si>
  <si>
    <t xml:space="preserve">Part du projet dans la pointe à la COD</t>
  </si>
  <si>
    <t xml:space="preserve">Jours de créances an. 2</t>
  </si>
  <si>
    <t xml:space="preserve">Demande bancable/contractée (pire an. 1-5)</t>
  </si>
  <si>
    <t xml:space="preserve">Capacité de paiement / CAE (pire an. 1-10)</t>
  </si>
  <si>
    <t xml:space="preserve">Écrêtement sur la durée de vie (GWh)</t>
  </si>
  <si>
    <t xml:space="preserve">Écart de paiement acheteur, durée de vie (M USD)</t>
  </si>
  <si>
    <t xml:space="preserve">Énergie réputée livrée payée (GWh)</t>
  </si>
  <si>
    <t xml:space="preserve">Arriérés impayés au PIE (M USD)</t>
  </si>
  <si>
    <t xml:space="preserve">FINANCES PUBLIQUES</t>
  </si>
  <si>
    <t xml:space="preserve">FILTRE DE BANCABILITÉ À 9 PORTES (phase de développement)</t>
  </si>
  <si>
    <t xml:space="preserve">Apport initial de l'État (M USD)</t>
  </si>
  <si>
    <t xml:space="preserve">Décision</t>
  </si>
  <si>
    <t xml:space="preserve">Pic de l'exposition éventuelle (M USD)</t>
  </si>
  <si>
    <t xml:space="preserve">VA perte attendue (M USD, prob. utilisateur)</t>
  </si>
  <si>
    <t xml:space="preserve">VAN budgétaire, adm. centrale (M USD)</t>
  </si>
  <si>
    <t xml:space="preserve">VAN budgétaire consolidée y c. compagnie (M USD)</t>
  </si>
  <si>
    <t xml:space="preserve">Pic du besoin annuel / recettes</t>
  </si>
  <si>
    <t xml:space="preserve">Résultat du filtrage</t>
  </si>
  <si>
    <t xml:space="preserve">5 LACUNES DE BANCABILITÉ</t>
  </si>
  <si>
    <t xml:space="preserve">5 PRINCIPALES ACTIONS AVANT LE BOUCLAGE FINANCIER</t>
  </si>
  <si>
    <t xml:space="preserve">33 CONTRÔLES — Intégrité du modèle</t>
  </si>
  <si>
    <t xml:space="preserve">Tous les contrôles doivent être OK</t>
  </si>
  <si>
    <t xml:space="preserve">Ressources = emplois</t>
  </si>
  <si>
    <t xml:space="preserve">Financement de la construction équilibré chaque année</t>
  </si>
  <si>
    <t xml:space="preserve">Phasage du CAPEX totalisant 100 %</t>
  </si>
  <si>
    <t xml:space="preserve">Dette concessionnelle remboursée en fin de durée</t>
  </si>
  <si>
    <t xml:space="preserve">Dette commerciale remboursée en fin de durée</t>
  </si>
  <si>
    <t xml:space="preserve">Remboursement concessionnel dans la concession</t>
  </si>
  <si>
    <t xml:space="preserve">Maturité commerciale dans la concession</t>
  </si>
  <si>
    <t xml:space="preserve">Calendrier dans l'horizon du modèle</t>
  </si>
  <si>
    <t xml:space="preserve">Chaîne énergétique : livrée ≤ production</t>
  </si>
  <si>
    <t xml:space="preserve">Montants impayés non négatifs</t>
  </si>
  <si>
    <t xml:space="preserve">Dette commerciale : pas de remboursement in fine forcé la dernière année</t>
  </si>
  <si>
    <t xml:space="preserve">Solde du DSRA jamais négatif</t>
  </si>
  <si>
    <t xml:space="preserve">Transport financé par le projet entièrement couvert (construction + CFADS)</t>
  </si>
  <si>
    <t xml:space="preserve">Contrôle de structure</t>
  </si>
  <si>
    <t xml:space="preserve">TOUS CONTRÔLES</t>
  </si>
  <si>
    <t xml:space="preserve">34 CARTE DU CADRE — Livre 7 (Hydro Readiness Framework) vers MODEL 7</t>
  </si>
  <si>
    <t xml:space="preserve">Pour chacune des 23 portes du bouclage financier : sa question du cadre, qui doit l'accepter, où le modèle la teste et les chapitres du livre. Statut en direct depuis 30A.</t>
  </si>
  <si>
    <t xml:space="preserve">Feuille(s) du modèle</t>
  </si>
  <si>
    <t xml:space="preserve">Indicateur ou preuve</t>
  </si>
  <si>
    <t xml:space="preserve">Type</t>
  </si>
  <si>
    <t xml:space="preserve">Statut (direct)</t>
  </si>
  <si>
    <t xml:space="preserve">Chapitres du livre</t>
  </si>
  <si>
    <t xml:space="preserve">AND(rec_years&gt;=15,hyd_study=3)</t>
  </si>
  <si>
    <t xml:space="preserve">Automatique</t>
  </si>
  <si>
    <t xml:space="preserve">2, 3, 9, annexes N à P</t>
  </si>
  <si>
    <t xml:space="preserve">Dossier de preuve : document, signataire et date</t>
  </si>
  <si>
    <t xml:space="preserve">Preuve</t>
  </si>
  <si>
    <t xml:space="preserve">fs_level=3</t>
  </si>
  <si>
    <t xml:space="preserve">es_level=3</t>
  </si>
  <si>
    <t xml:space="preserve">5, 7, 8, annexe R</t>
  </si>
  <si>
    <t xml:space="preserve">rap_level&gt;=2</t>
  </si>
  <si>
    <t xml:space="preserve">14_PPA</t>
  </si>
  <si>
    <t xml:space="preserve">tx_fin=1</t>
  </si>
  <si>
    <t xml:space="preserve">3, 4</t>
  </si>
  <si>
    <t xml:space="preserve">Non</t>
  </si>
  <si>
    <t xml:space="preserve">tx_gap_yrs&lt;=0</t>
  </si>
  <si>
    <t xml:space="preserve">05A_CONTRACTING</t>
  </si>
  <si>
    <t xml:space="preserve">9, 10, annexes O et Q</t>
  </si>
  <si>
    <t xml:space="preserve">07_OPEX</t>
  </si>
  <si>
    <t xml:space="preserve">lc_months&gt;=6</t>
  </si>
  <si>
    <t xml:space="preserve">15</t>
  </si>
  <si>
    <t xml:space="preserve">ut_ratio10&gt;=1.2</t>
  </si>
  <si>
    <t xml:space="preserve">fin_gap&lt;=0.5</t>
  </si>
  <si>
    <t xml:space="preserve">12, 13</t>
  </si>
  <si>
    <t xml:space="preserve">17_PROJECT_FINANCE, 17A_STRUCTURES</t>
  </si>
  <si>
    <t xml:space="preserve">AND(debt_m+debt_c&gt;0,kpi_min_dscr&gt;=str_dscr)</t>
  </si>
  <si>
    <t xml:space="preserve">IF(ISNUMBER(kpi_eirr),kpi_eirr&gt;=str_hurdle,s_priv&lt;=0)</t>
  </si>
  <si>
    <t xml:space="preserve">6, 14</t>
  </si>
  <si>
    <t xml:space="preserve">23_GUARANTEES</t>
  </si>
  <si>
    <t xml:space="preserve">LEFT(sc_result,4)&lt;&gt;"HIGH"</t>
  </si>
  <si>
    <t xml:space="preserve">LE FILTRE À 9 PORTES (30_BANKABILITY) ET LES QUESTIONS DU CADRE</t>
  </si>
  <si>
    <t xml:space="preserve">Porte du filtre</t>
  </si>
  <si>
    <t xml:space="preserve">Question principale du cadre</t>
  </si>
  <si>
    <t xml:space="preserve">G1</t>
  </si>
  <si>
    <t xml:space="preserve">G2</t>
  </si>
  <si>
    <t xml:space="preserve">G3</t>
  </si>
  <si>
    <t xml:space="preserve">G4</t>
  </si>
  <si>
    <t xml:space="preserve">G5</t>
  </si>
  <si>
    <t xml:space="preserve">G6</t>
  </si>
  <si>
    <t xml:space="preserve">G7</t>
  </si>
  <si>
    <t xml:space="preserve">G8</t>
  </si>
  <si>
    <t xml:space="preserve">G9</t>
  </si>
  <si>
    <t xml:space="preserve">Utiliser le filtre à 9 portes en développement pour décider de poursuivre les dépenses ; utiliser les 23 portes en phase de transaction pour décider si le dossier de preuve permet le bouclage financier.</t>
  </si>
  <si>
    <t xml:space="preserve">35 CONTRÔLE LIVRE — MODEL 7 face aux chiffres Kasiri imprimés dans le livre 7</t>
  </si>
  <si>
    <t xml:space="preserve">Valable seulement avec les données par défaut (cas de base, structure PIE, dette dimensionnée dans le modèle). PASS signifie que la valeur en direct arrondie égale le chiffre imprimé.</t>
  </si>
  <si>
    <t xml:space="preserve">Chiffre</t>
  </si>
  <si>
    <t xml:space="preserve">Imprimé dans le livre 7</t>
  </si>
  <si>
    <t xml:space="preserve">Modèle (direct)</t>
  </si>
  <si>
    <t xml:space="preserve">Tolérance</t>
  </si>
  <si>
    <t xml:space="preserve">Résultat</t>
  </si>
  <si>
    <t xml:space="preserve">Emplacement dans le livre</t>
  </si>
  <si>
    <t xml:space="preserve">Chapitre 18, tableau 18.1</t>
  </si>
  <si>
    <t xml:space="preserve">Production P50 (GWh)</t>
  </si>
  <si>
    <t xml:space="preserve">Chapitres 2, 18</t>
  </si>
  <si>
    <t xml:space="preserve">Facteur de charge</t>
  </si>
  <si>
    <t xml:space="preserve">Chapitres 3, 18 ; tableau P.2</t>
  </si>
  <si>
    <t xml:space="preserve">P90 à un an (GWh)</t>
  </si>
  <si>
    <t xml:space="preserve">Chapitres 2, 18 ; annexe N</t>
  </si>
  <si>
    <t xml:space="preserve">P90 à dix ans (GWh)</t>
  </si>
  <si>
    <t xml:space="preserve">Coût de la centrale, réel 2026 (M USD)</t>
  </si>
  <si>
    <t xml:space="preserve">Coût unitaire centrale (USD/kW)</t>
  </si>
  <si>
    <t xml:space="preserve">Chapitres 3, 18</t>
  </si>
  <si>
    <t xml:space="preserve">Emplois totaux (M USD)</t>
  </si>
  <si>
    <t xml:space="preserve">Chapitres 1, 12, 18</t>
  </si>
  <si>
    <t xml:space="preserve">Dette senior (M USD)</t>
  </si>
  <si>
    <t xml:space="preserve">Chapitres 12, 18</t>
  </si>
  <si>
    <t xml:space="preserve">Gearing sur emplois totaux</t>
  </si>
  <si>
    <t xml:space="preserve">LCOE (USD/MWh)</t>
  </si>
  <si>
    <t xml:space="preserve">Chapitre 18</t>
  </si>
  <si>
    <t xml:space="preserve">DSCR minimum, P50</t>
  </si>
  <si>
    <t xml:space="preserve">LLCR à la COD</t>
  </si>
  <si>
    <t xml:space="preserve">Chapitres 1, 14, 18</t>
  </si>
  <si>
    <t xml:space="preserve">Probabilité de bouclage dès la reconnaissance</t>
  </si>
  <si>
    <t xml:space="preserve">Chapitres 1, 5, 14</t>
  </si>
  <si>
    <t xml:space="preserve">Valeur de la position au stade des permis (M USD)</t>
  </si>
  <si>
    <t xml:space="preserve">Chapitres 6, 14, 18</t>
  </si>
  <si>
    <t xml:space="preserve">Chapitres 15, 18</t>
  </si>
  <si>
    <t xml:space="preserve">VAN budgétaire consolidée (M USD)</t>
  </si>
  <si>
    <t xml:space="preserve">Capacité de paiement acheteur, pire 1re année (x)</t>
  </si>
  <si>
    <t xml:space="preserve">Portes franchies (sur 23)</t>
  </si>
  <si>
    <t xml:space="preserve">Chapitres 17, 18</t>
  </si>
  <si>
    <t xml:space="preserve">COHÉRENCE AVEC LE LIVRE</t>
  </si>
  <si>
    <t xml:space="preserve">Un CHECK après modification des données est normal : les chiffres imprimés correspondent au cas Kasiri par défaut. Avec les données par défaut, chaque ligne doit afficher PASS.</t>
  </si>
</sst>
</file>

<file path=xl/styles.xml><?xml version="1.0" encoding="utf-8"?>
<styleSheet xmlns="http://schemas.openxmlformats.org/spreadsheetml/2006/main">
  <numFmts count="18">
    <numFmt numFmtId="164" formatCode="General"/>
    <numFmt numFmtId="165" formatCode="0;\(0\);\-"/>
    <numFmt numFmtId="166" formatCode="0.0%;\(0.0%\);\-"/>
    <numFmt numFmtId="167" formatCode="0.00%;\(0.00%\);\-"/>
    <numFmt numFmtId="168" formatCode="0.00\x;\(0.00&quot;x)&quot;;\-"/>
    <numFmt numFmtId="169" formatCode="#,##0.0;\(#,##0.0\);\-"/>
    <numFmt numFmtId="170" formatCode="#,##0.00;\(#,##0.00\);\-"/>
    <numFmt numFmtId="171" formatCode="0"/>
    <numFmt numFmtId="172" formatCode="#,##0;\(#,##0\);\-"/>
    <numFmt numFmtId="173" formatCode="0.000"/>
    <numFmt numFmtId="174" formatCode="0.0%"/>
    <numFmt numFmtId="175" formatCode="0.00\x"/>
    <numFmt numFmtId="176" formatCode="#,##0"/>
    <numFmt numFmtId="177" formatCode="0.0"/>
    <numFmt numFmtId="178" formatCode="#,##0;\(#,##0\)"/>
    <numFmt numFmtId="179" formatCode="0.00%"/>
    <numFmt numFmtId="180" formatCode="0.00"/>
    <numFmt numFmtId="181" formatCode="@"/>
  </numFmts>
  <fonts count="31">
    <font>
      <sz val="11"/>
      <color theme="1"/>
      <name val="Calibri"/>
      <family val="2"/>
      <charset val="1"/>
    </font>
    <font>
      <sz val="10"/>
      <name val="Arial"/>
      <family val="0"/>
    </font>
    <font>
      <sz val="10"/>
      <name val="Arial"/>
      <family val="0"/>
    </font>
    <font>
      <sz val="10"/>
      <name val="Arial"/>
      <family val="0"/>
    </font>
    <font>
      <b val="true"/>
      <sz val="10"/>
      <color rgb="FFE0B44A"/>
      <name val="Arial"/>
      <family val="0"/>
      <charset val="1"/>
    </font>
    <font>
      <b val="true"/>
      <sz val="14"/>
      <color rgb="FFE0B44A"/>
      <name val="Arial"/>
      <family val="0"/>
      <charset val="1"/>
    </font>
    <font>
      <b val="true"/>
      <sz val="30"/>
      <color rgb="FFFFFFFF"/>
      <name val="Arial"/>
      <family val="0"/>
      <charset val="1"/>
    </font>
    <font>
      <b val="true"/>
      <sz val="30"/>
      <color rgb="FFE0B44A"/>
      <name val="Arial"/>
      <family val="0"/>
      <charset val="1"/>
    </font>
    <font>
      <b val="true"/>
      <sz val="18"/>
      <color rgb="FFFFFFFF"/>
      <name val="Arial"/>
      <family val="0"/>
      <charset val="1"/>
    </font>
    <font>
      <sz val="12"/>
      <color rgb="FFFFFFFF"/>
      <name val="Arial"/>
      <family val="0"/>
      <charset val="1"/>
    </font>
    <font>
      <b val="true"/>
      <sz val="11"/>
      <color rgb="FFE0B44A"/>
      <name val="Arial"/>
      <family val="0"/>
      <charset val="1"/>
    </font>
    <font>
      <sz val="10"/>
      <color rgb="FFE0B44A"/>
      <name val="Arial"/>
      <family val="0"/>
      <charset val="1"/>
    </font>
    <font>
      <sz val="10"/>
      <color rgb="FFFFFFFF"/>
      <name val="Arial"/>
      <family val="0"/>
      <charset val="1"/>
    </font>
    <font>
      <b val="true"/>
      <sz val="10"/>
      <color rgb="FFFFFFFF"/>
      <name val="Arial"/>
      <family val="0"/>
      <charset val="1"/>
    </font>
    <font>
      <b val="true"/>
      <u val="single"/>
      <sz val="10"/>
      <color rgb="FFE0B44A"/>
      <name val="Arial"/>
      <family val="0"/>
      <charset val="1"/>
    </font>
    <font>
      <b val="true"/>
      <sz val="11"/>
      <color rgb="FFFFFFFF"/>
      <name val="Arial"/>
      <family val="0"/>
      <charset val="1"/>
    </font>
    <font>
      <i val="true"/>
      <sz val="9"/>
      <color rgb="FFD9D9D9"/>
      <name val="Arial"/>
      <family val="0"/>
      <charset val="1"/>
    </font>
    <font>
      <b val="true"/>
      <sz val="14"/>
      <color rgb="FFFFFFFF"/>
      <name val="Arial"/>
      <family val="0"/>
      <charset val="1"/>
    </font>
    <font>
      <i val="true"/>
      <sz val="10"/>
      <color rgb="FFFFFFFF"/>
      <name val="Arial"/>
      <family val="0"/>
      <charset val="1"/>
    </font>
    <font>
      <b val="true"/>
      <sz val="10"/>
      <name val="Arial"/>
      <family val="0"/>
      <charset val="1"/>
    </font>
    <font>
      <sz val="10"/>
      <name val="Arial"/>
      <family val="0"/>
      <charset val="1"/>
    </font>
    <font>
      <b val="true"/>
      <sz val="10"/>
      <color rgb="FF1F3864"/>
      <name val="Arial"/>
      <family val="0"/>
      <charset val="1"/>
    </font>
    <font>
      <sz val="10"/>
      <color rgb="FF0000FF"/>
      <name val="Arial"/>
      <family val="0"/>
      <charset val="1"/>
    </font>
    <font>
      <i val="true"/>
      <sz val="9"/>
      <color rgb="FF595959"/>
      <name val="Arial"/>
      <family val="0"/>
      <charset val="1"/>
    </font>
    <font>
      <sz val="10"/>
      <color rgb="FF008000"/>
      <name val="Arial"/>
      <family val="0"/>
      <charset val="1"/>
    </font>
    <font>
      <sz val="10"/>
      <color rgb="FF000000"/>
      <name val="Arial"/>
      <family val="0"/>
      <charset val="1"/>
    </font>
    <font>
      <sz val="9"/>
      <color rgb="FF595959"/>
      <name val="Arial"/>
      <family val="0"/>
      <charset val="1"/>
    </font>
    <font>
      <b val="true"/>
      <sz val="11"/>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9">
    <fill>
      <patternFill patternType="none"/>
    </fill>
    <fill>
      <patternFill patternType="gray125"/>
    </fill>
    <fill>
      <patternFill patternType="solid">
        <fgColor rgb="FF0B3020"/>
        <bgColor rgb="FF333333"/>
      </patternFill>
    </fill>
    <fill>
      <patternFill patternType="solid">
        <fgColor rgb="FF1F3864"/>
        <bgColor rgb="FF333333"/>
      </patternFill>
    </fill>
    <fill>
      <patternFill patternType="solid">
        <fgColor rgb="FFD9E1F2"/>
        <bgColor rgb="FFD9D9D9"/>
      </patternFill>
    </fill>
    <fill>
      <patternFill patternType="solid">
        <fgColor rgb="FFFFFF00"/>
        <bgColor rgb="FFFFFF00"/>
      </patternFill>
    </fill>
    <fill>
      <patternFill patternType="solid">
        <fgColor rgb="FFFFF2CC"/>
        <bgColor rgb="FFE2EFDA"/>
      </patternFill>
    </fill>
    <fill>
      <patternFill patternType="solid">
        <fgColor rgb="FFE2EFDA"/>
        <bgColor rgb="FFD9E1F2"/>
      </patternFill>
    </fill>
    <fill>
      <patternFill patternType="solid">
        <fgColor rgb="FF2F5597"/>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10" fillId="2" borderId="0" xfId="0" applyFont="true" applyBorder="false" applyAlignment="true" applyProtection="false">
      <alignment horizontal="general" vertical="center"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14" fillId="2"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center" textRotation="0" wrapText="false" indent="0" shrinkToFit="false"/>
      <protection locked="true" hidden="false"/>
    </xf>
    <xf numFmtId="164" fontId="16" fillId="2"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5" fontId="22" fillId="5" borderId="1"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general" vertical="bottom" textRotation="0" wrapText="false" indent="0" shrinkToFit="false"/>
      <protection locked="true" hidden="false"/>
    </xf>
    <xf numFmtId="166" fontId="22" fillId="6" borderId="1" xfId="0" applyFont="true" applyBorder="true" applyAlignment="true" applyProtection="false">
      <alignment horizontal="general" vertical="bottom" textRotation="0" wrapText="false" indent="0" shrinkToFit="false"/>
      <protection locked="true" hidden="false"/>
    </xf>
    <xf numFmtId="167" fontId="22" fillId="6" borderId="1" xfId="0" applyFont="true" applyBorder="true" applyAlignment="true" applyProtection="false">
      <alignment horizontal="general" vertical="bottom" textRotation="0" wrapText="false" indent="0" shrinkToFit="false"/>
      <protection locked="true" hidden="false"/>
    </xf>
    <xf numFmtId="165" fontId="25" fillId="0" borderId="1" xfId="0" applyFont="true" applyBorder="true" applyAlignment="true" applyProtection="false">
      <alignment horizontal="general" vertical="bottom" textRotation="0" wrapText="false" indent="0" shrinkToFit="false"/>
      <protection locked="true" hidden="false"/>
    </xf>
    <xf numFmtId="166" fontId="24" fillId="7" borderId="1" xfId="0" applyFont="true" applyBorder="true" applyAlignment="true" applyProtection="false">
      <alignment horizontal="general" vertical="bottom" textRotation="0" wrapText="false" indent="0" shrinkToFit="false"/>
      <protection locked="true" hidden="false"/>
    </xf>
    <xf numFmtId="168" fontId="24" fillId="7" borderId="1" xfId="0" applyFont="true" applyBorder="true" applyAlignment="true" applyProtection="false">
      <alignment horizontal="general" vertical="bottom" textRotation="0" wrapText="false" indent="0" shrinkToFit="false"/>
      <protection locked="true" hidden="false"/>
    </xf>
    <xf numFmtId="169" fontId="24" fillId="7" borderId="1" xfId="0" applyFont="true" applyBorder="true" applyAlignment="true" applyProtection="false">
      <alignment horizontal="general" vertical="bottom" textRotation="0" wrapText="false" indent="0" shrinkToFit="false"/>
      <protection locked="true" hidden="false"/>
    </xf>
    <xf numFmtId="164" fontId="24" fillId="7" borderId="1" xfId="0" applyFont="true" applyBorder="true" applyAlignment="tru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general" vertical="bottom" textRotation="0" wrapText="false" indent="0" shrinkToFit="false"/>
      <protection locked="true" hidden="false"/>
    </xf>
    <xf numFmtId="165" fontId="22" fillId="6" borderId="1" xfId="0" applyFont="true" applyBorder="true" applyAlignment="true" applyProtection="false">
      <alignment horizontal="general" vertical="bottom" textRotation="0" wrapText="false" indent="0" shrinkToFit="false"/>
      <protection locked="true" hidden="false"/>
    </xf>
    <xf numFmtId="170" fontId="22" fillId="6" borderId="1" xfId="0" applyFont="true" applyBorder="true" applyAlignment="true" applyProtection="false">
      <alignment horizontal="general" vertical="bottom" textRotation="0" wrapText="false" indent="0" shrinkToFit="false"/>
      <protection locked="true" hidden="false"/>
    </xf>
    <xf numFmtId="170" fontId="25" fillId="7" borderId="1" xfId="0" applyFont="true" applyBorder="true" applyAlignment="true" applyProtection="false">
      <alignment horizontal="general" vertical="bottom" textRotation="0" wrapText="false" indent="0" shrinkToFit="false"/>
      <protection locked="true" hidden="false"/>
    </xf>
    <xf numFmtId="166" fontId="25" fillId="7" borderId="1" xfId="0" applyFont="true" applyBorder="true" applyAlignment="true" applyProtection="false">
      <alignment horizontal="general" vertical="bottom" textRotation="0" wrapText="false" indent="0" shrinkToFit="false"/>
      <protection locked="true" hidden="false"/>
    </xf>
    <xf numFmtId="166" fontId="22" fillId="5" borderId="1" xfId="0" applyFont="true" applyBorder="true" applyAlignment="true" applyProtection="false">
      <alignment horizontal="general" vertical="bottom" textRotation="0" wrapText="false" indent="0" shrinkToFit="false"/>
      <protection locked="true" hidden="false"/>
    </xf>
    <xf numFmtId="171" fontId="25" fillId="8" borderId="0" xfId="0" applyFont="true" applyBorder="false" applyAlignment="true" applyProtection="false">
      <alignment horizontal="general" vertical="bottom" textRotation="0" wrapText="false" indent="0" shrinkToFit="false"/>
      <protection locked="true" hidden="false"/>
    </xf>
    <xf numFmtId="170" fontId="25" fillId="0" borderId="0" xfId="0" applyFont="true" applyBorder="false" applyAlignment="true" applyProtection="false">
      <alignment horizontal="general" vertical="bottom" textRotation="0" wrapText="false" indent="0" shrinkToFit="false"/>
      <protection locked="true" hidden="false"/>
    </xf>
    <xf numFmtId="170" fontId="19" fillId="0" borderId="0" xfId="0" applyFont="true" applyBorder="false" applyAlignment="true" applyProtection="false">
      <alignment horizontal="general" vertical="bottom" textRotation="0" wrapText="false" indent="0" shrinkToFit="false"/>
      <protection locked="true" hidden="false"/>
    </xf>
    <xf numFmtId="166" fontId="25" fillId="0" borderId="0" xfId="0" applyFont="true" applyBorder="false" applyAlignment="true" applyProtection="false">
      <alignment horizontal="general" vertical="bottom" textRotation="0" wrapText="false" indent="0" shrinkToFit="false"/>
      <protection locked="true" hidden="false"/>
    </xf>
    <xf numFmtId="170" fontId="25" fillId="0" borderId="1" xfId="0" applyFont="true" applyBorder="true" applyAlignment="true" applyProtection="false">
      <alignment horizontal="general" vertical="bottom" textRotation="0" wrapText="false" indent="0" shrinkToFit="false"/>
      <protection locked="true" hidden="false"/>
    </xf>
    <xf numFmtId="170" fontId="24" fillId="0" borderId="1" xfId="0" applyFont="true" applyBorder="true" applyAlignment="true" applyProtection="false">
      <alignment horizontal="general" vertical="bottom" textRotation="0" wrapText="false" indent="0" shrinkToFit="false"/>
      <protection locked="true" hidden="false"/>
    </xf>
    <xf numFmtId="168" fontId="25" fillId="7" borderId="1" xfId="0" applyFont="true" applyBorder="true" applyAlignment="true" applyProtection="false">
      <alignment horizontal="general" vertical="bottom" textRotation="0" wrapText="false" indent="0" shrinkToFit="false"/>
      <protection locked="true" hidden="false"/>
    </xf>
    <xf numFmtId="164" fontId="22" fillId="6" borderId="1" xfId="0" applyFont="true" applyBorder="true" applyAlignment="true" applyProtection="false">
      <alignment horizontal="general" vertical="bottom" textRotation="0" wrapText="false" indent="0" shrinkToFit="false"/>
      <protection locked="true" hidden="false"/>
    </xf>
    <xf numFmtId="171" fontId="22" fillId="5" borderId="1" xfId="0" applyFont="true" applyBorder="true" applyAlignment="true" applyProtection="false">
      <alignment horizontal="general" vertical="bottom" textRotation="0" wrapText="false" indent="0" shrinkToFit="false"/>
      <protection locked="true" hidden="false"/>
    </xf>
    <xf numFmtId="171" fontId="22" fillId="6" borderId="1" xfId="0" applyFont="true" applyBorder="true" applyAlignment="true" applyProtection="false">
      <alignment horizontal="general" vertical="bottom" textRotation="0" wrapText="false" indent="0" shrinkToFit="false"/>
      <protection locked="true" hidden="false"/>
    </xf>
    <xf numFmtId="169" fontId="22" fillId="5" borderId="1" xfId="0" applyFont="true" applyBorder="true" applyAlignment="true" applyProtection="false">
      <alignment horizontal="general" vertical="bottom" textRotation="0" wrapText="false" indent="0" shrinkToFit="false"/>
      <protection locked="true" hidden="false"/>
    </xf>
    <xf numFmtId="172" fontId="22" fillId="5" borderId="1" xfId="0" applyFont="true" applyBorder="true" applyAlignment="true" applyProtection="false">
      <alignment horizontal="general" vertical="bottom" textRotation="0" wrapText="false" indent="0" shrinkToFit="false"/>
      <protection locked="true" hidden="false"/>
    </xf>
    <xf numFmtId="172" fontId="22" fillId="6" borderId="1" xfId="0" applyFont="true" applyBorder="true" applyAlignment="true" applyProtection="false">
      <alignment horizontal="general" vertical="bottom" textRotation="0" wrapText="false" indent="0" shrinkToFit="false"/>
      <protection locked="true" hidden="false"/>
    </xf>
    <xf numFmtId="173" fontId="22" fillId="6" borderId="1" xfId="0" applyFont="true" applyBorder="true" applyAlignment="true" applyProtection="false">
      <alignment horizontal="general" vertical="bottom" textRotation="0" wrapText="fals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70" fontId="22" fillId="0" borderId="0" xfId="0" applyFont="true" applyBorder="false" applyAlignment="true" applyProtection="false">
      <alignment horizontal="general" vertical="bottom" textRotation="0" wrapText="false" indent="0" shrinkToFit="false"/>
      <protection locked="true" hidden="false"/>
    </xf>
    <xf numFmtId="172" fontId="25" fillId="0" borderId="0" xfId="0" applyFont="true" applyBorder="false" applyAlignment="true" applyProtection="false">
      <alignment horizontal="general" vertical="bottom" textRotation="0" wrapText="false" indent="0" shrinkToFit="false"/>
      <protection locked="true" hidden="false"/>
    </xf>
    <xf numFmtId="172" fontId="22" fillId="6" borderId="0" xfId="0" applyFont="true" applyBorder="false" applyAlignment="true" applyProtection="false">
      <alignment horizontal="general" vertical="bottom" textRotation="0" wrapText="false" indent="0" shrinkToFit="false"/>
      <protection locked="true" hidden="false"/>
    </xf>
    <xf numFmtId="169" fontId="25" fillId="0" borderId="0" xfId="0" applyFont="true" applyBorder="false" applyAlignment="true" applyProtection="false">
      <alignment horizontal="general" vertical="bottom" textRotation="0" wrapText="false" indent="0" shrinkToFit="false"/>
      <protection locked="true" hidden="false"/>
    </xf>
    <xf numFmtId="172" fontId="25" fillId="7" borderId="1" xfId="0" applyFont="true" applyBorder="true" applyAlignment="true" applyProtection="false">
      <alignment horizontal="general" vertical="bottom" textRotation="0" wrapText="false" indent="0" shrinkToFit="false"/>
      <protection locked="true" hidden="false"/>
    </xf>
    <xf numFmtId="169" fontId="25" fillId="0" borderId="1" xfId="0" applyFont="true" applyBorder="true" applyAlignment="true" applyProtection="false">
      <alignment horizontal="general" vertical="bottom" textRotation="0" wrapText="false" indent="0" shrinkToFit="false"/>
      <protection locked="true" hidden="false"/>
    </xf>
    <xf numFmtId="173" fontId="25" fillId="0" borderId="1" xfId="0" applyFont="true" applyBorder="true" applyAlignment="true" applyProtection="false">
      <alignment horizontal="general" vertical="bottom" textRotation="0" wrapText="false" indent="0" shrinkToFit="false"/>
      <protection locked="true" hidden="false"/>
    </xf>
    <xf numFmtId="172" fontId="25" fillId="0" borderId="1" xfId="0" applyFont="true" applyBorder="true" applyAlignment="true" applyProtection="false">
      <alignment horizontal="general" vertical="bottom" textRotation="0" wrapText="false" indent="0" shrinkToFit="false"/>
      <protection locked="true" hidden="false"/>
    </xf>
    <xf numFmtId="173" fontId="25" fillId="0" borderId="0" xfId="0" applyFont="true" applyBorder="false" applyAlignment="true" applyProtection="false">
      <alignment horizontal="general" vertical="bottom" textRotation="0" wrapText="false" indent="0" shrinkToFit="false"/>
      <protection locked="true" hidden="false"/>
    </xf>
    <xf numFmtId="172" fontId="19" fillId="0" borderId="0" xfId="0" applyFont="true" applyBorder="false" applyAlignment="true" applyProtection="false">
      <alignment horizontal="general" vertical="bottom" textRotation="0" wrapText="false" indent="0" shrinkToFit="false"/>
      <protection locked="true" hidden="false"/>
    </xf>
    <xf numFmtId="169" fontId="22" fillId="6" borderId="1" xfId="0" applyFont="true" applyBorder="true" applyAlignment="true" applyProtection="false">
      <alignment horizontal="general" vertical="bottom" textRotation="0" wrapText="false" indent="0" shrinkToFit="false"/>
      <protection locked="true" hidden="false"/>
    </xf>
    <xf numFmtId="169" fontId="24" fillId="0" borderId="1" xfId="0" applyFont="true" applyBorder="true" applyAlignment="true" applyProtection="false">
      <alignment horizontal="general" vertical="bottom" textRotation="0" wrapText="false" indent="0" shrinkToFit="false"/>
      <protection locked="true" hidden="false"/>
    </xf>
    <xf numFmtId="169" fontId="25" fillId="7" borderId="1" xfId="0" applyFont="true" applyBorder="true" applyAlignment="true" applyProtection="false">
      <alignment horizontal="general" vertical="bottom" textRotation="0" wrapText="false" indent="0" shrinkToFit="false"/>
      <protection locked="true" hidden="false"/>
    </xf>
    <xf numFmtId="168" fontId="25" fillId="0" borderId="1" xfId="0" applyFont="true" applyBorder="true" applyAlignment="true" applyProtection="false">
      <alignment horizontal="general" vertical="bottom" textRotation="0" wrapText="false" indent="0" shrinkToFit="false"/>
      <protection locked="true" hidden="false"/>
    </xf>
    <xf numFmtId="165" fontId="25" fillId="0" borderId="0" xfId="0" applyFont="true" applyBorder="false" applyAlignment="true" applyProtection="false">
      <alignment horizontal="general" vertical="bottom" textRotation="0" wrapText="false" indent="0" shrinkToFit="false"/>
      <protection locked="true" hidden="false"/>
    </xf>
    <xf numFmtId="171" fontId="25" fillId="0" borderId="0" xfId="0" applyFont="true" applyBorder="false" applyAlignment="true" applyProtection="false">
      <alignment horizontal="general" vertical="bottom" textRotation="0" wrapText="false" indent="0" shrinkToFit="false"/>
      <protection locked="true" hidden="false"/>
    </xf>
    <xf numFmtId="171" fontId="25" fillId="7" borderId="1" xfId="0" applyFont="true" applyBorder="true" applyAlignment="tru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general" vertical="bottom" textRotation="0" wrapText="false" indent="0" shrinkToFit="false"/>
      <protection locked="true" hidden="false"/>
    </xf>
    <xf numFmtId="170" fontId="22" fillId="5" borderId="1" xfId="0" applyFont="true" applyBorder="true" applyAlignment="true" applyProtection="false">
      <alignment horizontal="general" vertical="bottom" textRotation="0" wrapText="false" indent="0" shrinkToFit="false"/>
      <protection locked="true" hidden="false"/>
    </xf>
    <xf numFmtId="171" fontId="25" fillId="0" borderId="1" xfId="0" applyFont="true" applyBorder="true" applyAlignment="true" applyProtection="false">
      <alignment horizontal="general" vertical="bottom" textRotation="0" wrapText="false" indent="0" shrinkToFit="false"/>
      <protection locked="true" hidden="false"/>
    </xf>
    <xf numFmtId="165" fontId="25" fillId="7" borderId="1" xfId="0" applyFont="true" applyBorder="true" applyAlignment="true" applyProtection="false">
      <alignment horizontal="general" vertical="bottom" textRotation="0" wrapText="false" indent="0" shrinkToFit="false"/>
      <protection locked="true" hidden="false"/>
    </xf>
    <xf numFmtId="168" fontId="25" fillId="0" borderId="0" xfId="0" applyFont="true" applyBorder="false" applyAlignment="true" applyProtection="false">
      <alignment horizontal="general" vertical="bottom" textRotation="0" wrapText="false" indent="0" shrinkToFit="false"/>
      <protection locked="true" hidden="false"/>
    </xf>
    <xf numFmtId="166" fontId="25" fillId="0" borderId="1" xfId="0" applyFont="true" applyBorder="true" applyAlignment="true" applyProtection="false">
      <alignment horizontal="general" vertical="bottom" textRotation="0" wrapText="false" indent="0" shrinkToFit="false"/>
      <protection locked="true" hidden="false"/>
    </xf>
    <xf numFmtId="168" fontId="22" fillId="5" borderId="1" xfId="0" applyFont="true" applyBorder="true" applyAlignment="true" applyProtection="false">
      <alignment horizontal="general" vertical="bottom" textRotation="0" wrapText="false" indent="0" shrinkToFit="false"/>
      <protection locked="true" hidden="false"/>
    </xf>
    <xf numFmtId="169" fontId="24"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70" fontId="24" fillId="0" borderId="0" xfId="0" applyFont="true" applyBorder="false" applyAlignment="true" applyProtection="false">
      <alignment horizontal="general" vertical="bottom" textRotation="0" wrapText="false" indent="0" shrinkToFit="false"/>
      <protection locked="true" hidden="false"/>
    </xf>
    <xf numFmtId="164" fontId="25" fillId="7" borderId="0" xfId="0" applyFont="true" applyBorder="false" applyAlignment="true" applyProtection="false">
      <alignment horizontal="general" vertical="bottom" textRotation="0" wrapText="false" indent="0" shrinkToFit="false"/>
      <protection locked="true" hidden="false"/>
    </xf>
    <xf numFmtId="166" fontId="25" fillId="7" borderId="0" xfId="0" applyFont="true" applyBorder="false" applyAlignment="true" applyProtection="false">
      <alignment horizontal="general" vertical="bottom" textRotation="0" wrapText="false" indent="0" shrinkToFit="false"/>
      <protection locked="true" hidden="false"/>
    </xf>
    <xf numFmtId="165" fontId="25" fillId="7" borderId="0" xfId="0" applyFont="true" applyBorder="false" applyAlignment="true" applyProtection="false">
      <alignment horizontal="general" vertical="bottom" textRotation="0" wrapText="false" indent="0" shrinkToFit="false"/>
      <protection locked="true" hidden="false"/>
    </xf>
    <xf numFmtId="167" fontId="25" fillId="7" borderId="0" xfId="0" applyFont="true" applyBorder="false" applyAlignment="true" applyProtection="false">
      <alignment horizontal="general" vertical="bottom" textRotation="0" wrapText="false" indent="0" shrinkToFit="false"/>
      <protection locked="true" hidden="false"/>
    </xf>
    <xf numFmtId="168" fontId="25" fillId="7" borderId="0" xfId="0" applyFont="true" applyBorder="false" applyAlignment="true" applyProtection="false">
      <alignment horizontal="general" vertical="bottom" textRotation="0" wrapText="false" indent="0" shrinkToFit="false"/>
      <protection locked="true" hidden="false"/>
    </xf>
    <xf numFmtId="168" fontId="22" fillId="6" borderId="1" xfId="0" applyFont="true" applyBorder="true" applyAlignment="tru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general" vertical="bottom" textRotation="0" wrapText="false" indent="0" shrinkToFit="false"/>
      <protection locked="true" hidden="false"/>
    </xf>
    <xf numFmtId="167" fontId="25"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74" fontId="20" fillId="0" borderId="0" xfId="0" applyFont="true" applyBorder="false" applyAlignment="true" applyProtection="false">
      <alignment horizontal="general" vertical="bottom" textRotation="0" wrapText="false" indent="0" shrinkToFit="false"/>
      <protection locked="true" hidden="false"/>
    </xf>
    <xf numFmtId="175" fontId="20" fillId="0" borderId="0" xfId="0" applyFont="true" applyBorder="false" applyAlignment="true" applyProtection="false">
      <alignment horizontal="general" vertical="bottom" textRotation="0" wrapText="false" indent="0" shrinkToFit="false"/>
      <protection locked="true" hidden="false"/>
    </xf>
    <xf numFmtId="176" fontId="20" fillId="0" borderId="0" xfId="0" applyFont="true" applyBorder="false" applyAlignment="true" applyProtection="false">
      <alignment horizontal="general" vertical="bottom" textRotation="0" wrapText="false" indent="0" shrinkToFit="false"/>
      <protection locked="true" hidden="false"/>
    </xf>
    <xf numFmtId="177" fontId="20" fillId="0" borderId="0" xfId="0" applyFont="true" applyBorder="false" applyAlignment="true" applyProtection="false">
      <alignment horizontal="general" vertical="bottom" textRotation="0" wrapText="false" indent="0" shrinkToFit="false"/>
      <protection locked="true" hidden="false"/>
    </xf>
    <xf numFmtId="178" fontId="20" fillId="0" borderId="0" xfId="0" applyFont="true" applyBorder="false" applyAlignment="true" applyProtection="false">
      <alignment horizontal="general" vertical="bottom" textRotation="0" wrapText="false" indent="0" shrinkToFit="false"/>
      <protection locked="true" hidden="false"/>
    </xf>
    <xf numFmtId="179" fontId="20" fillId="0" borderId="0" xfId="0" applyFont="true" applyBorder="false" applyAlignment="true" applyProtection="false">
      <alignment horizontal="general" vertical="bottom" textRotation="0" wrapText="false" indent="0" shrinkToFit="false"/>
      <protection locked="true" hidden="false"/>
    </xf>
    <xf numFmtId="180" fontId="20" fillId="0" borderId="0" xfId="0" applyFont="true" applyBorder="false" applyAlignment="true" applyProtection="false">
      <alignment horizontal="general" vertical="bottom" textRotation="0" wrapText="false" indent="0" shrinkToFit="false"/>
      <protection locked="true" hidden="false"/>
    </xf>
    <xf numFmtId="181" fontId="20" fillId="0" borderId="0" xfId="0" applyFont="true" applyBorder="false" applyAlignment="true" applyProtection="false">
      <alignment horizontal="general" vertical="bottom" textRotation="0" wrapText="false" indent="0" shrinkToFit="false"/>
      <protection locked="true" hidden="false"/>
    </xf>
    <xf numFmtId="167" fontId="25" fillId="0" borderId="1" xfId="0" applyFont="true" applyBorder="true" applyAlignment="true" applyProtection="false">
      <alignment horizontal="general" vertical="bottom" textRotation="0" wrapText="false" indent="0" shrinkToFit="false"/>
      <protection locked="true" hidden="false"/>
    </xf>
    <xf numFmtId="169" fontId="22" fillId="6" borderId="0" xfId="0" applyFont="true" applyBorder="false" applyAlignment="true" applyProtection="false">
      <alignment horizontal="general" vertical="bottom" textRotation="0" wrapText="false" indent="0" shrinkToFit="false"/>
      <protection locked="true" hidden="false"/>
    </xf>
    <xf numFmtId="166" fontId="24" fillId="0" borderId="1" xfId="0" applyFont="true" applyBorder="true" applyAlignment="true" applyProtection="false">
      <alignment horizontal="general" vertical="bottom" textRotation="0" wrapText="false" indent="0" shrinkToFit="false"/>
      <protection locked="true" hidden="false"/>
    </xf>
    <xf numFmtId="167" fontId="25" fillId="7" borderId="1" xfId="0" applyFont="true" applyBorder="true" applyAlignment="true" applyProtection="false">
      <alignment horizontal="general" vertical="bottom" textRotation="0" wrapText="false" indent="0" shrinkToFit="false"/>
      <protection locked="true" hidden="false"/>
    </xf>
    <xf numFmtId="164" fontId="25" fillId="7" borderId="1" xfId="0" applyFont="true" applyBorder="true" applyAlignment="true" applyProtection="false">
      <alignment horizontal="general" vertical="bottom" textRotation="0" wrapText="false" indent="0" shrinkToFit="false"/>
      <protection locked="true" hidden="false"/>
    </xf>
    <xf numFmtId="166" fontId="22" fillId="6" borderId="0" xfId="0" applyFont="true" applyBorder="false" applyAlignment="tru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general" vertical="bottom"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5" fontId="19" fillId="4" borderId="0" xfId="0" applyFont="true" applyBorder="false" applyAlignment="true" applyProtection="false">
      <alignment horizontal="general" vertical="bottom" textRotation="0" wrapText="false" indent="0" shrinkToFit="false"/>
      <protection locked="true" hidden="false"/>
    </xf>
    <xf numFmtId="164" fontId="19" fillId="4" borderId="0" xfId="0" applyFont="true" applyBorder="false" applyAlignment="true" applyProtection="false">
      <alignment horizontal="general" vertical="bottom" textRotation="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5" fontId="24" fillId="0" borderId="0" xfId="0" applyFont="true" applyBorder="false" applyAlignment="true" applyProtection="false">
      <alignment horizontal="general" vertical="bottom" textRotation="0" wrapText="false" indent="0" shrinkToFit="false"/>
      <protection locked="true" hidden="false"/>
    </xf>
    <xf numFmtId="165" fontId="22" fillId="6"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70" fontId="22" fillId="6" borderId="0" xfId="0" applyFont="true" applyBorder="false" applyAlignment="true" applyProtection="false">
      <alignment horizontal="general" vertical="bottom" textRotation="0" wrapText="false" indent="0" shrinkToFit="false"/>
      <protection locked="true" hidden="false"/>
    </xf>
    <xf numFmtId="166" fontId="24"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9" fontId="20" fillId="0" borderId="0" xfId="0" applyFont="true" applyBorder="false" applyAlignment="true" applyProtection="false">
      <alignment horizontal="general" vertical="top" textRotation="0" wrapText="true" indent="0" shrinkToFit="false"/>
      <protection locked="true" hidden="false"/>
    </xf>
    <xf numFmtId="172" fontId="20"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72" fontId="24"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72" fontId="24" fillId="0" borderId="1" xfId="0" applyFont="true" applyBorder="true" applyAlignment="true" applyProtection="false">
      <alignment horizontal="general" vertical="bottom" textRotation="0" wrapText="false" indent="0" shrinkToFit="false"/>
      <protection locked="true" hidden="false"/>
    </xf>
    <xf numFmtId="168" fontId="24" fillId="0" borderId="1" xfId="0" applyFont="true" applyBorder="true" applyAlignment="true" applyProtection="false">
      <alignment horizontal="general" vertical="bottom" textRotation="0" wrapText="false" indent="0" shrinkToFit="false"/>
      <protection locked="true" hidden="false"/>
    </xf>
    <xf numFmtId="171" fontId="24" fillId="0" borderId="1" xfId="0" applyFont="true" applyBorder="true" applyAlignment="true" applyProtection="false">
      <alignment horizontal="general" vertical="bottom" textRotation="0" wrapText="false" indent="0" shrinkToFit="false"/>
      <protection locked="true" hidden="false"/>
    </xf>
    <xf numFmtId="165" fontId="24" fillId="0" borderId="1" xfId="0" applyFont="true" applyBorder="true" applyAlignment="true" applyProtection="false">
      <alignment horizontal="general" vertical="bottom" textRotation="0" wrapText="false" indent="0" shrinkToFit="false"/>
      <protection locked="true" hidden="false"/>
    </xf>
    <xf numFmtId="167" fontId="24" fillId="0" borderId="1" xfId="0" applyFont="true" applyBorder="tru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C6EFCE"/>
        </patternFill>
      </fill>
    </dxf>
    <dxf>
      <fill>
        <patternFill>
          <bgColor rgb="FFFFEB9C"/>
        </patternFill>
      </fill>
    </dxf>
    <dxf>
      <fill>
        <patternFill>
          <bgColor rgb="FFF8CBAD"/>
        </patternFill>
      </fill>
    </dxf>
    <dxf>
      <fill>
        <patternFill>
          <bgColor rgb="FFFF7C80"/>
        </patternFill>
      </fill>
    </dxf>
    <dxf>
      <fill>
        <patternFill>
          <bgColor rgb="FFD9D9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7F7F7F"/>
      <rgbColor rgb="FF9999FF"/>
      <rgbColor rgb="FFBE4B48"/>
      <rgbColor rgb="FFFFF2CC"/>
      <rgbColor rgb="FFE2EFDA"/>
      <rgbColor rgb="FF660066"/>
      <rgbColor rgb="FFFF7C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99CCFF"/>
      <rgbColor rgb="FFFF99CC"/>
      <rgbColor rgb="FFCC99FF"/>
      <rgbColor rgb="FFF8CBAD"/>
      <rgbColor rgb="FF4A7EBB"/>
      <rgbColor rgb="FF33CCCC"/>
      <rgbColor rgb="FF98B855"/>
      <rgbColor rgb="FFE0B44A"/>
      <rgbColor rgb="FFFF9900"/>
      <rgbColor rgb="FFFF6600"/>
      <rgbColor rgb="FF595959"/>
      <rgbColor rgb="FF878787"/>
      <rgbColor rgb="FF1F3864"/>
      <rgbColor rgb="FF339966"/>
      <rgbColor rgb="FF0B302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Energy: generation vs delivered (GWh)</a:t>
            </a:r>
          </a:p>
        </c:rich>
      </c:tx>
      <c:overlay val="0"/>
      <c:spPr>
        <a:noFill/>
        <a:ln w="0">
          <a:noFill/>
        </a:ln>
      </c:spPr>
    </c:title>
    <c:autoTitleDeleted val="0"/>
    <c:plotArea>
      <c:lineChart>
        <c:grouping val="standard"/>
        <c:varyColors val="0"/>
        <c:ser>
          <c:idx val="0"/>
          <c:order val="0"/>
          <c:tx>
            <c:strRef>
              <c:f>"Generation"</c:f>
              <c:strCache>
                <c:ptCount val="1"/>
                <c:pt idx="0">
                  <c:v>Generation</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'06_CONSTRUCTION'!$E$4:$AR$4</c:f>
              <c:multiLvlStrCache>
                <c:ptCount val="1"/>
                <c:lvl>
                  <c:pt idx="0">
                    <c:v>2066</c:v>
                  </c:pt>
                </c:lvl>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multiLvlStrCache>
            </c:multiLvlStrRef>
          </c:cat>
          <c:val>
            <c:numRef>
              <c:f>'04_GENERATION'!$E$17:$AR$17</c:f>
              <c:numCache>
                <c:formatCode>#,##0;\(#,##0\);\-</c:formatCode>
                <c:ptCount val="40"/>
                <c:pt idx="0">
                  <c:v>0</c:v>
                </c:pt>
                <c:pt idx="1">
                  <c:v>0</c:v>
                </c:pt>
                <c:pt idx="2">
                  <c:v>0</c:v>
                </c:pt>
                <c:pt idx="3">
                  <c:v>248.609171331878</c:v>
                </c:pt>
                <c:pt idx="4">
                  <c:v>292.481378037504</c:v>
                </c:pt>
                <c:pt idx="5">
                  <c:v>292.481378037504</c:v>
                </c:pt>
                <c:pt idx="6">
                  <c:v>292.481378037504</c:v>
                </c:pt>
                <c:pt idx="7">
                  <c:v>292.481378037504</c:v>
                </c:pt>
                <c:pt idx="8">
                  <c:v>292.481378037504</c:v>
                </c:pt>
                <c:pt idx="9">
                  <c:v>292.481378037504</c:v>
                </c:pt>
                <c:pt idx="10">
                  <c:v>292.481378037504</c:v>
                </c:pt>
                <c:pt idx="11">
                  <c:v>292.481378037504</c:v>
                </c:pt>
                <c:pt idx="12">
                  <c:v>292.481378037504</c:v>
                </c:pt>
                <c:pt idx="13">
                  <c:v>292.481378037504</c:v>
                </c:pt>
                <c:pt idx="14">
                  <c:v>292.481378037504</c:v>
                </c:pt>
                <c:pt idx="15">
                  <c:v>292.481378037504</c:v>
                </c:pt>
                <c:pt idx="16">
                  <c:v>292.481378037504</c:v>
                </c:pt>
                <c:pt idx="17">
                  <c:v>292.481378037504</c:v>
                </c:pt>
                <c:pt idx="18">
                  <c:v>292.481378037504</c:v>
                </c:pt>
                <c:pt idx="19">
                  <c:v>292.481378037504</c:v>
                </c:pt>
                <c:pt idx="20">
                  <c:v>292.481378037504</c:v>
                </c:pt>
                <c:pt idx="21">
                  <c:v>292.481378037504</c:v>
                </c:pt>
                <c:pt idx="22">
                  <c:v>292.481378037504</c:v>
                </c:pt>
                <c:pt idx="23">
                  <c:v>292.481378037504</c:v>
                </c:pt>
                <c:pt idx="24">
                  <c:v>292.481378037504</c:v>
                </c:pt>
                <c:pt idx="25">
                  <c:v>292.481378037504</c:v>
                </c:pt>
                <c:pt idx="26">
                  <c:v>292.481378037504</c:v>
                </c:pt>
                <c:pt idx="27">
                  <c:v>292.481378037504</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1"/>
        </c:ser>
        <c:ser>
          <c:idx val="1"/>
          <c:order val="1"/>
          <c:tx>
            <c:strRef>
              <c:f>"Delivered"</c:f>
              <c:strCache>
                <c:ptCount val="1"/>
                <c:pt idx="0">
                  <c:v>Delivered</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'06_CONSTRUCTION'!$E$4:$AR$4</c:f>
              <c:multiLvlStrCache>
                <c:ptCount val="1"/>
                <c:lvl>
                  <c:pt idx="0">
                    <c:v>2066</c:v>
                  </c:pt>
                </c:lvl>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multiLvlStrCache>
            </c:multiLvlStrRef>
          </c:cat>
          <c:val>
            <c:numRef>
              <c:f>'04_GENERATION'!$E$20:$AR$20</c:f>
              <c:numCache>
                <c:formatCode>#,##0;\(#,##0\);\-</c:formatCode>
                <c:ptCount val="40"/>
                <c:pt idx="0">
                  <c:v>0</c:v>
                </c:pt>
                <c:pt idx="1">
                  <c:v>0</c:v>
                </c:pt>
                <c:pt idx="2">
                  <c:v>0</c:v>
                </c:pt>
                <c:pt idx="3">
                  <c:v>248.609171331878</c:v>
                </c:pt>
                <c:pt idx="4">
                  <c:v>292.481378037504</c:v>
                </c:pt>
                <c:pt idx="5">
                  <c:v>292.481378037504</c:v>
                </c:pt>
                <c:pt idx="6">
                  <c:v>292.481378037504</c:v>
                </c:pt>
                <c:pt idx="7">
                  <c:v>292.481378037504</c:v>
                </c:pt>
                <c:pt idx="8">
                  <c:v>292.481378037504</c:v>
                </c:pt>
                <c:pt idx="9">
                  <c:v>292.481378037504</c:v>
                </c:pt>
                <c:pt idx="10">
                  <c:v>292.481378037504</c:v>
                </c:pt>
                <c:pt idx="11">
                  <c:v>292.481378037504</c:v>
                </c:pt>
                <c:pt idx="12">
                  <c:v>292.481378037504</c:v>
                </c:pt>
                <c:pt idx="13">
                  <c:v>292.481378037504</c:v>
                </c:pt>
                <c:pt idx="14">
                  <c:v>292.481378037504</c:v>
                </c:pt>
                <c:pt idx="15">
                  <c:v>292.481378037504</c:v>
                </c:pt>
                <c:pt idx="16">
                  <c:v>292.481378037504</c:v>
                </c:pt>
                <c:pt idx="17">
                  <c:v>292.481378037504</c:v>
                </c:pt>
                <c:pt idx="18">
                  <c:v>292.481378037504</c:v>
                </c:pt>
                <c:pt idx="19">
                  <c:v>292.481378037504</c:v>
                </c:pt>
                <c:pt idx="20">
                  <c:v>292.481378037504</c:v>
                </c:pt>
                <c:pt idx="21">
                  <c:v>292.481378037504</c:v>
                </c:pt>
                <c:pt idx="22">
                  <c:v>292.481378037504</c:v>
                </c:pt>
                <c:pt idx="23">
                  <c:v>292.481378037504</c:v>
                </c:pt>
                <c:pt idx="24">
                  <c:v>292.481378037504</c:v>
                </c:pt>
                <c:pt idx="25">
                  <c:v>292.481378037504</c:v>
                </c:pt>
                <c:pt idx="26">
                  <c:v>292.481378037504</c:v>
                </c:pt>
                <c:pt idx="27">
                  <c:v>292.481378037504</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1"/>
        </c:ser>
        <c:ser>
          <c:idx val="2"/>
          <c:order val="2"/>
          <c:tx>
            <c:strRef>
              <c:f>"P50"</c:f>
              <c:strCache>
                <c:ptCount val="1"/>
                <c:pt idx="0">
                  <c:v>P50</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'06_CONSTRUCTION'!$E$4:$AR$4</c:f>
              <c:multiLvlStrCache>
                <c:ptCount val="1"/>
                <c:lvl>
                  <c:pt idx="0">
                    <c:v>2066</c:v>
                  </c:pt>
                </c:lvl>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multiLvlStrCache>
            </c:multiLvlStrRef>
          </c:cat>
          <c:val>
            <c:numRef>
              <c:f>'04_GENERATION'!$E$16:$AR$16</c:f>
              <c:numCache>
                <c:formatCode>#,##0;\(#,##0\);\-</c:formatCode>
                <c:ptCount val="40"/>
                <c:pt idx="0">
                  <c:v>0</c:v>
                </c:pt>
                <c:pt idx="1">
                  <c:v>0</c:v>
                </c:pt>
                <c:pt idx="2">
                  <c:v>0</c:v>
                </c:pt>
                <c:pt idx="3">
                  <c:v>248.609171331878</c:v>
                </c:pt>
                <c:pt idx="4">
                  <c:v>292.481378037504</c:v>
                </c:pt>
                <c:pt idx="5">
                  <c:v>292.481378037504</c:v>
                </c:pt>
                <c:pt idx="6">
                  <c:v>292.481378037504</c:v>
                </c:pt>
                <c:pt idx="7">
                  <c:v>292.481378037504</c:v>
                </c:pt>
                <c:pt idx="8">
                  <c:v>292.481378037504</c:v>
                </c:pt>
                <c:pt idx="9">
                  <c:v>292.481378037504</c:v>
                </c:pt>
                <c:pt idx="10">
                  <c:v>292.481378037504</c:v>
                </c:pt>
                <c:pt idx="11">
                  <c:v>292.481378037504</c:v>
                </c:pt>
                <c:pt idx="12">
                  <c:v>292.481378037504</c:v>
                </c:pt>
                <c:pt idx="13">
                  <c:v>292.481378037504</c:v>
                </c:pt>
                <c:pt idx="14">
                  <c:v>292.481378037504</c:v>
                </c:pt>
                <c:pt idx="15">
                  <c:v>292.481378037504</c:v>
                </c:pt>
                <c:pt idx="16">
                  <c:v>292.481378037504</c:v>
                </c:pt>
                <c:pt idx="17">
                  <c:v>292.481378037504</c:v>
                </c:pt>
                <c:pt idx="18">
                  <c:v>292.481378037504</c:v>
                </c:pt>
                <c:pt idx="19">
                  <c:v>292.481378037504</c:v>
                </c:pt>
                <c:pt idx="20">
                  <c:v>292.481378037504</c:v>
                </c:pt>
                <c:pt idx="21">
                  <c:v>292.481378037504</c:v>
                </c:pt>
                <c:pt idx="22">
                  <c:v>292.481378037504</c:v>
                </c:pt>
                <c:pt idx="23">
                  <c:v>292.481378037504</c:v>
                </c:pt>
                <c:pt idx="24">
                  <c:v>292.481378037504</c:v>
                </c:pt>
                <c:pt idx="25">
                  <c:v>292.481378037504</c:v>
                </c:pt>
                <c:pt idx="26">
                  <c:v>292.481378037504</c:v>
                </c:pt>
                <c:pt idx="27">
                  <c:v>292.481378037504</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1"/>
        </c:ser>
        <c:hiLowLines>
          <c:spPr>
            <a:ln w="0">
              <a:noFill/>
            </a:ln>
          </c:spPr>
        </c:hiLowLines>
        <c:marker val="0"/>
        <c:axId val="85151482"/>
        <c:axId val="29118552"/>
      </c:lineChart>
      <c:catAx>
        <c:axId val="851514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118552"/>
        <c:crosses val="autoZero"/>
        <c:auto val="1"/>
        <c:lblAlgn val="ctr"/>
        <c:lblOffset val="100"/>
        <c:noMultiLvlLbl val="0"/>
      </c:catAx>
      <c:valAx>
        <c:axId val="2911855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GWh</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1514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Utility: PPA payment vs payment capacity (USDm)</a:t>
            </a:r>
          </a:p>
        </c:rich>
      </c:tx>
      <c:overlay val="0"/>
      <c:spPr>
        <a:noFill/>
        <a:ln w="0">
          <a:noFill/>
        </a:ln>
      </c:spPr>
    </c:title>
    <c:autoTitleDeleted val="0"/>
    <c:plotArea>
      <c:lineChart>
        <c:grouping val="standard"/>
        <c:varyColors val="0"/>
        <c:ser>
          <c:idx val="0"/>
          <c:order val="0"/>
          <c:tx>
            <c:strRef>
              <c:f>"PPA billed (utility)"</c:f>
              <c:strCache>
                <c:ptCount val="1"/>
                <c:pt idx="0">
                  <c:v>PPA billed (utility)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'06_CONSTRUCTION'!$E$4:$AR$4</c:f>
              <c:multiLvlStrCache>
                <c:ptCount val="1"/>
                <c:lvl>
                  <c:pt idx="0">
                    <c:v>2066</c:v>
                  </c:pt>
                </c:lvl>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multiLvlStrCache>
            </c:multiLvlStrRef>
          </c:cat>
          <c:val>
            <c:numRef>
              <c:f>'12_UTILITY'!$E$42:$AR$42</c:f>
              <c:numCache>
                <c:formatCode>#,##0.0;\(#,##0.0\);\-</c:formatCode>
                <c:ptCount val="40"/>
                <c:pt idx="0">
                  <c:v>0</c:v>
                </c:pt>
                <c:pt idx="1">
                  <c:v>0</c:v>
                </c:pt>
                <c:pt idx="2">
                  <c:v>0</c:v>
                </c:pt>
                <c:pt idx="3">
                  <c:v>28.9918570845374</c:v>
                </c:pt>
                <c:pt idx="4">
                  <c:v>34.4626493580429</c:v>
                </c:pt>
                <c:pt idx="5">
                  <c:v>34.8243232018017</c:v>
                </c:pt>
                <c:pt idx="6">
                  <c:v>35.1932305224358</c:v>
                </c:pt>
                <c:pt idx="7">
                  <c:v>35.5695159894825</c:v>
                </c:pt>
                <c:pt idx="8">
                  <c:v>35.9533271658701</c:v>
                </c:pt>
                <c:pt idx="9">
                  <c:v>36.3448145657855</c:v>
                </c:pt>
                <c:pt idx="10">
                  <c:v>36.7441317136992</c:v>
                </c:pt>
                <c:pt idx="11">
                  <c:v>37.1514352045712</c:v>
                </c:pt>
                <c:pt idx="12">
                  <c:v>37.5668847652606</c:v>
                </c:pt>
                <c:pt idx="13">
                  <c:v>37.9906433171638</c:v>
                </c:pt>
                <c:pt idx="14">
                  <c:v>38.4228770401051</c:v>
                </c:pt>
                <c:pt idx="15">
                  <c:v>38.8637554375052</c:v>
                </c:pt>
                <c:pt idx="16">
                  <c:v>39.3134514028533</c:v>
                </c:pt>
                <c:pt idx="17">
                  <c:v>39.7721412875084</c:v>
                </c:pt>
                <c:pt idx="18">
                  <c:v>40.2400049698565</c:v>
                </c:pt>
                <c:pt idx="19">
                  <c:v>40.7172259258517</c:v>
                </c:pt>
                <c:pt idx="20">
                  <c:v>41.2039913009667</c:v>
                </c:pt>
                <c:pt idx="21">
                  <c:v>41.700491983584</c:v>
                </c:pt>
                <c:pt idx="22">
                  <c:v>42.2069226798537</c:v>
                </c:pt>
                <c:pt idx="23">
                  <c:v>42.7234819900488</c:v>
                </c:pt>
                <c:pt idx="24">
                  <c:v>43.2503724864477</c:v>
                </c:pt>
                <c:pt idx="25">
                  <c:v>43.7878007927747</c:v>
                </c:pt>
                <c:pt idx="26">
                  <c:v>44.3359776652282</c:v>
                </c:pt>
                <c:pt idx="27">
                  <c:v>44.8951180751307</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1"/>
        </c:ser>
        <c:ser>
          <c:idx val="1"/>
          <c:order val="1"/>
          <c:tx>
            <c:strRef>
              <c:f>"Max sustainable"</c:f>
              <c:strCache>
                <c:ptCount val="1"/>
                <c:pt idx="0">
                  <c:v>Max sustainable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'06_CONSTRUCTION'!$E$4:$AR$4</c:f>
              <c:multiLvlStrCache>
                <c:ptCount val="1"/>
                <c:lvl>
                  <c:pt idx="0">
                    <c:v>2066</c:v>
                  </c:pt>
                </c:lvl>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multiLvlStrCache>
            </c:multiLvlStrRef>
          </c:cat>
          <c:val>
            <c:numRef>
              <c:f>'12_UTILITY'!$E$41:$AR$41</c:f>
              <c:numCache>
                <c:formatCode>#,##0.0;\(#,##0.0\);\-</c:formatCode>
                <c:ptCount val="40"/>
                <c:pt idx="0">
                  <c:v>126.137236259585</c:v>
                </c:pt>
                <c:pt idx="1">
                  <c:v>139.219985455316</c:v>
                </c:pt>
                <c:pt idx="2">
                  <c:v>153.14405082505</c:v>
                </c:pt>
                <c:pt idx="3">
                  <c:v>186.016348875917</c:v>
                </c:pt>
                <c:pt idx="4">
                  <c:v>205.37379851813</c:v>
                </c:pt>
                <c:pt idx="5">
                  <c:v>222.565385684276</c:v>
                </c:pt>
                <c:pt idx="6">
                  <c:v>240.841572860586</c:v>
                </c:pt>
                <c:pt idx="7">
                  <c:v>260.271029749354</c:v>
                </c:pt>
                <c:pt idx="8">
                  <c:v>280.926775903116</c:v>
                </c:pt>
                <c:pt idx="9">
                  <c:v>302.886456137699</c:v>
                </c:pt>
                <c:pt idx="10">
                  <c:v>326.232633369588</c:v>
                </c:pt>
                <c:pt idx="11">
                  <c:v>351.053099978982</c:v>
                </c:pt>
                <c:pt idx="12">
                  <c:v>377.441208869441</c:v>
                </c:pt>
                <c:pt idx="13">
                  <c:v>405.496225468963</c:v>
                </c:pt>
                <c:pt idx="14">
                  <c:v>435.323701995915</c:v>
                </c:pt>
                <c:pt idx="15">
                  <c:v>467.035875396797</c:v>
                </c:pt>
                <c:pt idx="16">
                  <c:v>500.752090451648</c:v>
                </c:pt>
                <c:pt idx="17">
                  <c:v>536.599249637312</c:v>
                </c:pt>
                <c:pt idx="18">
                  <c:v>574.71229143916</c:v>
                </c:pt>
                <c:pt idx="19">
                  <c:v>615.234698908565</c:v>
                </c:pt>
                <c:pt idx="20">
                  <c:v>658.319040376868</c:v>
                </c:pt>
                <c:pt idx="21">
                  <c:v>704.127544357144</c:v>
                </c:pt>
                <c:pt idx="22">
                  <c:v>752.83271079325</c:v>
                </c:pt>
                <c:pt idx="23">
                  <c:v>804.617960951935</c:v>
                </c:pt>
                <c:pt idx="24">
                  <c:v>859.678328398593</c:v>
                </c:pt>
                <c:pt idx="25">
                  <c:v>918.221193651257</c:v>
                </c:pt>
                <c:pt idx="26">
                  <c:v>980.467065271089</c:v>
                </c:pt>
                <c:pt idx="27">
                  <c:v>1046.65041032165</c:v>
                </c:pt>
                <c:pt idx="28">
                  <c:v>1083.12941880559</c:v>
                </c:pt>
                <c:pt idx="29">
                  <c:v>1157.31196137773</c:v>
                </c:pt>
                <c:pt idx="30">
                  <c:v>1236.21617637015</c:v>
                </c:pt>
                <c:pt idx="31">
                  <c:v>1320.14154249794</c:v>
                </c:pt>
                <c:pt idx="32">
                  <c:v>1409.40650176105</c:v>
                </c:pt>
                <c:pt idx="33">
                  <c:v>1504.34965882841</c:v>
                </c:pt>
                <c:pt idx="34">
                  <c:v>1605.33105620067</c:v>
                </c:pt>
                <c:pt idx="35">
                  <c:v>1712.73352993403</c:v>
                </c:pt>
                <c:pt idx="36">
                  <c:v>1826.96415100945</c:v>
                </c:pt>
                <c:pt idx="37">
                  <c:v>1948.45575775187</c:v>
                </c:pt>
                <c:pt idx="38">
                  <c:v>2077.66858504477</c:v>
                </c:pt>
                <c:pt idx="39">
                  <c:v>2215.09199644754</c:v>
                </c:pt>
              </c:numCache>
            </c:numRef>
          </c:val>
          <c:smooth val="1"/>
        </c:ser>
        <c:hiLowLines>
          <c:spPr>
            <a:ln w="0">
              <a:noFill/>
            </a:ln>
          </c:spPr>
        </c:hiLowLines>
        <c:marker val="0"/>
        <c:axId val="26347790"/>
        <c:axId val="4695922"/>
      </c:lineChart>
      <c:catAx>
        <c:axId val="263477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95922"/>
        <c:crosses val="autoZero"/>
        <c:auto val="1"/>
        <c:lblAlgn val="ctr"/>
        <c:lblOffset val="100"/>
        <c:noMultiLvlLbl val="0"/>
      </c:catAx>
      <c:valAx>
        <c:axId val="469592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USDm</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34779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Government: net fiscal cash flow &amp; contingent exposure (USDm)</a:t>
            </a:r>
          </a:p>
        </c:rich>
      </c:tx>
      <c:overlay val="0"/>
      <c:spPr>
        <a:noFill/>
        <a:ln w="0">
          <a:noFill/>
        </a:ln>
      </c:spPr>
    </c:title>
    <c:autoTitleDeleted val="0"/>
    <c:plotArea>
      <c:lineChart>
        <c:grouping val="standard"/>
        <c:varyColors val="0"/>
        <c:ser>
          <c:idx val="0"/>
          <c:order val="0"/>
          <c:tx>
            <c:strRef>
              <c:f>"Net fiscal cash flow"</c:f>
              <c:strCache>
                <c:ptCount val="1"/>
                <c:pt idx="0">
                  <c:v>Net fiscal cash flow</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'06_CONSTRUCTION'!$E$4:$AR$4</c:f>
              <c:multiLvlStrCache>
                <c:ptCount val="1"/>
                <c:lvl>
                  <c:pt idx="0">
                    <c:v>2066</c:v>
                  </c:pt>
                </c:lvl>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multiLvlStrCache>
            </c:multiLvlStrRef>
          </c:cat>
          <c:val>
            <c:numRef>
              <c:f>'25_FISCAL_IMPACT'!$E$14:$AR$14</c:f>
              <c:numCache>
                <c:formatCode>#,##0.0;\(#,##0.0\);\-</c:formatCode>
                <c:ptCount val="40"/>
                <c:pt idx="0">
                  <c:v>0</c:v>
                </c:pt>
                <c:pt idx="1">
                  <c:v>0</c:v>
                </c:pt>
                <c:pt idx="2">
                  <c:v>0</c:v>
                </c:pt>
                <c:pt idx="3">
                  <c:v>0.672756405801438</c:v>
                </c:pt>
                <c:pt idx="4">
                  <c:v>0.807307686961726</c:v>
                </c:pt>
                <c:pt idx="5">
                  <c:v>0.82345384070096</c:v>
                </c:pt>
                <c:pt idx="6">
                  <c:v>0.839922917514979</c:v>
                </c:pt>
                <c:pt idx="7">
                  <c:v>0.856721375865279</c:v>
                </c:pt>
                <c:pt idx="8">
                  <c:v>3.64517661642607</c:v>
                </c:pt>
                <c:pt idx="9">
                  <c:v>3.88440803593161</c:v>
                </c:pt>
                <c:pt idx="10">
                  <c:v>4.13995009754117</c:v>
                </c:pt>
                <c:pt idx="11">
                  <c:v>4.41305109519395</c:v>
                </c:pt>
                <c:pt idx="12">
                  <c:v>4.70505805519568</c:v>
                </c:pt>
                <c:pt idx="13">
                  <c:v>5.01742461218503</c:v>
                </c:pt>
                <c:pt idx="14">
                  <c:v>5.35171951472475</c:v>
                </c:pt>
                <c:pt idx="15">
                  <c:v>5.70963581087869</c:v>
                </c:pt>
                <c:pt idx="16">
                  <c:v>6.09300076816422</c:v>
                </c:pt>
                <c:pt idx="17">
                  <c:v>6.50378658662064</c:v>
                </c:pt>
                <c:pt idx="18">
                  <c:v>6.9441219684334</c:v>
                </c:pt>
                <c:pt idx="19">
                  <c:v>7.41630461262857</c:v>
                </c:pt>
                <c:pt idx="20">
                  <c:v>7.52865076953619</c:v>
                </c:pt>
                <c:pt idx="21">
                  <c:v>7.64324384958197</c:v>
                </c:pt>
                <c:pt idx="22">
                  <c:v>7.76012879122865</c:v>
                </c:pt>
                <c:pt idx="23">
                  <c:v>10.9940418154908</c:v>
                </c:pt>
                <c:pt idx="24">
                  <c:v>11.1156489087801</c:v>
                </c:pt>
                <c:pt idx="25">
                  <c:v>11.2396881439351</c:v>
                </c:pt>
                <c:pt idx="26">
                  <c:v>11.3662081637932</c:v>
                </c:pt>
                <c:pt idx="27">
                  <c:v>11.4952585840484</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1"/>
        </c:ser>
        <c:ser>
          <c:idx val="1"/>
          <c:order val="1"/>
          <c:tx>
            <c:strRef>
              <c:f>"Max contingent exposure"</c:f>
              <c:strCache>
                <c:ptCount val="1"/>
                <c:pt idx="0">
                  <c:v>Max contingent exposure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'06_CONSTRUCTION'!$E$4:$AR$4</c:f>
              <c:multiLvlStrCache>
                <c:ptCount val="1"/>
                <c:lvl>
                  <c:pt idx="0">
                    <c:v>2066</c:v>
                  </c:pt>
                </c:lvl>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multiLvlStrCache>
            </c:multiLvlStrRef>
          </c:cat>
          <c:val>
            <c:numRef>
              <c:f>'24_CONTINGENT_LIABILITIES'!$E$11:$AR$11</c:f>
              <c:numCache>
                <c:formatCode>#,##0.0;\(#,##0.0\);\-</c:formatCode>
                <c:ptCount val="40"/>
                <c:pt idx="0">
                  <c:v>89.0187599503256</c:v>
                </c:pt>
                <c:pt idx="1">
                  <c:v>169.596974726182</c:v>
                </c:pt>
                <c:pt idx="2">
                  <c:v>225.401649065097</c:v>
                </c:pt>
                <c:pt idx="3">
                  <c:v>216.392632116313</c:v>
                </c:pt>
                <c:pt idx="4">
                  <c:v>211.357816647743</c:v>
                </c:pt>
                <c:pt idx="5">
                  <c:v>205.812680715016</c:v>
                </c:pt>
                <c:pt idx="6">
                  <c:v>199.723631794177</c:v>
                </c:pt>
                <c:pt idx="7">
                  <c:v>191.280057679758</c:v>
                </c:pt>
                <c:pt idx="8">
                  <c:v>186.479797972378</c:v>
                </c:pt>
                <c:pt idx="9">
                  <c:v>181.37362545464</c:v>
                </c:pt>
                <c:pt idx="10">
                  <c:v>175.969079281617</c:v>
                </c:pt>
                <c:pt idx="11">
                  <c:v>170.279509487473</c:v>
                </c:pt>
                <c:pt idx="12">
                  <c:v>164.325331136188</c:v>
                </c:pt>
                <c:pt idx="13">
                  <c:v>158.135497358765</c:v>
                </c:pt>
                <c:pt idx="14">
                  <c:v>151.749226574255</c:v>
                </c:pt>
                <c:pt idx="15">
                  <c:v>145.218024683743</c:v>
                </c:pt>
                <c:pt idx="16">
                  <c:v>138.608049357796</c:v>
                </c:pt>
                <c:pt idx="17">
                  <c:v>132.002870835993</c:v>
                </c:pt>
                <c:pt idx="18">
                  <c:v>117.294943333022</c:v>
                </c:pt>
                <c:pt idx="19">
                  <c:v>109.737409119624</c:v>
                </c:pt>
                <c:pt idx="20">
                  <c:v>100.834808468007</c:v>
                </c:pt>
                <c:pt idx="21">
                  <c:v>90.3811526863128</c:v>
                </c:pt>
                <c:pt idx="22">
                  <c:v>78.1394702043836</c:v>
                </c:pt>
                <c:pt idx="23">
                  <c:v>66.9518478343071</c:v>
                </c:pt>
                <c:pt idx="24">
                  <c:v>66.387780844815</c:v>
                </c:pt>
                <c:pt idx="25">
                  <c:v>67.1586519179279</c:v>
                </c:pt>
                <c:pt idx="26">
                  <c:v>67.944940412503</c:v>
                </c:pt>
                <c:pt idx="27">
                  <c:v>68.7469546769697</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1"/>
        </c:ser>
        <c:hiLowLines>
          <c:spPr>
            <a:ln w="0">
              <a:noFill/>
            </a:ln>
          </c:spPr>
        </c:hiLowLines>
        <c:marker val="0"/>
        <c:axId val="42535566"/>
        <c:axId val="22588283"/>
      </c:lineChart>
      <c:catAx>
        <c:axId val="425355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588283"/>
        <c:crosses val="autoZero"/>
        <c:auto val="1"/>
        <c:lblAlgn val="ctr"/>
        <c:lblOffset val="100"/>
        <c:noMultiLvlLbl val="0"/>
      </c:catAx>
      <c:valAx>
        <c:axId val="2258828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USDm</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53556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Debt service vs CFADS (USDm)</a:t>
            </a:r>
          </a:p>
        </c:rich>
      </c:tx>
      <c:overlay val="0"/>
      <c:spPr>
        <a:noFill/>
        <a:ln w="0">
          <a:noFill/>
        </a:ln>
      </c:spPr>
    </c:title>
    <c:autoTitleDeleted val="0"/>
    <c:plotArea>
      <c:lineChart>
        <c:grouping val="standard"/>
        <c:varyColors val="0"/>
        <c:ser>
          <c:idx val="0"/>
          <c:order val="0"/>
          <c:tx>
            <c:strRef>
              <c:f>"CFADS"</c:f>
              <c:strCache>
                <c:ptCount val="1"/>
                <c:pt idx="0">
                  <c:v>CFADS</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'06_CONSTRUCTION'!$E$4:$AR$4</c:f>
              <c:multiLvlStrCache>
                <c:ptCount val="1"/>
                <c:lvl>
                  <c:pt idx="0">
                    <c:v>2066</c:v>
                  </c:pt>
                </c:lvl>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multiLvlStrCache>
            </c:multiLvlStrRef>
          </c:cat>
          <c:val>
            <c:numRef>
              <c:f>'20_CASH_FLOW'!$E$19:$AR$19</c:f>
              <c:numCache>
                <c:formatCode>#,##0.0;\(#,##0.0\);\-</c:formatCode>
                <c:ptCount val="40"/>
                <c:pt idx="0">
                  <c:v>0</c:v>
                </c:pt>
                <c:pt idx="1">
                  <c:v>-0</c:v>
                </c:pt>
                <c:pt idx="2">
                  <c:v>-0</c:v>
                </c:pt>
                <c:pt idx="3">
                  <c:v>22.4303783686298</c:v>
                </c:pt>
                <c:pt idx="4">
                  <c:v>27.6004064535552</c:v>
                </c:pt>
                <c:pt idx="5">
                  <c:v>27.8248354392243</c:v>
                </c:pt>
                <c:pt idx="6">
                  <c:v>28.0537530046067</c:v>
                </c:pt>
                <c:pt idx="7">
                  <c:v>28.2872489212969</c:v>
                </c:pt>
                <c:pt idx="8">
                  <c:v>25.7540939432773</c:v>
                </c:pt>
                <c:pt idx="9">
                  <c:v>25.7752687915638</c:v>
                </c:pt>
                <c:pt idx="10">
                  <c:v>25.7853411231022</c:v>
                </c:pt>
                <c:pt idx="11">
                  <c:v>25.7831668064603</c:v>
                </c:pt>
                <c:pt idx="12">
                  <c:v>25.7675050610896</c:v>
                </c:pt>
                <c:pt idx="13">
                  <c:v>25.737010623024</c:v>
                </c:pt>
                <c:pt idx="14">
                  <c:v>25.6902252817864</c:v>
                </c:pt>
                <c:pt idx="15">
                  <c:v>25.6255687381607</c:v>
                </c:pt>
                <c:pt idx="16">
                  <c:v>25.5413287284539</c:v>
                </c:pt>
                <c:pt idx="17">
                  <c:v>25.4356503565279</c:v>
                </c:pt>
                <c:pt idx="18">
                  <c:v>25.3065245701761</c:v>
                </c:pt>
                <c:pt idx="19">
                  <c:v>25.1517757133511</c:v>
                </c:pt>
                <c:pt idx="20">
                  <c:v>25.3632120195611</c:v>
                </c:pt>
                <c:pt idx="21">
                  <c:v>25.5788770518952</c:v>
                </c:pt>
                <c:pt idx="22">
                  <c:v>25.7988553848761</c:v>
                </c:pt>
                <c:pt idx="23">
                  <c:v>22.908542900734</c:v>
                </c:pt>
                <c:pt idx="24">
                  <c:v>23.1374083583673</c:v>
                </c:pt>
                <c:pt idx="25">
                  <c:v>23.3708511251532</c:v>
                </c:pt>
                <c:pt idx="26">
                  <c:v>23.6089627472749</c:v>
                </c:pt>
                <c:pt idx="27">
                  <c:v>23.851836601839</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1"/>
        </c:ser>
        <c:ser>
          <c:idx val="1"/>
          <c:order val="1"/>
          <c:tx>
            <c:strRef>
              <c:f>"Debt service"</c:f>
              <c:strCache>
                <c:ptCount val="1"/>
                <c:pt idx="0">
                  <c:v>Debt service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'06_CONSTRUCTION'!$E$4:$AR$4</c:f>
              <c:multiLvlStrCache>
                <c:ptCount val="1"/>
                <c:lvl>
                  <c:pt idx="0">
                    <c:v>2066</c:v>
                  </c:pt>
                </c:lvl>
                <c:lvl>
                  <c:pt idx="0">
                    <c:v>2065</c:v>
                  </c:pt>
                </c:lvl>
                <c:lvl>
                  <c:pt idx="0">
                    <c:v>2064</c:v>
                  </c:pt>
                </c:lvl>
                <c:lvl>
                  <c:pt idx="0">
                    <c:v>2063</c:v>
                  </c:pt>
                </c:lvl>
                <c:lvl>
                  <c:pt idx="0">
                    <c:v>2062</c:v>
                  </c:pt>
                </c:lvl>
                <c:lvl>
                  <c:pt idx="0">
                    <c:v>2061</c:v>
                  </c:pt>
                </c:lvl>
                <c:lvl>
                  <c:pt idx="0">
                    <c:v>2060</c:v>
                  </c:pt>
                </c:lvl>
                <c:lvl>
                  <c:pt idx="0">
                    <c:v>2059</c:v>
                  </c:pt>
                </c:lvl>
                <c:lvl>
                  <c:pt idx="0">
                    <c:v>2058</c:v>
                  </c:pt>
                </c:lvl>
                <c:lvl>
                  <c:pt idx="0">
                    <c:v>2057</c:v>
                  </c:pt>
                </c:lvl>
                <c:lvl>
                  <c:pt idx="0">
                    <c:v>2056</c:v>
                  </c:pt>
                </c:lvl>
                <c:lvl>
                  <c:pt idx="0">
                    <c:v>2055</c:v>
                  </c:pt>
                </c:lvl>
                <c:lvl>
                  <c:pt idx="0">
                    <c:v>2054</c:v>
                  </c:pt>
                </c:lvl>
                <c:lvl>
                  <c:pt idx="0">
                    <c:v>2053</c:v>
                  </c:pt>
                </c:lvl>
                <c:lvl>
                  <c:pt idx="0">
                    <c:v>2052</c:v>
                  </c:pt>
                </c:lvl>
                <c:lvl>
                  <c:pt idx="0">
                    <c:v>2051</c:v>
                  </c:pt>
                </c:lvl>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multiLvlStrCache>
            </c:multiLvlStrRef>
          </c:cat>
          <c:val>
            <c:numRef>
              <c:f>'18_DEBT'!$E$40:$AR$40</c:f>
              <c:numCache>
                <c:formatCode>#,##0.0;\(#,##0.0\);\-</c:formatCode>
                <c:ptCount val="40"/>
                <c:pt idx="0">
                  <c:v>0</c:v>
                </c:pt>
                <c:pt idx="1">
                  <c:v>0</c:v>
                </c:pt>
                <c:pt idx="2">
                  <c:v>0</c:v>
                </c:pt>
                <c:pt idx="3">
                  <c:v>14.6287866578167</c:v>
                </c:pt>
                <c:pt idx="4">
                  <c:v>18.0724810703403</c:v>
                </c:pt>
                <c:pt idx="5">
                  <c:v>18.2150986212921</c:v>
                </c:pt>
                <c:pt idx="6">
                  <c:v>18.360568523263</c:v>
                </c:pt>
                <c:pt idx="7">
                  <c:v>18.5089478232734</c:v>
                </c:pt>
                <c:pt idx="8">
                  <c:v>15.1085256802575</c:v>
                </c:pt>
                <c:pt idx="9">
                  <c:v>15.216587356869</c:v>
                </c:pt>
                <c:pt idx="10">
                  <c:v>15.3268102670127</c:v>
                </c:pt>
                <c:pt idx="11">
                  <c:v>15.4392376353594</c:v>
                </c:pt>
                <c:pt idx="12">
                  <c:v>15.5539135510729</c:v>
                </c:pt>
                <c:pt idx="13">
                  <c:v>15.6708829851008</c:v>
                </c:pt>
                <c:pt idx="14">
                  <c:v>15.7901918078091</c:v>
                </c:pt>
                <c:pt idx="15">
                  <c:v>15.9118868069717</c:v>
                </c:pt>
                <c:pt idx="16">
                  <c:v>16.0360157061175</c:v>
                </c:pt>
                <c:pt idx="17">
                  <c:v>16.1626271832462</c:v>
                </c:pt>
                <c:pt idx="18">
                  <c:v>16.2917708899173</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1"/>
        </c:ser>
        <c:hiLowLines>
          <c:spPr>
            <a:ln w="0">
              <a:noFill/>
            </a:ln>
          </c:spPr>
        </c:hiLowLines>
        <c:marker val="0"/>
        <c:axId val="56873943"/>
        <c:axId val="68825032"/>
      </c:lineChart>
      <c:catAx>
        <c:axId val="5687394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825032"/>
        <c:crosses val="autoZero"/>
        <c:auto val="1"/>
        <c:lblAlgn val="ctr"/>
        <c:lblOffset val="100"/>
        <c:noMultiLvlLbl val="0"/>
      </c:catAx>
      <c:valAx>
        <c:axId val="688250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USDm</a:t>
                </a:r>
              </a:p>
            </c:rich>
          </c:tx>
          <c:overlay val="0"/>
          <c:spPr>
            <a:noFill/>
            <a:ln w="0">
              <a:noFill/>
            </a:ln>
          </c:spPr>
        </c:title>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87394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2</xdr:col>
      <xdr:colOff>1116720</xdr:colOff>
      <xdr:row>7</xdr:row>
      <xdr:rowOff>27360</xdr:rowOff>
    </xdr:to>
    <xdr:pic>
      <xdr:nvPicPr>
        <xdr:cNvPr id="0" name="Image 1" descr="Picture"/>
        <xdr:cNvPicPr/>
      </xdr:nvPicPr>
      <xdr:blipFill>
        <a:blip r:embed="rId1"/>
        <a:stretch/>
      </xdr:blipFill>
      <xdr:spPr>
        <a:xfrm>
          <a:off x="302400" y="228600"/>
          <a:ext cx="3427920" cy="13989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16</xdr:col>
      <xdr:colOff>447120</xdr:colOff>
      <xdr:row>15</xdr:row>
      <xdr:rowOff>12600</xdr:rowOff>
    </xdr:to>
    <xdr:graphicFrame>
      <xdr:nvGraphicFramePr>
        <xdr:cNvPr id="1" name="Chart 1"/>
        <xdr:cNvGraphicFramePr/>
      </xdr:nvGraphicFramePr>
      <xdr:xfrm>
        <a:off x="18476640" y="379800"/>
        <a:ext cx="5758920" cy="251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16</xdr:row>
      <xdr:rowOff>160560</xdr:rowOff>
    </xdr:from>
    <xdr:to>
      <xdr:col>16</xdr:col>
      <xdr:colOff>447120</xdr:colOff>
      <xdr:row>30</xdr:row>
      <xdr:rowOff>12600</xdr:rowOff>
    </xdr:to>
    <xdr:graphicFrame>
      <xdr:nvGraphicFramePr>
        <xdr:cNvPr id="2" name="Chart 2"/>
        <xdr:cNvGraphicFramePr/>
      </xdr:nvGraphicFramePr>
      <xdr:xfrm>
        <a:off x="18476640" y="3237120"/>
        <a:ext cx="5758920" cy="251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31</xdr:row>
      <xdr:rowOff>160560</xdr:rowOff>
    </xdr:from>
    <xdr:to>
      <xdr:col>16</xdr:col>
      <xdr:colOff>447120</xdr:colOff>
      <xdr:row>45</xdr:row>
      <xdr:rowOff>12600</xdr:rowOff>
    </xdr:to>
    <xdr:graphicFrame>
      <xdr:nvGraphicFramePr>
        <xdr:cNvPr id="3" name="Chart 3"/>
        <xdr:cNvGraphicFramePr/>
      </xdr:nvGraphicFramePr>
      <xdr:xfrm>
        <a:off x="18476640" y="6094800"/>
        <a:ext cx="5758920" cy="25189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1</xdr:row>
      <xdr:rowOff>160560</xdr:rowOff>
    </xdr:from>
    <xdr:to>
      <xdr:col>26</xdr:col>
      <xdr:colOff>447480</xdr:colOff>
      <xdr:row>15</xdr:row>
      <xdr:rowOff>12600</xdr:rowOff>
    </xdr:to>
    <xdr:graphicFrame>
      <xdr:nvGraphicFramePr>
        <xdr:cNvPr id="4" name="Chart 4"/>
        <xdr:cNvGraphicFramePr/>
      </xdr:nvGraphicFramePr>
      <xdr:xfrm>
        <a:off x="26064720" y="379800"/>
        <a:ext cx="5759280" cy="25189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Bankable_Hydro_Model.xlsx" TargetMode="External"/><Relationship Id="rId2" Type="http://schemas.openxmlformats.org/officeDocument/2006/relationships/hyperlink" Target="Bankable_Hydro_Model.xlsx" TargetMode="External"/><Relationship Id="rId3" Type="http://schemas.openxmlformats.org/officeDocument/2006/relationships/hyperlink" Target="Bankable_Hydro_Model.xlsx" TargetMode="External"/><Relationship Id="rId4" Type="http://schemas.openxmlformats.org/officeDocument/2006/relationships/hyperlink" Target="Bankable_Hydro_Model.xlsx" TargetMode="External"/><Relationship Id="rId5" Type="http://schemas.openxmlformats.org/officeDocument/2006/relationships/hyperlink" Target="Bankable_Hydro_Model.xlsx" TargetMode="External"/><Relationship Id="rId6" Type="http://schemas.openxmlformats.org/officeDocument/2006/relationships/hyperlink" Target="Bankable_Hydro_Model.xlsx" TargetMode="External"/><Relationship Id="rId7" Type="http://schemas.openxmlformats.org/officeDocument/2006/relationships/drawing" Target="../drawings/drawing1.xml"/>
</Relationships>
</file>

<file path=xl/worksheets/_rels/sheet3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H46"/>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4"/>
    <col collapsed="false" customWidth="true" hidden="false" outlineLevel="0" max="2" min="2" style="1" width="26"/>
    <col collapsed="false" customWidth="true" hidden="false" outlineLevel="0" max="7" min="3" style="1" width="22"/>
    <col collapsed="false" customWidth="true" hidden="false" outlineLevel="0" max="10" min="8" style="1" width="3"/>
  </cols>
  <sheetData>
    <row r="1" customFormat="false" ht="18" hidden="false" customHeight="true" outlineLevel="0" collapsed="false">
      <c r="A1" s="2"/>
      <c r="B1" s="2"/>
      <c r="C1" s="2"/>
      <c r="D1" s="2"/>
      <c r="E1" s="2"/>
      <c r="F1" s="2"/>
      <c r="G1" s="2"/>
      <c r="H1" s="2"/>
    </row>
    <row r="2" customFormat="false" ht="18" hidden="false" customHeight="true" outlineLevel="0" collapsed="false">
      <c r="A2" s="2"/>
      <c r="B2" s="2"/>
      <c r="C2" s="2"/>
      <c r="D2" s="2"/>
      <c r="E2" s="2"/>
      <c r="F2" s="2"/>
      <c r="G2" s="2"/>
      <c r="H2" s="2"/>
    </row>
    <row r="3" customFormat="false" ht="18" hidden="false" customHeight="true" outlineLevel="0" collapsed="false">
      <c r="A3" s="2"/>
      <c r="B3" s="2"/>
      <c r="C3" s="2"/>
      <c r="D3" s="2"/>
      <c r="E3" s="2"/>
      <c r="F3" s="2"/>
      <c r="G3" s="2"/>
      <c r="H3" s="2"/>
    </row>
    <row r="4" customFormat="false" ht="18" hidden="false" customHeight="true" outlineLevel="0" collapsed="false">
      <c r="A4" s="2"/>
      <c r="B4" s="2"/>
      <c r="C4" s="2"/>
      <c r="D4" s="2"/>
      <c r="E4" s="2"/>
      <c r="F4" s="2"/>
      <c r="G4" s="2"/>
      <c r="H4" s="2"/>
    </row>
    <row r="5" customFormat="false" ht="18" hidden="false" customHeight="true" outlineLevel="0" collapsed="false">
      <c r="A5" s="2"/>
      <c r="B5" s="2"/>
      <c r="C5" s="2"/>
      <c r="D5" s="2"/>
      <c r="E5" s="2"/>
      <c r="F5" s="2"/>
      <c r="G5" s="2"/>
      <c r="H5" s="2"/>
    </row>
    <row r="6" customFormat="false" ht="18" hidden="false" customHeight="true" outlineLevel="0" collapsed="false">
      <c r="A6" s="2"/>
      <c r="B6" s="2"/>
      <c r="C6" s="2"/>
      <c r="D6" s="2"/>
      <c r="E6" s="2"/>
      <c r="F6" s="2"/>
      <c r="G6" s="2"/>
      <c r="H6" s="2"/>
    </row>
    <row r="7" customFormat="false" ht="18" hidden="false" customHeight="true" outlineLevel="0" collapsed="false">
      <c r="A7" s="2"/>
      <c r="B7" s="2"/>
      <c r="C7" s="2"/>
      <c r="D7" s="2"/>
      <c r="E7" s="2"/>
      <c r="F7" s="2"/>
      <c r="G7" s="2"/>
      <c r="H7" s="2"/>
    </row>
    <row r="8" customFormat="false" ht="18" hidden="false" customHeight="true" outlineLevel="0" collapsed="false">
      <c r="A8" s="2"/>
      <c r="B8" s="3" t="s">
        <v>0</v>
      </c>
      <c r="C8" s="2"/>
      <c r="D8" s="2"/>
      <c r="E8" s="2"/>
      <c r="F8" s="2"/>
      <c r="G8" s="2"/>
      <c r="H8" s="2"/>
    </row>
    <row r="9" customFormat="false" ht="18" hidden="false" customHeight="true" outlineLevel="0" collapsed="false">
      <c r="A9" s="2"/>
      <c r="B9" s="2"/>
      <c r="C9" s="2"/>
      <c r="D9" s="2"/>
      <c r="E9" s="2"/>
      <c r="F9" s="2"/>
      <c r="G9" s="2"/>
      <c r="H9" s="2"/>
    </row>
    <row r="10" customFormat="false" ht="18" hidden="false" customHeight="true" outlineLevel="0" collapsed="false">
      <c r="A10" s="2"/>
      <c r="B10" s="4" t="s">
        <v>1</v>
      </c>
      <c r="C10" s="2"/>
      <c r="D10" s="2"/>
      <c r="E10" s="2"/>
      <c r="F10" s="2"/>
      <c r="G10" s="2"/>
      <c r="H10" s="2"/>
    </row>
    <row r="11" customFormat="false" ht="18" hidden="false" customHeight="true" outlineLevel="0" collapsed="false">
      <c r="A11" s="2"/>
      <c r="B11" s="2"/>
      <c r="C11" s="2"/>
      <c r="D11" s="2"/>
      <c r="E11" s="2"/>
      <c r="F11" s="2"/>
      <c r="G11" s="2"/>
      <c r="H11" s="2"/>
    </row>
    <row r="12" customFormat="false" ht="39.75" hidden="false" customHeight="true" outlineLevel="0" collapsed="false">
      <c r="A12" s="2"/>
      <c r="B12" s="5" t="s">
        <v>2</v>
      </c>
      <c r="C12" s="2"/>
      <c r="D12" s="2"/>
      <c r="E12" s="2"/>
      <c r="F12" s="2"/>
      <c r="G12" s="2"/>
      <c r="H12" s="2"/>
    </row>
    <row r="13" customFormat="false" ht="39.75" hidden="false" customHeight="true" outlineLevel="0" collapsed="false">
      <c r="A13" s="2"/>
      <c r="B13" s="6" t="s">
        <v>3</v>
      </c>
      <c r="C13" s="2"/>
      <c r="D13" s="2"/>
      <c r="E13" s="2"/>
      <c r="F13" s="2"/>
      <c r="G13" s="2"/>
      <c r="H13" s="2"/>
    </row>
    <row r="14" customFormat="false" ht="18" hidden="false" customHeight="true" outlineLevel="0" collapsed="false">
      <c r="A14" s="2"/>
      <c r="B14" s="2"/>
      <c r="C14" s="2"/>
      <c r="D14" s="2"/>
      <c r="E14" s="2"/>
      <c r="F14" s="2"/>
      <c r="G14" s="2"/>
      <c r="H14" s="2"/>
    </row>
    <row r="15" customFormat="false" ht="24" hidden="false" customHeight="true" outlineLevel="0" collapsed="false">
      <c r="A15" s="2"/>
      <c r="B15" s="7" t="s">
        <v>4</v>
      </c>
      <c r="C15" s="2"/>
      <c r="D15" s="2"/>
      <c r="E15" s="2"/>
      <c r="F15" s="2"/>
      <c r="G15" s="2"/>
      <c r="H15" s="2"/>
    </row>
    <row r="16" customFormat="false" ht="18" hidden="false" customHeight="true" outlineLevel="0" collapsed="false">
      <c r="A16" s="2"/>
      <c r="B16" s="8" t="s">
        <v>5</v>
      </c>
      <c r="C16" s="2"/>
      <c r="D16" s="2"/>
      <c r="E16" s="2"/>
      <c r="F16" s="2"/>
      <c r="G16" s="2"/>
      <c r="H16" s="2"/>
    </row>
    <row r="17" customFormat="false" ht="18" hidden="false" customHeight="true" outlineLevel="0" collapsed="false">
      <c r="A17" s="2"/>
      <c r="B17" s="2"/>
      <c r="C17" s="2"/>
      <c r="D17" s="2"/>
      <c r="E17" s="2"/>
      <c r="F17" s="2"/>
      <c r="G17" s="2"/>
      <c r="H17" s="2"/>
    </row>
    <row r="18" customFormat="false" ht="18" hidden="false" customHeight="true" outlineLevel="0" collapsed="false">
      <c r="A18" s="2"/>
      <c r="B18" s="9" t="s">
        <v>6</v>
      </c>
      <c r="C18" s="2"/>
      <c r="D18" s="2"/>
      <c r="E18" s="2"/>
      <c r="F18" s="2"/>
      <c r="G18" s="2"/>
      <c r="H18" s="2"/>
    </row>
    <row r="19" customFormat="false" ht="18" hidden="false" customHeight="true" outlineLevel="0" collapsed="false">
      <c r="A19" s="2"/>
      <c r="B19" s="10" t="s">
        <v>7</v>
      </c>
      <c r="C19" s="2"/>
      <c r="D19" s="2"/>
      <c r="E19" s="2"/>
      <c r="F19" s="2"/>
      <c r="G19" s="2"/>
      <c r="H19" s="2"/>
    </row>
    <row r="20" customFormat="false" ht="18" hidden="false" customHeight="true" outlineLevel="0" collapsed="false">
      <c r="A20" s="2"/>
      <c r="B20" s="2"/>
      <c r="C20" s="2"/>
      <c r="D20" s="2"/>
      <c r="E20" s="2"/>
      <c r="F20" s="2"/>
      <c r="G20" s="2"/>
      <c r="H20" s="2"/>
    </row>
    <row r="21" customFormat="false" ht="18" hidden="false" customHeight="true" outlineLevel="0" collapsed="false">
      <c r="A21" s="2"/>
      <c r="B21" s="11" t="s">
        <v>8</v>
      </c>
      <c r="C21" s="2"/>
      <c r="D21" s="2"/>
      <c r="E21" s="2"/>
      <c r="F21" s="2"/>
      <c r="G21" s="2"/>
      <c r="H21" s="2"/>
    </row>
    <row r="22" customFormat="false" ht="18" hidden="false" customHeight="true" outlineLevel="0" collapsed="false">
      <c r="A22" s="2"/>
      <c r="B22" s="11" t="s">
        <v>9</v>
      </c>
      <c r="C22" s="2"/>
      <c r="D22" s="2"/>
      <c r="E22" s="2"/>
      <c r="F22" s="2"/>
      <c r="G22" s="2"/>
      <c r="H22" s="2"/>
    </row>
    <row r="23" customFormat="false" ht="18" hidden="false" customHeight="true" outlineLevel="0" collapsed="false">
      <c r="A23" s="2"/>
      <c r="B23" s="2"/>
      <c r="C23" s="2"/>
      <c r="D23" s="2"/>
      <c r="E23" s="2"/>
      <c r="F23" s="2"/>
      <c r="G23" s="2"/>
      <c r="H23" s="2"/>
    </row>
    <row r="24" customFormat="false" ht="18" hidden="false" customHeight="true" outlineLevel="0" collapsed="false">
      <c r="A24" s="2"/>
      <c r="B24" s="3" t="s">
        <v>10</v>
      </c>
      <c r="C24" s="2"/>
      <c r="D24" s="2"/>
      <c r="E24" s="2"/>
      <c r="F24" s="2"/>
      <c r="G24" s="2"/>
      <c r="H24" s="2"/>
    </row>
    <row r="25" customFormat="false" ht="18" hidden="false" customHeight="true" outlineLevel="0" collapsed="false">
      <c r="A25" s="2"/>
      <c r="B25" s="11" t="s">
        <v>11</v>
      </c>
      <c r="C25" s="2"/>
      <c r="D25" s="12" t="str">
        <f aca="false">'30A_CLOSE_READINESS'!$C$34</f>
        <v>STOP : une porte critique n'est pas franchie</v>
      </c>
      <c r="E25" s="2"/>
      <c r="F25" s="2"/>
      <c r="G25" s="2"/>
      <c r="H25" s="2"/>
    </row>
    <row r="26" customFormat="false" ht="18" hidden="false" customHeight="true" outlineLevel="0" collapsed="false">
      <c r="A26" s="2"/>
      <c r="B26" s="11" t="s">
        <v>12</v>
      </c>
      <c r="C26" s="2"/>
      <c r="D26" s="12" t="str">
        <f aca="false">'30A_CLOSE_READINESS'!$C$29&amp;" sur 23"</f>
        <v>6 sur 23</v>
      </c>
      <c r="E26" s="2"/>
      <c r="F26" s="2"/>
      <c r="G26" s="2"/>
      <c r="H26" s="2"/>
    </row>
    <row r="27" customFormat="false" ht="18" hidden="false" customHeight="true" outlineLevel="0" collapsed="false">
      <c r="A27" s="2"/>
      <c r="B27" s="11" t="s">
        <v>13</v>
      </c>
      <c r="C27" s="2"/>
      <c r="D27" s="12" t="str">
        <f aca="false">'30_BANKABILITY'!$C$58</f>
        <v>NOT BANKABLE : lacune(s) critique(s) à combler</v>
      </c>
      <c r="E27" s="2"/>
      <c r="F27" s="2"/>
      <c r="G27" s="2"/>
      <c r="H27" s="2"/>
    </row>
    <row r="28" customFormat="false" ht="18" hidden="false" customHeight="true" outlineLevel="0" collapsed="false">
      <c r="A28" s="2"/>
      <c r="B28" s="11" t="s">
        <v>14</v>
      </c>
      <c r="C28" s="2"/>
      <c r="D28" s="12" t="str">
        <f aca="false">'26_DEBT_SUSTAINABILITY'!$C$35</f>
        <v>LOW : faible pression budgétaire supplémentaire</v>
      </c>
      <c r="E28" s="2"/>
      <c r="F28" s="2"/>
      <c r="G28" s="2"/>
      <c r="H28" s="2"/>
    </row>
    <row r="29" customFormat="false" ht="18" hidden="false" customHeight="true" outlineLevel="0" collapsed="false">
      <c r="A29" s="2"/>
      <c r="B29" s="11" t="s">
        <v>15</v>
      </c>
      <c r="C29" s="2"/>
      <c r="D29" s="12" t="str">
        <f aca="false">'33_CHECKS'!$C$19</f>
        <v>ALL OK</v>
      </c>
      <c r="E29" s="2"/>
      <c r="F29" s="2"/>
      <c r="G29" s="2"/>
      <c r="H29" s="2"/>
    </row>
    <row r="30" customFormat="false" ht="18" hidden="false" customHeight="true" outlineLevel="0" collapsed="false">
      <c r="A30" s="2"/>
      <c r="B30" s="11" t="s">
        <v>16</v>
      </c>
      <c r="C30" s="2"/>
      <c r="D30" s="12" t="str">
        <f aca="false">'35_BOOK_CHECK'!E32</f>
        <v>ALL PASS</v>
      </c>
      <c r="E30" s="2"/>
      <c r="F30" s="2"/>
      <c r="G30" s="2"/>
      <c r="H30" s="2"/>
    </row>
    <row r="31" customFormat="false" ht="18" hidden="false" customHeight="true" outlineLevel="0" collapsed="false">
      <c r="A31" s="2"/>
      <c r="B31" s="2"/>
      <c r="C31" s="2"/>
      <c r="D31" s="2"/>
      <c r="E31" s="2"/>
      <c r="F31" s="2"/>
      <c r="G31" s="2"/>
      <c r="H31" s="2"/>
    </row>
    <row r="32" customFormat="false" ht="18" hidden="false" customHeight="true" outlineLevel="0" collapsed="false">
      <c r="A32" s="2"/>
      <c r="B32" s="3" t="s">
        <v>17</v>
      </c>
      <c r="C32" s="2"/>
      <c r="D32" s="2"/>
      <c r="E32" s="2"/>
      <c r="F32" s="2"/>
      <c r="G32" s="2"/>
      <c r="H32" s="2"/>
    </row>
    <row r="33" customFormat="false" ht="18" hidden="false" customHeight="true" outlineLevel="0" collapsed="false">
      <c r="A33" s="2"/>
      <c r="B33" s="13" t="s">
        <v>18</v>
      </c>
      <c r="C33" s="11" t="s">
        <v>19</v>
      </c>
      <c r="D33" s="2"/>
      <c r="E33" s="2"/>
      <c r="F33" s="2"/>
      <c r="G33" s="2"/>
      <c r="H33" s="2"/>
    </row>
    <row r="34" customFormat="false" ht="18" hidden="false" customHeight="true" outlineLevel="0" collapsed="false">
      <c r="A34" s="2"/>
      <c r="B34" s="13" t="s">
        <v>20</v>
      </c>
      <c r="C34" s="11" t="s">
        <v>21</v>
      </c>
      <c r="D34" s="2"/>
      <c r="E34" s="2"/>
      <c r="F34" s="2"/>
      <c r="G34" s="2"/>
      <c r="H34" s="2"/>
    </row>
    <row r="35" customFormat="false" ht="18" hidden="false" customHeight="true" outlineLevel="0" collapsed="false">
      <c r="A35" s="2"/>
      <c r="B35" s="13" t="s">
        <v>22</v>
      </c>
      <c r="C35" s="11" t="s">
        <v>23</v>
      </c>
      <c r="D35" s="2"/>
      <c r="E35" s="2"/>
      <c r="F35" s="2"/>
      <c r="G35" s="2"/>
      <c r="H35" s="2"/>
    </row>
    <row r="36" customFormat="false" ht="18" hidden="false" customHeight="true" outlineLevel="0" collapsed="false">
      <c r="A36" s="2"/>
      <c r="B36" s="13" t="s">
        <v>24</v>
      </c>
      <c r="C36" s="11" t="s">
        <v>25</v>
      </c>
      <c r="D36" s="2"/>
      <c r="E36" s="2"/>
      <c r="F36" s="2"/>
      <c r="G36" s="2"/>
      <c r="H36" s="2"/>
    </row>
    <row r="37" customFormat="false" ht="18" hidden="false" customHeight="true" outlineLevel="0" collapsed="false">
      <c r="A37" s="2"/>
      <c r="B37" s="13" t="s">
        <v>26</v>
      </c>
      <c r="C37" s="11" t="s">
        <v>27</v>
      </c>
      <c r="D37" s="2"/>
      <c r="E37" s="2"/>
      <c r="F37" s="2"/>
      <c r="G37" s="2"/>
      <c r="H37" s="2"/>
    </row>
    <row r="38" customFormat="false" ht="18" hidden="false" customHeight="true" outlineLevel="0" collapsed="false">
      <c r="A38" s="2"/>
      <c r="B38" s="13" t="s">
        <v>28</v>
      </c>
      <c r="C38" s="11" t="s">
        <v>29</v>
      </c>
      <c r="D38" s="2"/>
      <c r="E38" s="2"/>
      <c r="F38" s="2"/>
      <c r="G38" s="2"/>
      <c r="H38" s="2"/>
    </row>
    <row r="39" customFormat="false" ht="18" hidden="false" customHeight="true" outlineLevel="0" collapsed="false">
      <c r="A39" s="2"/>
      <c r="B39" s="2"/>
      <c r="C39" s="2"/>
      <c r="D39" s="2"/>
      <c r="E39" s="2"/>
      <c r="F39" s="2"/>
      <c r="G39" s="2"/>
      <c r="H39" s="2"/>
    </row>
    <row r="40" customFormat="false" ht="18" hidden="false" customHeight="true" outlineLevel="0" collapsed="false">
      <c r="A40" s="2"/>
      <c r="B40" s="2"/>
      <c r="C40" s="2"/>
      <c r="D40" s="2"/>
      <c r="E40" s="2"/>
      <c r="F40" s="2"/>
      <c r="G40" s="2"/>
      <c r="H40" s="2"/>
    </row>
    <row r="41" customFormat="false" ht="18" hidden="false" customHeight="true" outlineLevel="0" collapsed="false">
      <c r="A41" s="2"/>
      <c r="B41" s="14" t="s">
        <v>30</v>
      </c>
      <c r="C41" s="2"/>
      <c r="D41" s="2"/>
      <c r="E41" s="2"/>
      <c r="F41" s="2"/>
      <c r="G41" s="2"/>
      <c r="H41" s="2"/>
    </row>
    <row r="42" customFormat="false" ht="18" hidden="false" customHeight="true" outlineLevel="0" collapsed="false">
      <c r="A42" s="2"/>
      <c r="B42" s="2"/>
      <c r="C42" s="2"/>
      <c r="D42" s="2"/>
      <c r="E42" s="2"/>
      <c r="F42" s="2"/>
      <c r="G42" s="2"/>
      <c r="H42" s="2"/>
    </row>
    <row r="43" customFormat="false" ht="18" hidden="false" customHeight="true" outlineLevel="0" collapsed="false">
      <c r="A43" s="2"/>
      <c r="B43" s="15" t="s">
        <v>31</v>
      </c>
      <c r="C43" s="2"/>
      <c r="D43" s="2"/>
      <c r="E43" s="2"/>
      <c r="F43" s="2"/>
      <c r="G43" s="2"/>
      <c r="H43" s="2"/>
    </row>
    <row r="44" customFormat="false" ht="18" hidden="false" customHeight="true" outlineLevel="0" collapsed="false">
      <c r="A44" s="2"/>
      <c r="B44" s="15" t="s">
        <v>32</v>
      </c>
      <c r="C44" s="2"/>
      <c r="D44" s="2"/>
      <c r="E44" s="2"/>
      <c r="F44" s="2"/>
      <c r="G44" s="2"/>
      <c r="H44" s="2"/>
    </row>
    <row r="45" customFormat="false" ht="18" hidden="false" customHeight="true" outlineLevel="0" collapsed="false">
      <c r="A45" s="2"/>
      <c r="B45" s="2"/>
      <c r="C45" s="2"/>
      <c r="D45" s="2"/>
      <c r="E45" s="2"/>
      <c r="F45" s="2"/>
      <c r="G45" s="2"/>
      <c r="H45" s="2"/>
    </row>
    <row r="46" customFormat="false" ht="18" hidden="false" customHeight="true" outlineLevel="0" collapsed="false">
      <c r="A46" s="2"/>
      <c r="B46" s="2"/>
      <c r="C46" s="2"/>
      <c r="D46" s="2"/>
      <c r="E46" s="2"/>
      <c r="F46" s="2"/>
      <c r="G46" s="2"/>
      <c r="H46" s="2"/>
    </row>
  </sheetData>
  <hyperlinks>
    <hyperlink ref="B33" r:id="rId1" location="'00_README'!A1" display="00_README"/>
    <hyperlink ref="B34" r:id="rId2" location="'01_CONTROL_PANEL'!A1" display="01_CONTROL_PANEL"/>
    <hyperlink ref="B35" r:id="rId3" location="'32_DASHBOARD'!A1" display="32_DASHBOARD"/>
    <hyperlink ref="B36" r:id="rId4" location="'30A_CLOSE_READINESS'!A1" display="30A_CLOSE_READINESS"/>
    <hyperlink ref="B37" r:id="rId5" location="'34_FRAMEWORK_MAP'!A1" display="34_FRAMEWORK_MAP"/>
    <hyperlink ref="B38" r:id="rId6" location="'33_CHECKS'!A1" display="33_CHECK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3.6"/>
    <col collapsed="false" customWidth="true" hidden="false" outlineLevel="0" max="2" min="2" style="1" width="110"/>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33</v>
      </c>
      <c r="B1" s="17"/>
      <c r="C1" s="17"/>
      <c r="D1" s="17"/>
      <c r="E1" s="17"/>
      <c r="F1" s="17"/>
      <c r="G1" s="17"/>
      <c r="H1" s="17"/>
      <c r="I1" s="17"/>
      <c r="J1" s="17"/>
    </row>
    <row r="2" customFormat="false" ht="15" hidden="false" customHeight="true" outlineLevel="0" collapsed="false">
      <c r="A2" s="18" t="s">
        <v>34</v>
      </c>
      <c r="B2" s="17"/>
      <c r="C2" s="17"/>
      <c r="D2" s="17"/>
      <c r="E2" s="17"/>
      <c r="F2" s="17"/>
      <c r="G2" s="17"/>
      <c r="H2" s="17"/>
      <c r="I2" s="17"/>
      <c r="J2" s="17"/>
    </row>
    <row r="4" customFormat="false" ht="30" hidden="false" customHeight="true" outlineLevel="0" collapsed="false">
      <c r="A4" s="19" t="s">
        <v>35</v>
      </c>
      <c r="B4" s="20" t="s">
        <v>36</v>
      </c>
    </row>
    <row r="5" customFormat="false" ht="30" hidden="false" customHeight="true" outlineLevel="0" collapsed="false">
      <c r="A5" s="19" t="s">
        <v>37</v>
      </c>
      <c r="B5" s="20" t="s">
        <v>38</v>
      </c>
    </row>
    <row r="6" customFormat="false" ht="30" hidden="false" customHeight="true" outlineLevel="0" collapsed="false">
      <c r="A6" s="19" t="s">
        <v>39</v>
      </c>
      <c r="B6" s="20" t="s">
        <v>40</v>
      </c>
    </row>
    <row r="7" customFormat="false" ht="30" hidden="false" customHeight="true" outlineLevel="0" collapsed="false">
      <c r="A7" s="19" t="s">
        <v>41</v>
      </c>
      <c r="B7" s="20" t="s">
        <v>42</v>
      </c>
    </row>
    <row r="8" customFormat="false" ht="30" hidden="false" customHeight="true" outlineLevel="0" collapsed="false">
      <c r="A8" s="19" t="s">
        <v>43</v>
      </c>
      <c r="B8" s="20" t="s">
        <v>44</v>
      </c>
    </row>
    <row r="9" customFormat="false" ht="30" hidden="false" customHeight="true" outlineLevel="0" collapsed="false">
      <c r="A9" s="19" t="s">
        <v>45</v>
      </c>
      <c r="B9" s="20" t="s">
        <v>46</v>
      </c>
    </row>
    <row r="10" customFormat="false" ht="30" hidden="false" customHeight="true" outlineLevel="0" collapsed="false">
      <c r="A10" s="19" t="s">
        <v>47</v>
      </c>
      <c r="B10" s="20" t="s">
        <v>48</v>
      </c>
    </row>
    <row r="11" customFormat="false" ht="30" hidden="false" customHeight="true" outlineLevel="0" collapsed="false">
      <c r="A11" s="19" t="s">
        <v>49</v>
      </c>
      <c r="B11" s="20" t="s">
        <v>50</v>
      </c>
    </row>
    <row r="12" customFormat="false" ht="30" hidden="false" customHeight="true" outlineLevel="0" collapsed="false">
      <c r="A12" s="19" t="s">
        <v>51</v>
      </c>
      <c r="B12" s="20" t="s">
        <v>52</v>
      </c>
    </row>
    <row r="13" customFormat="false" ht="30" hidden="false" customHeight="true" outlineLevel="0" collapsed="false">
      <c r="A13" s="19" t="s">
        <v>53</v>
      </c>
      <c r="B13" s="20" t="s">
        <v>54</v>
      </c>
    </row>
    <row r="14" customFormat="false" ht="30" hidden="false" customHeight="true" outlineLevel="0" collapsed="false">
      <c r="A14" s="19" t="s">
        <v>55</v>
      </c>
      <c r="B14" s="20" t="s">
        <v>56</v>
      </c>
    </row>
    <row r="15" customFormat="false" ht="30" hidden="false" customHeight="true" outlineLevel="0" collapsed="false">
      <c r="A15" s="19" t="s">
        <v>57</v>
      </c>
      <c r="B15" s="20" t="s">
        <v>58</v>
      </c>
    </row>
    <row r="16" customFormat="false" ht="30" hidden="false" customHeight="true" outlineLevel="0" collapsed="false">
      <c r="A16" s="19" t="s">
        <v>59</v>
      </c>
      <c r="B16" s="20" t="s">
        <v>60</v>
      </c>
    </row>
    <row r="17" customFormat="false" ht="30" hidden="false" customHeight="true" outlineLevel="0" collapsed="false">
      <c r="A17" s="19" t="s">
        <v>61</v>
      </c>
      <c r="B17" s="20" t="s">
        <v>62</v>
      </c>
    </row>
    <row r="18" customFormat="false" ht="30" hidden="false" customHeight="true" outlineLevel="0" collapsed="false">
      <c r="A18" s="19" t="s">
        <v>14</v>
      </c>
      <c r="B18" s="20" t="s">
        <v>63</v>
      </c>
    </row>
    <row r="19" customFormat="false" ht="30" hidden="false" customHeight="true" outlineLevel="0" collapsed="false">
      <c r="A19" s="19" t="s">
        <v>64</v>
      </c>
      <c r="B19" s="20" t="s">
        <v>65</v>
      </c>
    </row>
    <row r="20" customFormat="false" ht="30" hidden="false" customHeight="true" outlineLevel="0" collapsed="false">
      <c r="A20" s="19" t="s">
        <v>66</v>
      </c>
      <c r="B20" s="20" t="s">
        <v>67</v>
      </c>
    </row>
    <row r="21" customFormat="false" ht="30" hidden="false" customHeight="true" outlineLevel="0" collapsed="false">
      <c r="A21" s="19" t="s">
        <v>68</v>
      </c>
      <c r="B21" s="20"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70</v>
      </c>
      <c r="B1" s="17"/>
      <c r="C1" s="17"/>
      <c r="D1" s="17"/>
      <c r="E1" s="17"/>
      <c r="F1" s="17"/>
      <c r="G1" s="17"/>
      <c r="H1" s="17"/>
      <c r="I1" s="17"/>
      <c r="J1" s="17"/>
    </row>
    <row r="2" customFormat="false" ht="15" hidden="false" customHeight="true" outlineLevel="0" collapsed="false">
      <c r="A2" s="18" t="s">
        <v>71</v>
      </c>
      <c r="B2" s="17"/>
      <c r="C2" s="17"/>
      <c r="D2" s="17"/>
      <c r="E2" s="17"/>
      <c r="F2" s="17"/>
      <c r="G2" s="17"/>
      <c r="H2" s="17"/>
      <c r="I2" s="17"/>
      <c r="J2" s="17"/>
    </row>
    <row r="4" customFormat="false" ht="15" hidden="false" customHeight="true" outlineLevel="0" collapsed="false">
      <c r="A4" s="21" t="s">
        <v>72</v>
      </c>
      <c r="B4" s="22"/>
      <c r="C4" s="22"/>
      <c r="D4" s="22"/>
      <c r="E4" s="22"/>
      <c r="F4" s="22"/>
      <c r="G4" s="22"/>
      <c r="H4" s="22"/>
      <c r="I4" s="22"/>
      <c r="J4" s="22"/>
    </row>
    <row r="5" customFormat="false" ht="15" hidden="false" customHeight="true" outlineLevel="0" collapsed="false">
      <c r="A5" s="23" t="s">
        <v>73</v>
      </c>
      <c r="B5" s="23" t="s">
        <v>74</v>
      </c>
      <c r="C5" s="24" t="n">
        <v>1</v>
      </c>
      <c r="D5" s="25" t="s">
        <v>75</v>
      </c>
    </row>
    <row r="6" customFormat="false" ht="15" hidden="false" customHeight="true" outlineLevel="0" collapsed="false">
      <c r="A6" s="23" t="s">
        <v>76</v>
      </c>
      <c r="B6" s="23" t="s">
        <v>74</v>
      </c>
      <c r="C6" s="24" t="n">
        <v>1</v>
      </c>
      <c r="D6" s="25" t="s">
        <v>77</v>
      </c>
    </row>
    <row r="7" customFormat="false" ht="15" hidden="false" customHeight="true" outlineLevel="0" collapsed="false">
      <c r="A7" s="23" t="s">
        <v>78</v>
      </c>
      <c r="B7" s="23" t="s">
        <v>79</v>
      </c>
      <c r="C7" s="24" t="n">
        <v>4</v>
      </c>
      <c r="D7" s="25" t="s">
        <v>80</v>
      </c>
    </row>
    <row r="8" customFormat="false" ht="15" hidden="false" customHeight="true" outlineLevel="0" collapsed="false">
      <c r="A8" s="21" t="s">
        <v>81</v>
      </c>
      <c r="B8" s="22"/>
      <c r="C8" s="22"/>
      <c r="D8" s="22"/>
      <c r="E8" s="22"/>
      <c r="F8" s="22"/>
      <c r="G8" s="22"/>
      <c r="H8" s="22"/>
      <c r="I8" s="22"/>
      <c r="J8" s="22"/>
    </row>
    <row r="9" customFormat="false" ht="15" hidden="false" customHeight="true" outlineLevel="0" collapsed="false">
      <c r="A9" s="23" t="s">
        <v>82</v>
      </c>
      <c r="B9" s="23" t="s">
        <v>83</v>
      </c>
      <c r="C9" s="24" t="n">
        <v>2</v>
      </c>
      <c r="D9" s="25" t="s">
        <v>84</v>
      </c>
    </row>
    <row r="10" customFormat="false" ht="15" hidden="false" customHeight="true" outlineLevel="0" collapsed="false">
      <c r="A10" s="23" t="s">
        <v>85</v>
      </c>
      <c r="B10" s="23"/>
      <c r="C10" s="26" t="str">
        <f aca="false">'17A_STRUCTURES'!$C$5</f>
        <v>PIE (BOOT privé)</v>
      </c>
    </row>
    <row r="11" customFormat="false" ht="15" hidden="false" customHeight="true" outlineLevel="0" collapsed="false">
      <c r="A11" s="23" t="s">
        <v>86</v>
      </c>
      <c r="B11" s="23" t="s">
        <v>87</v>
      </c>
      <c r="C11" s="24" t="n">
        <v>1</v>
      </c>
      <c r="D11" s="25" t="s">
        <v>88</v>
      </c>
    </row>
    <row r="12" customFormat="false" ht="15" hidden="false" customHeight="true" outlineLevel="0" collapsed="false">
      <c r="A12" s="23" t="s">
        <v>89</v>
      </c>
      <c r="B12" s="23" t="s">
        <v>90</v>
      </c>
      <c r="C12" s="24" t="n">
        <v>1</v>
      </c>
      <c r="D12" s="25" t="s">
        <v>91</v>
      </c>
    </row>
    <row r="13" customFormat="false" ht="15" hidden="false" customHeight="true" outlineLevel="0" collapsed="false">
      <c r="A13" s="23" t="s">
        <v>92</v>
      </c>
      <c r="B13" s="23" t="s">
        <v>93</v>
      </c>
      <c r="C13" s="27" t="n">
        <v>1</v>
      </c>
      <c r="D13" s="25" t="s">
        <v>94</v>
      </c>
    </row>
    <row r="14" customFormat="false" ht="15" hidden="false" customHeight="true" outlineLevel="0" collapsed="false">
      <c r="A14" s="21" t="s">
        <v>95</v>
      </c>
      <c r="B14" s="22"/>
      <c r="C14" s="22"/>
      <c r="D14" s="22"/>
      <c r="E14" s="22"/>
      <c r="F14" s="22"/>
      <c r="G14" s="22"/>
      <c r="H14" s="22"/>
      <c r="I14" s="22"/>
      <c r="J14" s="22"/>
    </row>
    <row r="15" customFormat="false" ht="15" hidden="false" customHeight="true" outlineLevel="0" collapsed="false">
      <c r="A15" s="23" t="s">
        <v>96</v>
      </c>
      <c r="B15" s="23" t="s">
        <v>90</v>
      </c>
      <c r="C15" s="24" t="n">
        <v>0</v>
      </c>
    </row>
    <row r="16" customFormat="false" ht="15" hidden="false" customHeight="true" outlineLevel="0" collapsed="false">
      <c r="A16" s="23" t="s">
        <v>97</v>
      </c>
      <c r="B16" s="23" t="s">
        <v>90</v>
      </c>
      <c r="C16" s="24" t="n">
        <v>0</v>
      </c>
    </row>
    <row r="17" customFormat="false" ht="15" hidden="false" customHeight="true" outlineLevel="0" collapsed="false">
      <c r="A17" s="23" t="s">
        <v>98</v>
      </c>
      <c r="B17" s="23" t="s">
        <v>90</v>
      </c>
      <c r="C17" s="24" t="n">
        <v>0</v>
      </c>
    </row>
    <row r="18" customFormat="false" ht="15" hidden="false" customHeight="true" outlineLevel="0" collapsed="false">
      <c r="A18" s="23" t="s">
        <v>99</v>
      </c>
      <c r="B18" s="23" t="s">
        <v>90</v>
      </c>
      <c r="C18" s="24" t="n">
        <v>0</v>
      </c>
    </row>
    <row r="19" customFormat="false" ht="15" hidden="false" customHeight="true" outlineLevel="0" collapsed="false">
      <c r="A19" s="23" t="s">
        <v>100</v>
      </c>
      <c r="B19" s="23" t="s">
        <v>90</v>
      </c>
      <c r="C19" s="24" t="n">
        <v>0</v>
      </c>
    </row>
    <row r="20" customFormat="false" ht="15" hidden="false" customHeight="true" outlineLevel="0" collapsed="false">
      <c r="A20" s="23" t="s">
        <v>101</v>
      </c>
      <c r="B20" s="23" t="s">
        <v>90</v>
      </c>
      <c r="C20" s="24" t="n">
        <v>0</v>
      </c>
    </row>
    <row r="21" customFormat="false" ht="15" hidden="false" customHeight="true" outlineLevel="0" collapsed="false">
      <c r="A21" s="23" t="s">
        <v>102</v>
      </c>
      <c r="B21" s="23" t="s">
        <v>90</v>
      </c>
      <c r="C21" s="24" t="n">
        <v>0</v>
      </c>
    </row>
    <row r="22" customFormat="false" ht="15" hidden="false" customHeight="true" outlineLevel="0" collapsed="false">
      <c r="A22" s="23" t="s">
        <v>103</v>
      </c>
      <c r="B22" s="23" t="s">
        <v>90</v>
      </c>
      <c r="C22" s="24" t="n">
        <v>0</v>
      </c>
    </row>
    <row r="23" customFormat="false" ht="15" hidden="false" customHeight="true" outlineLevel="0" collapsed="false">
      <c r="A23" s="23" t="s">
        <v>104</v>
      </c>
      <c r="B23" s="23" t="s">
        <v>90</v>
      </c>
      <c r="C23" s="24" t="n">
        <v>0</v>
      </c>
    </row>
    <row r="24" customFormat="false" ht="15" hidden="false" customHeight="true" outlineLevel="0" collapsed="false">
      <c r="A24" s="21" t="s">
        <v>105</v>
      </c>
      <c r="B24" s="22"/>
      <c r="C24" s="22"/>
      <c r="D24" s="22"/>
      <c r="E24" s="22"/>
      <c r="F24" s="22"/>
      <c r="G24" s="22"/>
      <c r="H24" s="22"/>
      <c r="I24" s="22"/>
      <c r="J24" s="22"/>
    </row>
    <row r="25" customFormat="false" ht="15" hidden="false" customHeight="true" outlineLevel="0" collapsed="false">
      <c r="A25" s="23" t="s">
        <v>106</v>
      </c>
      <c r="B25" s="23" t="s">
        <v>93</v>
      </c>
      <c r="C25" s="27" t="n">
        <v>0</v>
      </c>
      <c r="D25" s="25" t="s">
        <v>107</v>
      </c>
    </row>
    <row r="26" customFormat="false" ht="15" hidden="false" customHeight="true" outlineLevel="0" collapsed="false">
      <c r="A26" s="23" t="s">
        <v>108</v>
      </c>
      <c r="B26" s="23" t="s">
        <v>93</v>
      </c>
      <c r="C26" s="27" t="n">
        <v>0</v>
      </c>
    </row>
    <row r="27" customFormat="false" ht="15" hidden="false" customHeight="true" outlineLevel="0" collapsed="false">
      <c r="A27" s="23" t="s">
        <v>109</v>
      </c>
      <c r="B27" s="23" t="s">
        <v>93</v>
      </c>
      <c r="C27" s="27" t="n">
        <v>0</v>
      </c>
    </row>
    <row r="28" customFormat="false" ht="15" hidden="false" customHeight="true" outlineLevel="0" collapsed="false">
      <c r="A28" s="23" t="s">
        <v>110</v>
      </c>
      <c r="B28" s="23" t="s">
        <v>93</v>
      </c>
      <c r="C28" s="27" t="n">
        <v>0</v>
      </c>
    </row>
    <row r="29" customFormat="false" ht="15" hidden="false" customHeight="true" outlineLevel="0" collapsed="false">
      <c r="A29" s="23" t="s">
        <v>111</v>
      </c>
      <c r="B29" s="23" t="s">
        <v>93</v>
      </c>
      <c r="C29" s="28" t="n">
        <v>0</v>
      </c>
      <c r="D29" s="25" t="s">
        <v>112</v>
      </c>
    </row>
    <row r="30" customFormat="false" ht="15" hidden="false" customHeight="true" outlineLevel="0" collapsed="false">
      <c r="A30" s="21" t="s">
        <v>113</v>
      </c>
      <c r="B30" s="22"/>
      <c r="C30" s="22"/>
      <c r="D30" s="22"/>
      <c r="E30" s="22"/>
      <c r="F30" s="22"/>
      <c r="G30" s="22"/>
      <c r="H30" s="22"/>
      <c r="I30" s="22"/>
      <c r="J30" s="22"/>
    </row>
    <row r="31" customFormat="false" ht="15" hidden="false" customHeight="true" outlineLevel="0" collapsed="false">
      <c r="A31" s="23" t="s">
        <v>114</v>
      </c>
      <c r="B31" s="23" t="s">
        <v>115</v>
      </c>
      <c r="C31" s="29" t="n">
        <f aca="false">SUM('01_CONTROL_PANEL'!$C$15,'01_CONTROL_PANEL'!$C$16,'01_CONTROL_PANEL'!$C$17,'01_CONTROL_PANEL'!$C$18,'01_CONTROL_PANEL'!$C$19,'01_CONTROL_PANEL'!$C$20,'01_CONTROL_PANEL'!$C$21,'01_CONTROL_PANEL'!$C$22,'01_CONTROL_PANEL'!$C$23)</f>
        <v>0</v>
      </c>
    </row>
    <row r="32" customFormat="false" ht="15" hidden="false" customHeight="true" outlineLevel="0" collapsed="false">
      <c r="A32" s="19" t="s">
        <v>116</v>
      </c>
      <c r="B32" s="23" t="s">
        <v>93</v>
      </c>
      <c r="C32" s="30" t="n">
        <f aca="false">'17_PROJECT_FINANCE'!$C$31</f>
        <v>0.112182480312486</v>
      </c>
    </row>
    <row r="33" customFormat="false" ht="15" hidden="false" customHeight="true" outlineLevel="0" collapsed="false">
      <c r="A33" s="19" t="s">
        <v>117</v>
      </c>
      <c r="B33" s="23" t="s">
        <v>93</v>
      </c>
      <c r="C33" s="30" t="n">
        <f aca="false">'17_PROJECT_FINANCE'!$C$33</f>
        <v>0.137581200828486</v>
      </c>
    </row>
    <row r="34" customFormat="false" ht="15" hidden="false" customHeight="true" outlineLevel="0" collapsed="false">
      <c r="A34" s="19" t="s">
        <v>118</v>
      </c>
      <c r="B34" s="23" t="s">
        <v>119</v>
      </c>
      <c r="C34" s="31" t="n">
        <f aca="false">'17_PROJECT_FINANCE'!$C$37</f>
        <v>1.52720627268227</v>
      </c>
    </row>
    <row r="35" customFormat="false" ht="15" hidden="false" customHeight="true" outlineLevel="0" collapsed="false">
      <c r="A35" s="19" t="s">
        <v>120</v>
      </c>
      <c r="B35" s="23" t="s">
        <v>121</v>
      </c>
      <c r="C35" s="32" t="n">
        <f aca="false">'17_PROJECT_FINANCE'!$C$27</f>
        <v>4.05435072721588</v>
      </c>
    </row>
    <row r="36" customFormat="false" ht="15" hidden="false" customHeight="true" outlineLevel="0" collapsed="false">
      <c r="A36" s="19" t="s">
        <v>122</v>
      </c>
      <c r="B36" s="23" t="s">
        <v>121</v>
      </c>
      <c r="C36" s="32" t="n">
        <f aca="false">'25_FISCAL_IMPACT'!$C$20</f>
        <v>34.7880224785295</v>
      </c>
    </row>
    <row r="37" customFormat="false" ht="15" hidden="false" customHeight="true" outlineLevel="0" collapsed="false">
      <c r="A37" s="19" t="s">
        <v>123</v>
      </c>
      <c r="B37" s="23" t="s">
        <v>121</v>
      </c>
      <c r="C37" s="32" t="n">
        <f aca="false">'25_FISCAL_IMPACT'!$C$21</f>
        <v>-27.5809643867341</v>
      </c>
    </row>
    <row r="38" customFormat="false" ht="15" hidden="false" customHeight="true" outlineLevel="0" collapsed="false">
      <c r="A38" s="19" t="s">
        <v>124</v>
      </c>
      <c r="B38" s="23" t="s">
        <v>93</v>
      </c>
      <c r="C38" s="30" t="n">
        <f aca="false">'01A_DEVELOPMENT'!$C$72</f>
        <v>0.159572040576511</v>
      </c>
    </row>
    <row r="39" customFormat="false" ht="15" hidden="false" customHeight="true" outlineLevel="0" collapsed="false">
      <c r="A39" s="19" t="s">
        <v>11</v>
      </c>
      <c r="B39" s="23"/>
      <c r="C39" s="33" t="str">
        <f aca="false">'30A_CLOSE_READINESS'!$C$34</f>
        <v>STOP : une porte critique n'est pas franchie</v>
      </c>
    </row>
    <row r="40" customFormat="false" ht="15" hidden="false" customHeight="true" outlineLevel="0" collapsed="false">
      <c r="A40" s="19" t="s">
        <v>125</v>
      </c>
      <c r="B40" s="23"/>
      <c r="C40" s="33" t="str">
        <f aca="false">'30_BANKABILITY'!$C$58</f>
        <v>NOT BANKABLE : lacune(s) critique(s) à combler</v>
      </c>
    </row>
    <row r="41" customFormat="false" ht="15" hidden="false" customHeight="true" outlineLevel="0" collapsed="false">
      <c r="A41" s="19" t="s">
        <v>29</v>
      </c>
      <c r="B41" s="23"/>
      <c r="C41" s="33" t="str">
        <f aca="false">'33_CHECKS'!$C$19</f>
        <v>ALL OK</v>
      </c>
    </row>
  </sheetData>
  <dataValidations count="5">
    <dataValidation allowBlank="false" error="Enter one of the allowed values shown in the label." errorStyle="stop" errorTitle="Invalid input" operator="between" showDropDown="false" showErrorMessage="true" showInputMessage="false" sqref="C5:C6" type="whole">
      <formula1>1</formula1>
      <formula2>3</formula2>
    </dataValidation>
    <dataValidation allowBlank="false" error="Enter one of the allowed values shown in the label." errorStyle="stop" errorTitle="Invalid input" operator="between" showDropDown="false" showErrorMessage="true" showInputMessage="false" sqref="C7" type="whole">
      <formula1>1</formula1>
      <formula2>4</formula2>
    </dataValidation>
    <dataValidation allowBlank="false" error="Enter one of the allowed values shown in the label." errorStyle="stop" errorTitle="Invalid input" operator="between" showDropDown="false" showErrorMessage="true" showInputMessage="false" sqref="C9" type="whole">
      <formula1>1</formula1>
      <formula2>5</formula2>
    </dataValidation>
    <dataValidation allowBlank="false" error="Enter one of the allowed values shown in the label." errorStyle="stop" errorTitle="Invalid input" operator="between" showDropDown="false" showErrorMessage="true" showInputMessage="false" sqref="C12 C15:C23" type="whole">
      <formula1>0</formula1>
      <formula2>1</formula2>
    </dataValidation>
    <dataValidation allowBlank="false" error="Enter one of the allowed values shown in the label." errorStyle="stop" errorTitle="Invalid input" operator="between" showDropDown="false" showErrorMessage="true" showInputMessage="false" sqref="C11" type="whole">
      <formula1>1</formula1>
      <formula2>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C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5" min="4" style="1" width="11"/>
    <col collapsed="false" customWidth="true" hidden="false" outlineLevel="0" max="15" min="6" style="1" width="9"/>
  </cols>
  <sheetData>
    <row r="1" customFormat="false" ht="17.25" hidden="false" customHeight="true" outlineLevel="0" collapsed="false">
      <c r="A1" s="16" t="s">
        <v>126</v>
      </c>
      <c r="B1" s="17"/>
      <c r="C1" s="17"/>
      <c r="D1" s="17"/>
      <c r="E1" s="17"/>
      <c r="F1" s="17"/>
      <c r="G1" s="17"/>
      <c r="H1" s="17"/>
      <c r="I1" s="17"/>
      <c r="J1" s="17"/>
    </row>
    <row r="2" customFormat="false" ht="15" hidden="false" customHeight="true" outlineLevel="0" collapsed="false">
      <c r="A2" s="18" t="s">
        <v>127</v>
      </c>
      <c r="B2" s="17"/>
      <c r="C2" s="17"/>
      <c r="D2" s="17"/>
      <c r="E2" s="17"/>
      <c r="F2" s="17"/>
      <c r="G2" s="17"/>
      <c r="H2" s="17"/>
      <c r="I2" s="17"/>
      <c r="J2" s="17"/>
    </row>
    <row r="4" customFormat="false" ht="15" hidden="false" customHeight="true" outlineLevel="0" collapsed="false">
      <c r="A4" s="21" t="s">
        <v>128</v>
      </c>
      <c r="B4" s="22"/>
      <c r="C4" s="22"/>
      <c r="D4" s="22"/>
      <c r="E4" s="22"/>
      <c r="F4" s="22"/>
      <c r="G4" s="22"/>
      <c r="H4" s="22"/>
      <c r="I4" s="22"/>
      <c r="J4" s="22"/>
    </row>
    <row r="5" customFormat="false" ht="15" hidden="false" customHeight="true" outlineLevel="0" collapsed="false">
      <c r="A5" s="34" t="s">
        <v>129</v>
      </c>
      <c r="B5" s="34" t="s">
        <v>130</v>
      </c>
      <c r="C5" s="34" t="s">
        <v>131</v>
      </c>
      <c r="D5" s="34" t="s">
        <v>132</v>
      </c>
      <c r="E5" s="34" t="s">
        <v>133</v>
      </c>
    </row>
    <row r="6" customFormat="false" ht="15" hidden="false" customHeight="true" outlineLevel="0" collapsed="false">
      <c r="A6" s="23" t="s">
        <v>134</v>
      </c>
      <c r="B6" s="23" t="s">
        <v>135</v>
      </c>
      <c r="C6" s="35" t="n">
        <v>6</v>
      </c>
      <c r="D6" s="36" t="n">
        <v>0.1</v>
      </c>
      <c r="E6" s="27" t="n">
        <v>0.6</v>
      </c>
    </row>
    <row r="7" customFormat="false" ht="15" hidden="false" customHeight="true" outlineLevel="0" collapsed="false">
      <c r="A7" s="23" t="s">
        <v>136</v>
      </c>
      <c r="B7" s="23" t="s">
        <v>137</v>
      </c>
      <c r="C7" s="35" t="n">
        <v>12</v>
      </c>
      <c r="D7" s="36" t="n">
        <v>0.6</v>
      </c>
      <c r="E7" s="27" t="n">
        <v>0.6</v>
      </c>
    </row>
    <row r="8" customFormat="false" ht="15" hidden="false" customHeight="true" outlineLevel="0" collapsed="false">
      <c r="A8" s="23" t="s">
        <v>138</v>
      </c>
      <c r="B8" s="23" t="s">
        <v>139</v>
      </c>
      <c r="C8" s="35" t="n">
        <v>18</v>
      </c>
      <c r="D8" s="36" t="n">
        <v>4.5</v>
      </c>
      <c r="E8" s="27" t="n">
        <v>0.7</v>
      </c>
    </row>
    <row r="9" customFormat="false" ht="15" hidden="false" customHeight="true" outlineLevel="0" collapsed="false">
      <c r="A9" s="23" t="s">
        <v>140</v>
      </c>
      <c r="B9" s="23" t="s">
        <v>141</v>
      </c>
      <c r="C9" s="35" t="n">
        <v>12</v>
      </c>
      <c r="D9" s="36" t="n">
        <v>0.8</v>
      </c>
      <c r="E9" s="27" t="n">
        <v>0.85</v>
      </c>
    </row>
    <row r="10" customFormat="false" ht="15" hidden="false" customHeight="true" outlineLevel="0" collapsed="false">
      <c r="A10" s="23" t="s">
        <v>142</v>
      </c>
      <c r="B10" s="23" t="s">
        <v>141</v>
      </c>
      <c r="C10" s="35" t="n">
        <v>12</v>
      </c>
      <c r="D10" s="36" t="n">
        <v>0.8</v>
      </c>
      <c r="E10" s="27" t="n">
        <v>0.8</v>
      </c>
    </row>
    <row r="11" customFormat="false" ht="15" hidden="false" customHeight="true" outlineLevel="0" collapsed="false">
      <c r="A11" s="23" t="s">
        <v>143</v>
      </c>
      <c r="B11" s="23" t="s">
        <v>144</v>
      </c>
      <c r="C11" s="35" t="n">
        <v>12</v>
      </c>
      <c r="D11" s="36" t="n">
        <v>2.2</v>
      </c>
      <c r="E11" s="27" t="n">
        <v>0.85</v>
      </c>
    </row>
    <row r="12" customFormat="false" ht="15" hidden="false" customHeight="true" outlineLevel="0" collapsed="false">
      <c r="A12" s="19" t="s">
        <v>145</v>
      </c>
      <c r="B12" s="23" t="s">
        <v>121</v>
      </c>
      <c r="C12" s="37" t="n">
        <f aca="false">SUM(D6:D11)</f>
        <v>9</v>
      </c>
    </row>
    <row r="13" customFormat="false" ht="15" hidden="false" customHeight="true" outlineLevel="0" collapsed="false">
      <c r="A13" s="19" t="s">
        <v>146</v>
      </c>
      <c r="B13" s="23" t="s">
        <v>147</v>
      </c>
      <c r="C13" s="37" t="n">
        <f aca="false">SUM(C6:C11)/12</f>
        <v>6</v>
      </c>
    </row>
    <row r="14" customFormat="false" ht="15" hidden="false" customHeight="true" outlineLevel="0" collapsed="false">
      <c r="A14" s="19" t="s">
        <v>148</v>
      </c>
      <c r="B14" s="23" t="s">
        <v>93</v>
      </c>
      <c r="C14" s="38" t="n">
        <f aca="false">PRODUCT(E6:E11)</f>
        <v>0.145656</v>
      </c>
    </row>
    <row r="15" customFormat="false" ht="15" hidden="false" customHeight="true" outlineLevel="0" collapsed="false">
      <c r="A15" s="19" t="s">
        <v>149</v>
      </c>
      <c r="B15" s="23" t="s">
        <v>93</v>
      </c>
      <c r="C15" s="38" t="n">
        <f aca="false">'01A_DEVELOPMENT'!$C$12/'06_CONSTRUCTION'!$C$9</f>
        <v>0.0573760040800714</v>
      </c>
    </row>
    <row r="17" customFormat="false" ht="15" hidden="false" customHeight="true" outlineLevel="0" collapsed="false">
      <c r="A17" s="21" t="s">
        <v>150</v>
      </c>
      <c r="B17" s="22"/>
      <c r="C17" s="22"/>
      <c r="D17" s="22"/>
      <c r="E17" s="22"/>
      <c r="F17" s="22"/>
      <c r="G17" s="22"/>
      <c r="H17" s="22"/>
      <c r="I17" s="22"/>
      <c r="J17" s="22"/>
    </row>
    <row r="18" customFormat="false" ht="15" hidden="false" customHeight="true" outlineLevel="0" collapsed="false">
      <c r="A18" s="23" t="s">
        <v>151</v>
      </c>
      <c r="B18" s="23" t="s">
        <v>93</v>
      </c>
      <c r="C18" s="39" t="n">
        <v>0.03</v>
      </c>
      <c r="D18" s="25" t="s">
        <v>152</v>
      </c>
    </row>
    <row r="19" customFormat="false" ht="15" hidden="false" customHeight="true" outlineLevel="0" collapsed="false">
      <c r="A19" s="19" t="s">
        <v>153</v>
      </c>
      <c r="B19" s="23" t="s">
        <v>121</v>
      </c>
      <c r="C19" s="37" t="n">
        <f aca="false">'01A_DEVELOPMENT'!$C$18*'06_CONSTRUCTION'!$C$9</f>
        <v>4.7058</v>
      </c>
    </row>
    <row r="20" customFormat="false" ht="15" hidden="false" customHeight="true" outlineLevel="0" collapsed="false">
      <c r="A20" s="23" t="s">
        <v>154</v>
      </c>
      <c r="B20" s="23" t="s">
        <v>93</v>
      </c>
      <c r="C20" s="39" t="n">
        <v>0.4</v>
      </c>
      <c r="D20" s="25" t="s">
        <v>155</v>
      </c>
    </row>
    <row r="21" customFormat="false" ht="15" hidden="false" customHeight="true" outlineLevel="0" collapsed="false">
      <c r="A21" s="23" t="s">
        <v>156</v>
      </c>
      <c r="B21" s="23" t="s">
        <v>93</v>
      </c>
      <c r="C21" s="39" t="n">
        <v>0.25</v>
      </c>
      <c r="D21" s="25" t="s">
        <v>157</v>
      </c>
    </row>
    <row r="22" customFormat="false" ht="15" hidden="false" customHeight="true" outlineLevel="0" collapsed="false">
      <c r="A22" s="23" t="s">
        <v>158</v>
      </c>
      <c r="B22" s="23" t="s">
        <v>93</v>
      </c>
      <c r="C22" s="27" t="n">
        <v>0.15</v>
      </c>
      <c r="D22" s="25" t="s">
        <v>159</v>
      </c>
    </row>
    <row r="23" customFormat="false" ht="15" hidden="false" customHeight="true" outlineLevel="0" collapsed="false">
      <c r="A23" s="23" t="s">
        <v>160</v>
      </c>
      <c r="B23" s="23" t="s">
        <v>93</v>
      </c>
      <c r="C23" s="27" t="n">
        <v>0.11</v>
      </c>
      <c r="D23" s="25" t="s">
        <v>159</v>
      </c>
    </row>
    <row r="25" customFormat="false" ht="15" hidden="false" customHeight="true" outlineLevel="0" collapsed="false">
      <c r="A25" s="21" t="s">
        <v>161</v>
      </c>
      <c r="B25" s="22"/>
      <c r="C25" s="22"/>
      <c r="D25" s="22"/>
      <c r="E25" s="22"/>
      <c r="F25" s="22"/>
      <c r="G25" s="22"/>
      <c r="H25" s="22"/>
      <c r="I25" s="22"/>
      <c r="J25" s="22"/>
    </row>
    <row r="26" customFormat="false" ht="15" hidden="false" customHeight="true" outlineLevel="0" collapsed="false">
      <c r="A26" s="19" t="s">
        <v>162</v>
      </c>
      <c r="F26" s="40" t="n">
        <f aca="false">'02_PROJECT_INPUTS'!$C$10-10+0</f>
        <v>2017</v>
      </c>
      <c r="G26" s="40" t="n">
        <f aca="false">'02_PROJECT_INPUTS'!$C$10-10+1</f>
        <v>2018</v>
      </c>
      <c r="H26" s="40" t="n">
        <f aca="false">'02_PROJECT_INPUTS'!$C$10-10+2</f>
        <v>2019</v>
      </c>
      <c r="I26" s="40" t="n">
        <f aca="false">'02_PROJECT_INPUTS'!$C$10-10+3</f>
        <v>2020</v>
      </c>
      <c r="J26" s="40" t="n">
        <f aca="false">'02_PROJECT_INPUTS'!$C$10-10+4</f>
        <v>2021</v>
      </c>
      <c r="K26" s="40" t="n">
        <f aca="false">'02_PROJECT_INPUTS'!$C$10-10+5</f>
        <v>2022</v>
      </c>
      <c r="L26" s="40" t="n">
        <f aca="false">'02_PROJECT_INPUTS'!$C$10-10+6</f>
        <v>2023</v>
      </c>
      <c r="M26" s="40" t="n">
        <f aca="false">'02_PROJECT_INPUTS'!$C$10-10+7</f>
        <v>2024</v>
      </c>
      <c r="N26" s="40" t="n">
        <f aca="false">'02_PROJECT_INPUTS'!$C$10-10+8</f>
        <v>2025</v>
      </c>
      <c r="O26" s="40" t="n">
        <f aca="false">'02_PROJECT_INPUTS'!$C$10-10+9</f>
        <v>2026</v>
      </c>
    </row>
    <row r="27" customFormat="false" ht="15" hidden="false" customHeight="true" outlineLevel="0" collapsed="false">
      <c r="A27" s="23" t="s">
        <v>163</v>
      </c>
      <c r="F27" s="41" t="n">
        <f aca="false">IF($C$6&gt;0,MAX(0,MIN(SUM('01A_DEVELOPMENT'!$C$6:$C$11)-12*(10-1-0)-0,SUM($C$6:$C$6))-MAX(SUM('01A_DEVELOPMENT'!$C$6:$C$11)-12*(10-0),SUM($C$6:$C$6)-$C$6))/$C$6*$D$6,0)*(1+'02_PROJECT_INPUTS'!$C$18)^(F$26-'02_PROJECT_INPUTS'!$C$11)</f>
        <v>0</v>
      </c>
      <c r="G27" s="41" t="n">
        <f aca="false">IF($C$6&gt;0,MAX(0,MIN(SUM('01A_DEVELOPMENT'!$C$6:$C$11)-12*(10-1-1)-0,SUM($C$6:$C$6))-MAX(SUM('01A_DEVELOPMENT'!$C$6:$C$11)-12*(10-1),SUM($C$6:$C$6)-$C$6))/$C$6*$D$6,0)*(1+'02_PROJECT_INPUTS'!$C$18)^(G$26-'02_PROJECT_INPUTS'!$C$11)</f>
        <v>0</v>
      </c>
      <c r="H27" s="41" t="n">
        <f aca="false">IF($C$6&gt;0,MAX(0,MIN(SUM('01A_DEVELOPMENT'!$C$6:$C$11)-12*(10-1-2)-0,SUM($C$6:$C$6))-MAX(SUM('01A_DEVELOPMENT'!$C$6:$C$11)-12*(10-2),SUM($C$6:$C$6)-$C$6))/$C$6*$D$6,0)*(1+'02_PROJECT_INPUTS'!$C$18)^(H$26-'02_PROJECT_INPUTS'!$C$11)</f>
        <v>0</v>
      </c>
      <c r="I27" s="41" t="n">
        <f aca="false">IF($C$6&gt;0,MAX(0,MIN(SUM('01A_DEVELOPMENT'!$C$6:$C$11)-12*(10-1-3)-0,SUM($C$6:$C$6))-MAX(SUM('01A_DEVELOPMENT'!$C$6:$C$11)-12*(10-3),SUM($C$6:$C$6)-$C$6))/$C$6*$D$6,0)*(1+'02_PROJECT_INPUTS'!$C$18)^(I$26-'02_PROJECT_INPUTS'!$C$11)</f>
        <v>0</v>
      </c>
      <c r="J27" s="41" t="n">
        <f aca="false">IF($C$6&gt;0,MAX(0,MIN(SUM('01A_DEVELOPMENT'!$C$6:$C$11)-12*(10-1-4)-0,SUM($C$6:$C$6))-MAX(SUM('01A_DEVELOPMENT'!$C$6:$C$11)-12*(10-4),SUM($C$6:$C$6)-$C$6))/$C$6*$D$6,0)*(1+'02_PROJECT_INPUTS'!$C$18)^(J$26-'02_PROJECT_INPUTS'!$C$11)</f>
        <v>0.0905730809829916</v>
      </c>
      <c r="K27" s="41" t="n">
        <f aca="false">IF($C$6&gt;0,MAX(0,MIN(SUM('01A_DEVELOPMENT'!$C$6:$C$11)-12*(10-1-5)-0,SUM($C$6:$C$6))-MAX(SUM('01A_DEVELOPMENT'!$C$6:$C$11)-12*(10-5),SUM($C$6:$C$6)-$C$6))/$C$6*$D$6,0)*(1+'02_PROJECT_INPUTS'!$C$18)^(K$26-'02_PROJECT_INPUTS'!$C$11)</f>
        <v>0</v>
      </c>
      <c r="L27" s="41" t="n">
        <f aca="false">IF($C$6&gt;0,MAX(0,MIN(SUM('01A_DEVELOPMENT'!$C$6:$C$11)-12*(10-1-6)-0,SUM($C$6:$C$6))-MAX(SUM('01A_DEVELOPMENT'!$C$6:$C$11)-12*(10-6),SUM($C$6:$C$6)-$C$6))/$C$6*$D$6,0)*(1+'02_PROJECT_INPUTS'!$C$18)^(L$26-'02_PROJECT_INPUTS'!$C$11)</f>
        <v>0</v>
      </c>
      <c r="M27" s="41" t="n">
        <f aca="false">IF($C$6&gt;0,MAX(0,MIN(SUM('01A_DEVELOPMENT'!$C$6:$C$11)-12*(10-1-7)-0,SUM($C$6:$C$6))-MAX(SUM('01A_DEVELOPMENT'!$C$6:$C$11)-12*(10-7),SUM($C$6:$C$6)-$C$6))/$C$6*$D$6,0)*(1+'02_PROJECT_INPUTS'!$C$18)^(M$26-'02_PROJECT_INPUTS'!$C$11)</f>
        <v>0</v>
      </c>
      <c r="N27" s="41" t="n">
        <f aca="false">IF($C$6&gt;0,MAX(0,MIN(SUM('01A_DEVELOPMENT'!$C$6:$C$11)-12*(10-1-8)-0,SUM($C$6:$C$6))-MAX(SUM('01A_DEVELOPMENT'!$C$6:$C$11)-12*(10-8),SUM($C$6:$C$6)-$C$6))/$C$6*$D$6,0)*(1+'02_PROJECT_INPUTS'!$C$18)^(N$26-'02_PROJECT_INPUTS'!$C$11)</f>
        <v>0</v>
      </c>
      <c r="O27" s="41" t="n">
        <f aca="false">IF($C$6&gt;0,MAX(0,MIN(SUM('01A_DEVELOPMENT'!$C$6:$C$11)-12*(10-1-9)-0,SUM($C$6:$C$6))-MAX(SUM('01A_DEVELOPMENT'!$C$6:$C$11)-12*(10-9),SUM($C$6:$C$6)-$C$6))/$C$6*$D$6,0)*(1+'02_PROJECT_INPUTS'!$C$18)^(O$26-'02_PROJECT_INPUTS'!$C$11)</f>
        <v>0</v>
      </c>
    </row>
    <row r="28" customFormat="false" ht="15" hidden="false" customHeight="true" outlineLevel="0" collapsed="false">
      <c r="A28" s="23" t="s">
        <v>164</v>
      </c>
      <c r="F28" s="41" t="n">
        <f aca="false">IF($C$7&gt;0,MAX(0,MIN(SUM('01A_DEVELOPMENT'!$C$6:$C$11)-12*(10-1-0)-0,SUM($C$6:$C$7))-MAX(SUM('01A_DEVELOPMENT'!$C$6:$C$11)-12*(10-0),SUM($C$6:$C$7)-$C$7))/$C$7*$D$7,0)*(1+'02_PROJECT_INPUTS'!$C$18)^(F$26-'02_PROJECT_INPUTS'!$C$11)</f>
        <v>0</v>
      </c>
      <c r="G28" s="41" t="n">
        <f aca="false">IF($C$7&gt;0,MAX(0,MIN(SUM('01A_DEVELOPMENT'!$C$6:$C$11)-12*(10-1-1)-0,SUM($C$6:$C$7))-MAX(SUM('01A_DEVELOPMENT'!$C$6:$C$11)-12*(10-1),SUM($C$6:$C$7)-$C$7))/$C$7*$D$7,0)*(1+'02_PROJECT_INPUTS'!$C$18)^(G$26-'02_PROJECT_INPUTS'!$C$11)</f>
        <v>0</v>
      </c>
      <c r="H28" s="41" t="n">
        <f aca="false">IF($C$7&gt;0,MAX(0,MIN(SUM('01A_DEVELOPMENT'!$C$6:$C$11)-12*(10-1-2)-0,SUM($C$6:$C$7))-MAX(SUM('01A_DEVELOPMENT'!$C$6:$C$11)-12*(10-2),SUM($C$6:$C$7)-$C$7))/$C$7*$D$7,0)*(1+'02_PROJECT_INPUTS'!$C$18)^(H$26-'02_PROJECT_INPUTS'!$C$11)</f>
        <v>0</v>
      </c>
      <c r="I28" s="41" t="n">
        <f aca="false">IF($C$7&gt;0,MAX(0,MIN(SUM('01A_DEVELOPMENT'!$C$6:$C$11)-12*(10-1-3)-0,SUM($C$6:$C$7))-MAX(SUM('01A_DEVELOPMENT'!$C$6:$C$11)-12*(10-3),SUM($C$6:$C$7)-$C$7))/$C$7*$D$7,0)*(1+'02_PROJECT_INPUTS'!$C$18)^(I$26-'02_PROJECT_INPUTS'!$C$11)</f>
        <v>0</v>
      </c>
      <c r="J28" s="41" t="n">
        <f aca="false">IF($C$7&gt;0,MAX(0,MIN(SUM('01A_DEVELOPMENT'!$C$6:$C$11)-12*(10-1-4)-0,SUM($C$6:$C$7))-MAX(SUM('01A_DEVELOPMENT'!$C$6:$C$11)-12*(10-4),SUM($C$6:$C$7)-$C$7))/$C$7*$D$7,0)*(1+'02_PROJECT_INPUTS'!$C$18)^(J$26-'02_PROJECT_INPUTS'!$C$11)</f>
        <v>0.271719242948975</v>
      </c>
      <c r="K28" s="41" t="n">
        <f aca="false">IF($C$7&gt;0,MAX(0,MIN(SUM('01A_DEVELOPMENT'!$C$6:$C$11)-12*(10-1-5)-0,SUM($C$6:$C$7))-MAX(SUM('01A_DEVELOPMENT'!$C$6:$C$11)-12*(10-5),SUM($C$6:$C$7)-$C$7))/$C$7*$D$7,0)*(1+'02_PROJECT_INPUTS'!$C$18)^(K$26-'02_PROJECT_INPUTS'!$C$11)</f>
        <v>0.277153627807954</v>
      </c>
      <c r="L28" s="41" t="n">
        <f aca="false">IF($C$7&gt;0,MAX(0,MIN(SUM('01A_DEVELOPMENT'!$C$6:$C$11)-12*(10-1-6)-0,SUM($C$6:$C$7))-MAX(SUM('01A_DEVELOPMENT'!$C$6:$C$11)-12*(10-6),SUM($C$6:$C$7)-$C$7))/$C$7*$D$7,0)*(1+'02_PROJECT_INPUTS'!$C$18)^(L$26-'02_PROJECT_INPUTS'!$C$11)</f>
        <v>0</v>
      </c>
      <c r="M28" s="41" t="n">
        <f aca="false">IF($C$7&gt;0,MAX(0,MIN(SUM('01A_DEVELOPMENT'!$C$6:$C$11)-12*(10-1-7)-0,SUM($C$6:$C$7))-MAX(SUM('01A_DEVELOPMENT'!$C$6:$C$11)-12*(10-7),SUM($C$6:$C$7)-$C$7))/$C$7*$D$7,0)*(1+'02_PROJECT_INPUTS'!$C$18)^(M$26-'02_PROJECT_INPUTS'!$C$11)</f>
        <v>0</v>
      </c>
      <c r="N28" s="41" t="n">
        <f aca="false">IF($C$7&gt;0,MAX(0,MIN(SUM('01A_DEVELOPMENT'!$C$6:$C$11)-12*(10-1-8)-0,SUM($C$6:$C$7))-MAX(SUM('01A_DEVELOPMENT'!$C$6:$C$11)-12*(10-8),SUM($C$6:$C$7)-$C$7))/$C$7*$D$7,0)*(1+'02_PROJECT_INPUTS'!$C$18)^(N$26-'02_PROJECT_INPUTS'!$C$11)</f>
        <v>0</v>
      </c>
      <c r="O28" s="41" t="n">
        <f aca="false">IF($C$7&gt;0,MAX(0,MIN(SUM('01A_DEVELOPMENT'!$C$6:$C$11)-12*(10-1-9)-0,SUM($C$6:$C$7))-MAX(SUM('01A_DEVELOPMENT'!$C$6:$C$11)-12*(10-9),SUM($C$6:$C$7)-$C$7))/$C$7*$D$7,0)*(1+'02_PROJECT_INPUTS'!$C$18)^(O$26-'02_PROJECT_INPUTS'!$C$11)</f>
        <v>0</v>
      </c>
    </row>
    <row r="29" customFormat="false" ht="15" hidden="false" customHeight="true" outlineLevel="0" collapsed="false">
      <c r="A29" s="23" t="s">
        <v>165</v>
      </c>
      <c r="F29" s="41" t="n">
        <f aca="false">IF($C$8&gt;0,MAX(0,MIN(SUM('01A_DEVELOPMENT'!$C$6:$C$11)-12*(10-1-0)-0,SUM($C$6:$C$8))-MAX(SUM('01A_DEVELOPMENT'!$C$6:$C$11)-12*(10-0),SUM($C$6:$C$8)-$C$8))/$C$8*$D$8,0)*(1+'02_PROJECT_INPUTS'!$C$18)^(F$26-'02_PROJECT_INPUTS'!$C$11)</f>
        <v>0</v>
      </c>
      <c r="G29" s="41" t="n">
        <f aca="false">IF($C$8&gt;0,MAX(0,MIN(SUM('01A_DEVELOPMENT'!$C$6:$C$11)-12*(10-1-1)-0,SUM($C$6:$C$8))-MAX(SUM('01A_DEVELOPMENT'!$C$6:$C$11)-12*(10-1),SUM($C$6:$C$8)-$C$8))/$C$8*$D$8,0)*(1+'02_PROJECT_INPUTS'!$C$18)^(G$26-'02_PROJECT_INPUTS'!$C$11)</f>
        <v>0</v>
      </c>
      <c r="H29" s="41" t="n">
        <f aca="false">IF($C$8&gt;0,MAX(0,MIN(SUM('01A_DEVELOPMENT'!$C$6:$C$11)-12*(10-1-2)-0,SUM($C$6:$C$8))-MAX(SUM('01A_DEVELOPMENT'!$C$6:$C$11)-12*(10-2),SUM($C$6:$C$8)-$C$8))/$C$8*$D$8,0)*(1+'02_PROJECT_INPUTS'!$C$18)^(H$26-'02_PROJECT_INPUTS'!$C$11)</f>
        <v>0</v>
      </c>
      <c r="I29" s="41" t="n">
        <f aca="false">IF($C$8&gt;0,MAX(0,MIN(SUM('01A_DEVELOPMENT'!$C$6:$C$11)-12*(10-1-3)-0,SUM($C$6:$C$8))-MAX(SUM('01A_DEVELOPMENT'!$C$6:$C$11)-12*(10-3),SUM($C$6:$C$8)-$C$8))/$C$8*$D$8,0)*(1+'02_PROJECT_INPUTS'!$C$18)^(I$26-'02_PROJECT_INPUTS'!$C$11)</f>
        <v>0</v>
      </c>
      <c r="J29" s="41" t="n">
        <f aca="false">IF($C$8&gt;0,MAX(0,MIN(SUM('01A_DEVELOPMENT'!$C$6:$C$11)-12*(10-1-4)-0,SUM($C$6:$C$8))-MAX(SUM('01A_DEVELOPMENT'!$C$6:$C$11)-12*(10-4),SUM($C$6:$C$8)-$C$8))/$C$8*$D$8,0)*(1+'02_PROJECT_INPUTS'!$C$18)^(J$26-'02_PROJECT_INPUTS'!$C$11)</f>
        <v>0</v>
      </c>
      <c r="K29" s="41" t="n">
        <f aca="false">IF($C$8&gt;0,MAX(0,MIN(SUM('01A_DEVELOPMENT'!$C$6:$C$11)-12*(10-1-5)-0,SUM($C$6:$C$8))-MAX(SUM('01A_DEVELOPMENT'!$C$6:$C$11)-12*(10-5),SUM($C$6:$C$8)-$C$8))/$C$8*$D$8,0)*(1+'02_PROJECT_INPUTS'!$C$18)^(K$26-'02_PROJECT_INPUTS'!$C$11)</f>
        <v>1.38576813903977</v>
      </c>
      <c r="L29" s="41" t="n">
        <f aca="false">IF($C$8&gt;0,MAX(0,MIN(SUM('01A_DEVELOPMENT'!$C$6:$C$11)-12*(10-1-6)-0,SUM($C$6:$C$8))-MAX(SUM('01A_DEVELOPMENT'!$C$6:$C$11)-12*(10-6),SUM($C$6:$C$8)-$C$8))/$C$8*$D$8,0)*(1+'02_PROJECT_INPUTS'!$C$18)^(L$26-'02_PROJECT_INPUTS'!$C$11)</f>
        <v>2.82696700364113</v>
      </c>
      <c r="M29" s="41" t="n">
        <f aca="false">IF($C$8&gt;0,MAX(0,MIN(SUM('01A_DEVELOPMENT'!$C$6:$C$11)-12*(10-1-7)-0,SUM($C$6:$C$8))-MAX(SUM('01A_DEVELOPMENT'!$C$6:$C$11)-12*(10-7),SUM($C$6:$C$8)-$C$8))/$C$8*$D$8,0)*(1+'02_PROJECT_INPUTS'!$C$18)^(M$26-'02_PROJECT_INPUTS'!$C$11)</f>
        <v>0</v>
      </c>
      <c r="N29" s="41" t="n">
        <f aca="false">IF($C$8&gt;0,MAX(0,MIN(SUM('01A_DEVELOPMENT'!$C$6:$C$11)-12*(10-1-8)-0,SUM($C$6:$C$8))-MAX(SUM('01A_DEVELOPMENT'!$C$6:$C$11)-12*(10-8),SUM($C$6:$C$8)-$C$8))/$C$8*$D$8,0)*(1+'02_PROJECT_INPUTS'!$C$18)^(N$26-'02_PROJECT_INPUTS'!$C$11)</f>
        <v>0</v>
      </c>
      <c r="O29" s="41" t="n">
        <f aca="false">IF($C$8&gt;0,MAX(0,MIN(SUM('01A_DEVELOPMENT'!$C$6:$C$11)-12*(10-1-9)-0,SUM($C$6:$C$8))-MAX(SUM('01A_DEVELOPMENT'!$C$6:$C$11)-12*(10-9),SUM($C$6:$C$8)-$C$8))/$C$8*$D$8,0)*(1+'02_PROJECT_INPUTS'!$C$18)^(O$26-'02_PROJECT_INPUTS'!$C$11)</f>
        <v>0</v>
      </c>
    </row>
    <row r="30" customFormat="false" ht="15" hidden="false" customHeight="true" outlineLevel="0" collapsed="false">
      <c r="A30" s="23" t="s">
        <v>166</v>
      </c>
      <c r="F30" s="41" t="n">
        <f aca="false">IF($C$9&gt;0,MAX(0,MIN(SUM('01A_DEVELOPMENT'!$C$6:$C$11)-12*(10-1-0)-0,SUM($C$6:$C$9))-MAX(SUM('01A_DEVELOPMENT'!$C$6:$C$11)-12*(10-0),SUM($C$6:$C$9)-$C$9))/$C$9*$D$9,0)*(1+'02_PROJECT_INPUTS'!$C$18)^(F$26-'02_PROJECT_INPUTS'!$C$11)</f>
        <v>0</v>
      </c>
      <c r="G30" s="41" t="n">
        <f aca="false">IF($C$9&gt;0,MAX(0,MIN(SUM('01A_DEVELOPMENT'!$C$6:$C$11)-12*(10-1-1)-0,SUM($C$6:$C$9))-MAX(SUM('01A_DEVELOPMENT'!$C$6:$C$11)-12*(10-1),SUM($C$6:$C$9)-$C$9))/$C$9*$D$9,0)*(1+'02_PROJECT_INPUTS'!$C$18)^(G$26-'02_PROJECT_INPUTS'!$C$11)</f>
        <v>0</v>
      </c>
      <c r="H30" s="41" t="n">
        <f aca="false">IF($C$9&gt;0,MAX(0,MIN(SUM('01A_DEVELOPMENT'!$C$6:$C$11)-12*(10-1-2)-0,SUM($C$6:$C$9))-MAX(SUM('01A_DEVELOPMENT'!$C$6:$C$11)-12*(10-2),SUM($C$6:$C$9)-$C$9))/$C$9*$D$9,0)*(1+'02_PROJECT_INPUTS'!$C$18)^(H$26-'02_PROJECT_INPUTS'!$C$11)</f>
        <v>0</v>
      </c>
      <c r="I30" s="41" t="n">
        <f aca="false">IF($C$9&gt;0,MAX(0,MIN(SUM('01A_DEVELOPMENT'!$C$6:$C$11)-12*(10-1-3)-0,SUM($C$6:$C$9))-MAX(SUM('01A_DEVELOPMENT'!$C$6:$C$11)-12*(10-3),SUM($C$6:$C$9)-$C$9))/$C$9*$D$9,0)*(1+'02_PROJECT_INPUTS'!$C$18)^(I$26-'02_PROJECT_INPUTS'!$C$11)</f>
        <v>0</v>
      </c>
      <c r="J30" s="41" t="n">
        <f aca="false">IF($C$9&gt;0,MAX(0,MIN(SUM('01A_DEVELOPMENT'!$C$6:$C$11)-12*(10-1-4)-0,SUM($C$6:$C$9))-MAX(SUM('01A_DEVELOPMENT'!$C$6:$C$11)-12*(10-4),SUM($C$6:$C$9)-$C$9))/$C$9*$D$9,0)*(1+'02_PROJECT_INPUTS'!$C$18)^(J$26-'02_PROJECT_INPUTS'!$C$11)</f>
        <v>0</v>
      </c>
      <c r="K30" s="41" t="n">
        <f aca="false">IF($C$9&gt;0,MAX(0,MIN(SUM('01A_DEVELOPMENT'!$C$6:$C$11)-12*(10-1-5)-0,SUM($C$6:$C$9))-MAX(SUM('01A_DEVELOPMENT'!$C$6:$C$11)-12*(10-5),SUM($C$6:$C$9)-$C$9))/$C$9*$D$9,0)*(1+'02_PROJECT_INPUTS'!$C$18)^(K$26-'02_PROJECT_INPUTS'!$C$11)</f>
        <v>0</v>
      </c>
      <c r="L30" s="41" t="n">
        <f aca="false">IF($C$9&gt;0,MAX(0,MIN(SUM('01A_DEVELOPMENT'!$C$6:$C$11)-12*(10-1-6)-0,SUM($C$6:$C$9))-MAX(SUM('01A_DEVELOPMENT'!$C$6:$C$11)-12*(10-6),SUM($C$6:$C$9)-$C$9))/$C$9*$D$9,0)*(1+'02_PROJECT_INPUTS'!$C$18)^(L$26-'02_PROJECT_INPUTS'!$C$11)</f>
        <v>0</v>
      </c>
      <c r="M30" s="41" t="n">
        <f aca="false">IF($C$9&gt;0,MAX(0,MIN(SUM('01A_DEVELOPMENT'!$C$6:$C$11)-12*(10-1-7)-0,SUM($C$6:$C$9))-MAX(SUM('01A_DEVELOPMENT'!$C$6:$C$11)-12*(10-7),SUM($C$6:$C$9)-$C$9))/$C$9*$D$9,0)*(1+'02_PROJECT_INPUTS'!$C$18)^(M$26-'02_PROJECT_INPUTS'!$C$11)</f>
        <v>0.768935024990388</v>
      </c>
      <c r="N30" s="41" t="n">
        <f aca="false">IF($C$9&gt;0,MAX(0,MIN(SUM('01A_DEVELOPMENT'!$C$6:$C$11)-12*(10-1-8)-0,SUM($C$6:$C$9))-MAX(SUM('01A_DEVELOPMENT'!$C$6:$C$11)-12*(10-8),SUM($C$6:$C$9)-$C$9))/$C$9*$D$9,0)*(1+'02_PROJECT_INPUTS'!$C$18)^(N$26-'02_PROJECT_INPUTS'!$C$11)</f>
        <v>0</v>
      </c>
      <c r="O30" s="41" t="n">
        <f aca="false">IF($C$9&gt;0,MAX(0,MIN(SUM('01A_DEVELOPMENT'!$C$6:$C$11)-12*(10-1-9)-0,SUM($C$6:$C$9))-MAX(SUM('01A_DEVELOPMENT'!$C$6:$C$11)-12*(10-9),SUM($C$6:$C$9)-$C$9))/$C$9*$D$9,0)*(1+'02_PROJECT_INPUTS'!$C$18)^(O$26-'02_PROJECT_INPUTS'!$C$11)</f>
        <v>0</v>
      </c>
    </row>
    <row r="31" customFormat="false" ht="15" hidden="false" customHeight="true" outlineLevel="0" collapsed="false">
      <c r="A31" s="23" t="s">
        <v>167</v>
      </c>
      <c r="F31" s="41" t="n">
        <f aca="false">IF($C$10&gt;0,MAX(0,MIN(SUM('01A_DEVELOPMENT'!$C$6:$C$11)-12*(10-1-0)-0,SUM($C$6:$C$10))-MAX(SUM('01A_DEVELOPMENT'!$C$6:$C$11)-12*(10-0),SUM($C$6:$C$10)-$C$10))/$C$10*$D$10,0)*(1+'02_PROJECT_INPUTS'!$C$18)^(F$26-'02_PROJECT_INPUTS'!$C$11)</f>
        <v>0</v>
      </c>
      <c r="G31" s="41" t="n">
        <f aca="false">IF($C$10&gt;0,MAX(0,MIN(SUM('01A_DEVELOPMENT'!$C$6:$C$11)-12*(10-1-1)-0,SUM($C$6:$C$10))-MAX(SUM('01A_DEVELOPMENT'!$C$6:$C$11)-12*(10-1),SUM($C$6:$C$10)-$C$10))/$C$10*$D$10,0)*(1+'02_PROJECT_INPUTS'!$C$18)^(G$26-'02_PROJECT_INPUTS'!$C$11)</f>
        <v>0</v>
      </c>
      <c r="H31" s="41" t="n">
        <f aca="false">IF($C$10&gt;0,MAX(0,MIN(SUM('01A_DEVELOPMENT'!$C$6:$C$11)-12*(10-1-2)-0,SUM($C$6:$C$10))-MAX(SUM('01A_DEVELOPMENT'!$C$6:$C$11)-12*(10-2),SUM($C$6:$C$10)-$C$10))/$C$10*$D$10,0)*(1+'02_PROJECT_INPUTS'!$C$18)^(H$26-'02_PROJECT_INPUTS'!$C$11)</f>
        <v>0</v>
      </c>
      <c r="I31" s="41" t="n">
        <f aca="false">IF($C$10&gt;0,MAX(0,MIN(SUM('01A_DEVELOPMENT'!$C$6:$C$11)-12*(10-1-3)-0,SUM($C$6:$C$10))-MAX(SUM('01A_DEVELOPMENT'!$C$6:$C$11)-12*(10-3),SUM($C$6:$C$10)-$C$10))/$C$10*$D$10,0)*(1+'02_PROJECT_INPUTS'!$C$18)^(I$26-'02_PROJECT_INPUTS'!$C$11)</f>
        <v>0</v>
      </c>
      <c r="J31" s="41" t="n">
        <f aca="false">IF($C$10&gt;0,MAX(0,MIN(SUM('01A_DEVELOPMENT'!$C$6:$C$11)-12*(10-1-4)-0,SUM($C$6:$C$10))-MAX(SUM('01A_DEVELOPMENT'!$C$6:$C$11)-12*(10-4),SUM($C$6:$C$10)-$C$10))/$C$10*$D$10,0)*(1+'02_PROJECT_INPUTS'!$C$18)^(J$26-'02_PROJECT_INPUTS'!$C$11)</f>
        <v>0</v>
      </c>
      <c r="K31" s="41" t="n">
        <f aca="false">IF($C$10&gt;0,MAX(0,MIN(SUM('01A_DEVELOPMENT'!$C$6:$C$11)-12*(10-1-5)-0,SUM($C$6:$C$10))-MAX(SUM('01A_DEVELOPMENT'!$C$6:$C$11)-12*(10-5),SUM($C$6:$C$10)-$C$10))/$C$10*$D$10,0)*(1+'02_PROJECT_INPUTS'!$C$18)^(K$26-'02_PROJECT_INPUTS'!$C$11)</f>
        <v>0</v>
      </c>
      <c r="L31" s="41" t="n">
        <f aca="false">IF($C$10&gt;0,MAX(0,MIN(SUM('01A_DEVELOPMENT'!$C$6:$C$11)-12*(10-1-6)-0,SUM($C$6:$C$10))-MAX(SUM('01A_DEVELOPMENT'!$C$6:$C$11)-12*(10-6),SUM($C$6:$C$10)-$C$10))/$C$10*$D$10,0)*(1+'02_PROJECT_INPUTS'!$C$18)^(L$26-'02_PROJECT_INPUTS'!$C$11)</f>
        <v>0</v>
      </c>
      <c r="M31" s="41" t="n">
        <f aca="false">IF($C$10&gt;0,MAX(0,MIN(SUM('01A_DEVELOPMENT'!$C$6:$C$11)-12*(10-1-7)-0,SUM($C$6:$C$10))-MAX(SUM('01A_DEVELOPMENT'!$C$6:$C$11)-12*(10-7),SUM($C$6:$C$10)-$C$10))/$C$10*$D$10,0)*(1+'02_PROJECT_INPUTS'!$C$18)^(M$26-'02_PROJECT_INPUTS'!$C$11)</f>
        <v>0</v>
      </c>
      <c r="N31" s="41" t="n">
        <f aca="false">IF($C$10&gt;0,MAX(0,MIN(SUM('01A_DEVELOPMENT'!$C$6:$C$11)-12*(10-1-8)-0,SUM($C$6:$C$10))-MAX(SUM('01A_DEVELOPMENT'!$C$6:$C$11)-12*(10-8),SUM($C$6:$C$10)-$C$10))/$C$10*$D$10,0)*(1+'02_PROJECT_INPUTS'!$C$18)^(N$26-'02_PROJECT_INPUTS'!$C$11)</f>
        <v>0.784313725490196</v>
      </c>
      <c r="O31" s="41" t="n">
        <f aca="false">IF($C$10&gt;0,MAX(0,MIN(SUM('01A_DEVELOPMENT'!$C$6:$C$11)-12*(10-1-9)-0,SUM($C$6:$C$10))-MAX(SUM('01A_DEVELOPMENT'!$C$6:$C$11)-12*(10-9),SUM($C$6:$C$10)-$C$10))/$C$10*$D$10,0)*(1+'02_PROJECT_INPUTS'!$C$18)^(O$26-'02_PROJECT_INPUTS'!$C$11)</f>
        <v>0</v>
      </c>
    </row>
    <row r="32" customFormat="false" ht="15" hidden="false" customHeight="true" outlineLevel="0" collapsed="false">
      <c r="A32" s="23" t="s">
        <v>168</v>
      </c>
      <c r="F32" s="41" t="n">
        <f aca="false">IF($C$11&gt;0,MAX(0,MIN(SUM('01A_DEVELOPMENT'!$C$6:$C$11)-12*(10-1-0)-0,SUM($C$6:$C$11))-MAX(SUM('01A_DEVELOPMENT'!$C$6:$C$11)-12*(10-0),SUM($C$6:$C$11)-$C$11))/$C$11*$D$11,0)*(1+'02_PROJECT_INPUTS'!$C$18)^(F$26-'02_PROJECT_INPUTS'!$C$11)</f>
        <v>0</v>
      </c>
      <c r="G32" s="41" t="n">
        <f aca="false">IF($C$11&gt;0,MAX(0,MIN(SUM('01A_DEVELOPMENT'!$C$6:$C$11)-12*(10-1-1)-0,SUM($C$6:$C$11))-MAX(SUM('01A_DEVELOPMENT'!$C$6:$C$11)-12*(10-1),SUM($C$6:$C$11)-$C$11))/$C$11*$D$11,0)*(1+'02_PROJECT_INPUTS'!$C$18)^(G$26-'02_PROJECT_INPUTS'!$C$11)</f>
        <v>0</v>
      </c>
      <c r="H32" s="41" t="n">
        <f aca="false">IF($C$11&gt;0,MAX(0,MIN(SUM('01A_DEVELOPMENT'!$C$6:$C$11)-12*(10-1-2)-0,SUM($C$6:$C$11))-MAX(SUM('01A_DEVELOPMENT'!$C$6:$C$11)-12*(10-2),SUM($C$6:$C$11)-$C$11))/$C$11*$D$11,0)*(1+'02_PROJECT_INPUTS'!$C$18)^(H$26-'02_PROJECT_INPUTS'!$C$11)</f>
        <v>0</v>
      </c>
      <c r="I32" s="41" t="n">
        <f aca="false">IF($C$11&gt;0,MAX(0,MIN(SUM('01A_DEVELOPMENT'!$C$6:$C$11)-12*(10-1-3)-0,SUM($C$6:$C$11))-MAX(SUM('01A_DEVELOPMENT'!$C$6:$C$11)-12*(10-3),SUM($C$6:$C$11)-$C$11))/$C$11*$D$11,0)*(1+'02_PROJECT_INPUTS'!$C$18)^(I$26-'02_PROJECT_INPUTS'!$C$11)</f>
        <v>0</v>
      </c>
      <c r="J32" s="41" t="n">
        <f aca="false">IF($C$11&gt;0,MAX(0,MIN(SUM('01A_DEVELOPMENT'!$C$6:$C$11)-12*(10-1-4)-0,SUM($C$6:$C$11))-MAX(SUM('01A_DEVELOPMENT'!$C$6:$C$11)-12*(10-4),SUM($C$6:$C$11)-$C$11))/$C$11*$D$11,0)*(1+'02_PROJECT_INPUTS'!$C$18)^(J$26-'02_PROJECT_INPUTS'!$C$11)</f>
        <v>0</v>
      </c>
      <c r="K32" s="41" t="n">
        <f aca="false">IF($C$11&gt;0,MAX(0,MIN(SUM('01A_DEVELOPMENT'!$C$6:$C$11)-12*(10-1-5)-0,SUM($C$6:$C$11))-MAX(SUM('01A_DEVELOPMENT'!$C$6:$C$11)-12*(10-5),SUM($C$6:$C$11)-$C$11))/$C$11*$D$11,0)*(1+'02_PROJECT_INPUTS'!$C$18)^(K$26-'02_PROJECT_INPUTS'!$C$11)</f>
        <v>0</v>
      </c>
      <c r="L32" s="41" t="n">
        <f aca="false">IF($C$11&gt;0,MAX(0,MIN(SUM('01A_DEVELOPMENT'!$C$6:$C$11)-12*(10-1-6)-0,SUM($C$6:$C$11))-MAX(SUM('01A_DEVELOPMENT'!$C$6:$C$11)-12*(10-6),SUM($C$6:$C$11)-$C$11))/$C$11*$D$11,0)*(1+'02_PROJECT_INPUTS'!$C$18)^(L$26-'02_PROJECT_INPUTS'!$C$11)</f>
        <v>0</v>
      </c>
      <c r="M32" s="41" t="n">
        <f aca="false">IF($C$11&gt;0,MAX(0,MIN(SUM('01A_DEVELOPMENT'!$C$6:$C$11)-12*(10-1-7)-0,SUM($C$6:$C$11))-MAX(SUM('01A_DEVELOPMENT'!$C$6:$C$11)-12*(10-7),SUM($C$6:$C$11)-$C$11))/$C$11*$D$11,0)*(1+'02_PROJECT_INPUTS'!$C$18)^(M$26-'02_PROJECT_INPUTS'!$C$11)</f>
        <v>0</v>
      </c>
      <c r="N32" s="41" t="n">
        <f aca="false">IF($C$11&gt;0,MAX(0,MIN(SUM('01A_DEVELOPMENT'!$C$6:$C$11)-12*(10-1-8)-0,SUM($C$6:$C$11))-MAX(SUM('01A_DEVELOPMENT'!$C$6:$C$11)-12*(10-8),SUM($C$6:$C$11)-$C$11))/$C$11*$D$11,0)*(1+'02_PROJECT_INPUTS'!$C$18)^(N$26-'02_PROJECT_INPUTS'!$C$11)</f>
        <v>0</v>
      </c>
      <c r="O32" s="41" t="n">
        <f aca="false">IF($C$11&gt;0,MAX(0,MIN(SUM('01A_DEVELOPMENT'!$C$6:$C$11)-12*(10-1-9)-0,SUM($C$6:$C$11))-MAX(SUM('01A_DEVELOPMENT'!$C$6:$C$11)-12*(10-9),SUM($C$6:$C$11)-$C$11))/$C$11*$D$11,0)*(1+'02_PROJECT_INPUTS'!$C$18)^(O$26-'02_PROJECT_INPUTS'!$C$11)</f>
        <v>2.2</v>
      </c>
    </row>
    <row r="33" customFormat="false" ht="15" hidden="false" customHeight="true" outlineLevel="0" collapsed="false">
      <c r="A33" s="19" t="s">
        <v>169</v>
      </c>
      <c r="C33" s="41" t="n">
        <f aca="false">SUM(F33:O33)</f>
        <v>8.60542984490141</v>
      </c>
      <c r="F33" s="42" t="n">
        <f aca="false">SUM(F27:F32)</f>
        <v>0</v>
      </c>
      <c r="G33" s="42" t="n">
        <f aca="false">SUM(G27:G32)</f>
        <v>0</v>
      </c>
      <c r="H33" s="42" t="n">
        <f aca="false">SUM(H27:H32)</f>
        <v>0</v>
      </c>
      <c r="I33" s="42" t="n">
        <f aca="false">SUM(I27:I32)</f>
        <v>0</v>
      </c>
      <c r="J33" s="42" t="n">
        <f aca="false">SUM(J27:J32)</f>
        <v>0.362292323931966</v>
      </c>
      <c r="K33" s="42" t="n">
        <f aca="false">SUM(K27:K32)</f>
        <v>1.66292176684773</v>
      </c>
      <c r="L33" s="42" t="n">
        <f aca="false">SUM(L27:L32)</f>
        <v>2.82696700364113</v>
      </c>
      <c r="M33" s="42" t="n">
        <f aca="false">SUM(M27:M32)</f>
        <v>0.768935024990388</v>
      </c>
      <c r="N33" s="42" t="n">
        <f aca="false">SUM(N27:N32)</f>
        <v>0.784313725490196</v>
      </c>
      <c r="O33" s="42" t="n">
        <f aca="false">SUM(O27:O32)</f>
        <v>2.2</v>
      </c>
    </row>
    <row r="34" customFormat="false" ht="15" hidden="false" customHeight="true" outlineLevel="0" collapsed="false">
      <c r="A34" s="23" t="s">
        <v>170</v>
      </c>
      <c r="F34" s="43" t="n">
        <f aca="false">IF(F33&gt;0,(F27*PRODUCT($E$6:$E$6)/$E$6+F28*PRODUCT($E$6:$E$7)/$E$7+F29*PRODUCT($E$6:$E$8)/$E$8+F30*PRODUCT($E$6:$E$9)/$E$9+F31*PRODUCT($E$6:$E$10)/$E$10+F32*PRODUCT($E$6:$E$11)/$E$11)/F33,0)</f>
        <v>0</v>
      </c>
      <c r="G34" s="43" t="n">
        <f aca="false">IF(G33&gt;0,(G27*PRODUCT($E$6:$E$6)/$E$6+G28*PRODUCT($E$6:$E$7)/$E$7+G29*PRODUCT($E$6:$E$8)/$E$8+G30*PRODUCT($E$6:$E$9)/$E$9+G31*PRODUCT($E$6:$E$10)/$E$10+G32*PRODUCT($E$6:$E$11)/$E$11)/G33,0)</f>
        <v>0</v>
      </c>
      <c r="H34" s="43" t="n">
        <f aca="false">IF(H33&gt;0,(H27*PRODUCT($E$6:$E$6)/$E$6+H28*PRODUCT($E$6:$E$7)/$E$7+H29*PRODUCT($E$6:$E$8)/$E$8+H30*PRODUCT($E$6:$E$9)/$E$9+H31*PRODUCT($E$6:$E$10)/$E$10+H32*PRODUCT($E$6:$E$11)/$E$11)/H33,0)</f>
        <v>0</v>
      </c>
      <c r="I34" s="43" t="n">
        <f aca="false">IF(I33&gt;0,(I27*PRODUCT($E$6:$E$6)/$E$6+I28*PRODUCT($E$6:$E$7)/$E$7+I29*PRODUCT($E$6:$E$8)/$E$8+I30*PRODUCT($E$6:$E$9)/$E$9+I31*PRODUCT($E$6:$E$10)/$E$10+I32*PRODUCT($E$6:$E$11)/$E$11)/I33,0)</f>
        <v>0</v>
      </c>
      <c r="J34" s="43" t="n">
        <f aca="false">IF(J33&gt;0,(J27*PRODUCT($E$6:$E$6)/$E$6+J28*PRODUCT($E$6:$E$7)/$E$7+J29*PRODUCT($E$6:$E$8)/$E$8+J30*PRODUCT($E$6:$E$9)/$E$9+J31*PRODUCT($E$6:$E$10)/$E$10+J32*PRODUCT($E$6:$E$11)/$E$11)/J33,0)</f>
        <v>0.7</v>
      </c>
      <c r="K34" s="43" t="n">
        <f aca="false">IF(K33&gt;0,(K27*PRODUCT($E$6:$E$6)/$E$6+K28*PRODUCT($E$6:$E$7)/$E$7+K29*PRODUCT($E$6:$E$8)/$E$8+K30*PRODUCT($E$6:$E$9)/$E$9+K31*PRODUCT($E$6:$E$10)/$E$10+K32*PRODUCT($E$6:$E$11)/$E$11)/K33,0)</f>
        <v>0.4</v>
      </c>
      <c r="L34" s="43" t="n">
        <f aca="false">IF(L33&gt;0,(L27*PRODUCT($E$6:$E$6)/$E$6+L28*PRODUCT($E$6:$E$7)/$E$7+L29*PRODUCT($E$6:$E$8)/$E$8+L30*PRODUCT($E$6:$E$9)/$E$9+L31*PRODUCT($E$6:$E$10)/$E$10+L32*PRODUCT($E$6:$E$11)/$E$11)/L33,0)</f>
        <v>0.36</v>
      </c>
      <c r="M34" s="43" t="n">
        <f aca="false">IF(M33&gt;0,(M27*PRODUCT($E$6:$E$6)/$E$6+M28*PRODUCT($E$6:$E$7)/$E$7+M29*PRODUCT($E$6:$E$8)/$E$8+M30*PRODUCT($E$6:$E$9)/$E$9+M31*PRODUCT($E$6:$E$10)/$E$10+M32*PRODUCT($E$6:$E$11)/$E$11)/M33,0)</f>
        <v>0.252</v>
      </c>
      <c r="N34" s="43" t="n">
        <f aca="false">IF(N33&gt;0,(N27*PRODUCT($E$6:$E$6)/$E$6+N28*PRODUCT($E$6:$E$7)/$E$7+N29*PRODUCT($E$6:$E$8)/$E$8+N30*PRODUCT($E$6:$E$9)/$E$9+N31*PRODUCT($E$6:$E$10)/$E$10+N32*PRODUCT($E$6:$E$11)/$E$11)/N33,0)</f>
        <v>0.2142</v>
      </c>
      <c r="O34" s="43" t="n">
        <f aca="false">IF(O33&gt;0,(O27*PRODUCT($E$6:$E$6)/$E$6+O28*PRODUCT($E$6:$E$7)/$E$7+O29*PRODUCT($E$6:$E$8)/$E$8+O30*PRODUCT($E$6:$E$9)/$E$9+O31*PRODUCT($E$6:$E$10)/$E$10+O32*PRODUCT($E$6:$E$11)/$E$11)/O33,0)</f>
        <v>0.17136</v>
      </c>
    </row>
    <row r="36" customFormat="false" ht="15" hidden="false" customHeight="true" outlineLevel="0" collapsed="false">
      <c r="A36" s="21" t="s">
        <v>171</v>
      </c>
      <c r="B36" s="22"/>
      <c r="C36" s="22"/>
      <c r="D36" s="22"/>
      <c r="E36" s="22"/>
      <c r="F36" s="22"/>
      <c r="G36" s="22"/>
      <c r="H36" s="22"/>
      <c r="I36" s="22"/>
      <c r="J36" s="22"/>
    </row>
    <row r="37" customFormat="false" ht="15" hidden="false" customHeight="true" outlineLevel="0" collapsed="false">
      <c r="A37" s="23" t="s">
        <v>172</v>
      </c>
      <c r="B37" s="23" t="s">
        <v>121</v>
      </c>
      <c r="C37" s="44" t="n">
        <f aca="false">C33</f>
        <v>8.60542984490141</v>
      </c>
    </row>
    <row r="38" customFormat="false" ht="15" hidden="false" customHeight="true" outlineLevel="0" collapsed="false">
      <c r="A38" s="23" t="s">
        <v>173</v>
      </c>
      <c r="B38" s="23" t="s">
        <v>121</v>
      </c>
      <c r="C38" s="44" t="n">
        <f aca="false">'01A_DEVELOPMENT'!$C$20*NPV('01A_DEVELOPMENT'!$C$22,'20_CASH_FLOW'!$E$41:$AR$41)</f>
        <v>-2.03896827358337</v>
      </c>
    </row>
    <row r="39" customFormat="false" ht="15" hidden="false" customHeight="true" outlineLevel="0" collapsed="false">
      <c r="A39" s="19" t="s">
        <v>174</v>
      </c>
      <c r="B39" s="23" t="s">
        <v>121</v>
      </c>
      <c r="C39" s="37" t="n">
        <f aca="false">'01A_DEVELOPMENT'!$C$37+'01A_DEVELOPMENT'!$C$19+'01A_DEVELOPMENT'!$C$38</f>
        <v>11.272261571318</v>
      </c>
    </row>
    <row r="40" customFormat="false" ht="15" hidden="false" customHeight="true" outlineLevel="0" collapsed="false">
      <c r="A40" s="23" t="s">
        <v>175</v>
      </c>
      <c r="B40" s="23" t="s">
        <v>121</v>
      </c>
      <c r="C40" s="44" t="n">
        <f aca="false">NPV('01A_DEVELOPMENT'!$C$21,F33:O33)*(1+'01A_DEVELOPMENT'!$C$21)^(10-SUM('01A_DEVELOPMENT'!$C$6:$C$11)/12)</f>
        <v>3.95018740359707</v>
      </c>
    </row>
    <row r="41" customFormat="false" ht="15" hidden="false" customHeight="true" outlineLevel="0" collapsed="false">
      <c r="A41" s="23" t="s">
        <v>176</v>
      </c>
      <c r="B41" s="23" t="s">
        <v>121</v>
      </c>
      <c r="C41" s="44" t="n">
        <f aca="false">SUMPRODUCT(F33:O33,F34:O34,1/(1+'01A_DEVELOPMENT'!$C$21)^(COLUMN(F33:O33)-COLUMN(F33)+1))*(1+'01A_DEVELOPMENT'!$C$21)^(10-SUM('01A_DEVELOPMENT'!$C$6:$C$11)/12)</f>
        <v>1.38290352080554</v>
      </c>
    </row>
    <row r="42" customFormat="false" ht="15" hidden="false" customHeight="true" outlineLevel="0" collapsed="false">
      <c r="A42" s="23" t="s">
        <v>177</v>
      </c>
      <c r="B42" s="23" t="s">
        <v>121</v>
      </c>
      <c r="C42" s="44" t="n">
        <f aca="false">'01A_DEVELOPMENT'!$C$39/(1+'01A_DEVELOPMENT'!$C$21)^(SUM('01A_DEVELOPMENT'!$C$6:$C$11)/12)</f>
        <v>2.9549557373516</v>
      </c>
    </row>
    <row r="43" customFormat="false" ht="15" hidden="false" customHeight="true" outlineLevel="0" collapsed="false">
      <c r="A43" s="19" t="s">
        <v>178</v>
      </c>
      <c r="B43" s="23" t="s">
        <v>121</v>
      </c>
      <c r="C43" s="37" t="n">
        <f aca="false">'01A_DEVELOPMENT'!$C$42-'01A_DEVELOPMENT'!$C$40</f>
        <v>-0.995231666245473</v>
      </c>
    </row>
    <row r="44" customFormat="false" ht="15" hidden="false" customHeight="true" outlineLevel="0" collapsed="false">
      <c r="A44" s="19" t="s">
        <v>179</v>
      </c>
      <c r="B44" s="23" t="s">
        <v>121</v>
      </c>
      <c r="C44" s="37" t="n">
        <f aca="false">'01A_DEVELOPMENT'!$C$14*'01A_DEVELOPMENT'!$C$42-'01A_DEVELOPMENT'!$C$41</f>
        <v>-0.952496487925857</v>
      </c>
    </row>
    <row r="45" customFormat="false" ht="15" hidden="false" customHeight="true" outlineLevel="0" collapsed="false">
      <c r="A45" s="19" t="s">
        <v>180</v>
      </c>
      <c r="B45" s="23" t="s">
        <v>121</v>
      </c>
      <c r="C45" s="37" t="n">
        <f aca="false">MAX(0,'01A_DEVELOPMENT'!$C$19-'01A_DEVELOPMENT'!$C$44*(1+'01A_DEVELOPMENT'!$C$21)^(SUM('01A_DEVELOPMENT'!$C$6:$C$11)/12)/'01A_DEVELOPMENT'!$C$14)</f>
        <v>29.6514647718472</v>
      </c>
    </row>
    <row r="46" customFormat="false" ht="15" hidden="false" customHeight="true" outlineLevel="0" collapsed="false">
      <c r="A46" s="19" t="s">
        <v>181</v>
      </c>
      <c r="B46" s="23" t="s">
        <v>93</v>
      </c>
      <c r="C46" s="38" t="n">
        <f aca="false">'01A_DEVELOPMENT'!$C$45/'06_CONSTRUCTION'!$C$9</f>
        <v>0.189031395969956</v>
      </c>
    </row>
    <row r="47" customFormat="false" ht="15" hidden="false" customHeight="true" outlineLevel="0" collapsed="false">
      <c r="A47" s="19" t="s">
        <v>182</v>
      </c>
      <c r="B47" s="23" t="s">
        <v>93</v>
      </c>
      <c r="C47" s="38" t="str">
        <f aca="false">IF('01A_DEVELOPMENT'!$C$43&lt;=0,"n/a : négative sur le scénario de succès",'01A_DEVELOPMENT'!$C$41/'01A_DEVELOPMENT'!$C$42)</f>
        <v>n/a : négative sur le scénario de succès</v>
      </c>
    </row>
    <row r="49" customFormat="false" ht="15" hidden="false" customHeight="true" outlineLevel="0" collapsed="false">
      <c r="A49" s="21" t="s">
        <v>183</v>
      </c>
      <c r="B49" s="22"/>
      <c r="C49" s="22"/>
      <c r="D49" s="22"/>
      <c r="E49" s="22"/>
      <c r="F49" s="22"/>
      <c r="G49" s="22"/>
      <c r="H49" s="22"/>
      <c r="I49" s="22"/>
      <c r="J49" s="22"/>
    </row>
    <row r="50" customFormat="false" ht="15" hidden="false" customHeight="true" outlineLevel="0" collapsed="false">
      <c r="A50" s="34" t="s">
        <v>184</v>
      </c>
      <c r="B50" s="34" t="s">
        <v>185</v>
      </c>
      <c r="C50" s="34" t="s">
        <v>186</v>
      </c>
      <c r="D50" s="34" t="s">
        <v>187</v>
      </c>
      <c r="E50" s="34" t="s">
        <v>188</v>
      </c>
    </row>
    <row r="51" customFormat="false" ht="15" hidden="false" customHeight="true" outlineLevel="0" collapsed="false">
      <c r="A51" s="23" t="s">
        <v>134</v>
      </c>
      <c r="B51" s="43" t="n">
        <f aca="false">PRODUCT($E$6:$E$11)</f>
        <v>0.145656</v>
      </c>
      <c r="C51" s="41" t="n">
        <f aca="false">B51*'01A_DEVELOPMENT'!$C$39/(1+'01A_DEVELOPMENT'!$C$21)^((SUM('01A_DEVELOPMENT'!$C$6:$C$11)-(SUM($C$6:$C$6)-$C$6))/12)</f>
        <v>0.430407032879684</v>
      </c>
      <c r="D51" s="41" t="n">
        <f aca="false">$D$6*1/(1+'01A_DEVELOPMENT'!$C$21)^(((SUM($C$6:$C$6)-$C$6)-(SUM($C$6:$C$6)-$C$6)+0.5*$C$6)/12)+$D$7*PRODUCT($E$6:$E$6)/(1+'01A_DEVELOPMENT'!$C$21)^(((SUM($C$6:$C$7)-$C$7)-(SUM($C$6:$C$6)-$C$6)+0.5*$C$7)/12)+$D$8*PRODUCT($E$6:$E$7)/(1+'01A_DEVELOPMENT'!$C$21)^(((SUM($C$6:$C$8)-$C$8)-(SUM($C$6:$C$6)-$C$6)+0.5*$C$8)/12)+$D$9*PRODUCT($E$6:$E$8)/(1+'01A_DEVELOPMENT'!$C$21)^(((SUM($C$6:$C$9)-$C$9)-(SUM($C$6:$C$6)-$C$6)+0.5*$C$9)/12)+$D$10*PRODUCT($E$6:$E$9)/(1+'01A_DEVELOPMENT'!$C$21)^(((SUM($C$6:$C$10)-$C$10)-(SUM($C$6:$C$6)-$C$6)+0.5*$C$10)/12)+$D$11*PRODUCT($E$6:$E$10)/(1+'01A_DEVELOPMENT'!$C$21)^(((SUM($C$6:$C$11)-$C$11)-(SUM($C$6:$C$6)-$C$6)+0.5*$C$11)/12)</f>
        <v>1.62871116077183</v>
      </c>
      <c r="E51" s="41" t="n">
        <f aca="false">C51-D51</f>
        <v>-1.19830412789215</v>
      </c>
    </row>
    <row r="52" customFormat="false" ht="15" hidden="false" customHeight="true" outlineLevel="0" collapsed="false">
      <c r="A52" s="23" t="s">
        <v>136</v>
      </c>
      <c r="B52" s="43" t="n">
        <f aca="false">PRODUCT($E$7:$E$11)</f>
        <v>0.24276</v>
      </c>
      <c r="C52" s="41" t="n">
        <f aca="false">B52*'01A_DEVELOPMENT'!$C$39/(1+'01A_DEVELOPMENT'!$C$21)^((SUM('01A_DEVELOPMENT'!$C$6:$C$11)-(SUM($C$6:$C$7)-$C$7))/12)</f>
        <v>0.802016152927467</v>
      </c>
      <c r="D52" s="41" t="n">
        <f aca="false">$D$7*1/(1+'01A_DEVELOPMENT'!$C$21)^(((SUM($C$6:$C$7)-$C$7)-(SUM($C$6:$C$7)-$C$7)+0.5*$C$7)/12)+$D$8*PRODUCT($E$7:$E$7)/(1+'01A_DEVELOPMENT'!$C$21)^(((SUM($C$6:$C$8)-$C$8)-(SUM($C$6:$C$7)-$C$7)+0.5*$C$8)/12)+$D$9*PRODUCT($E$7:$E$8)/(1+'01A_DEVELOPMENT'!$C$21)^(((SUM($C$6:$C$9)-$C$9)-(SUM($C$6:$C$7)-$C$7)+0.5*$C$9)/12)+$D$10*PRODUCT($E$7:$E$9)/(1+'01A_DEVELOPMENT'!$C$21)^(((SUM($C$6:$C$10)-$C$10)-(SUM($C$6:$C$7)-$C$7)+0.5*$C$10)/12)+$D$11*PRODUCT($E$7:$E$10)/(1+'01A_DEVELOPMENT'!$C$21)^(((SUM($C$6:$C$11)-$C$11)-(SUM($C$6:$C$7)-$C$7)+0.5*$C$11)/12)</f>
        <v>2.85869551542524</v>
      </c>
      <c r="E52" s="41" t="n">
        <f aca="false">C52-D52</f>
        <v>-2.05667936249778</v>
      </c>
    </row>
    <row r="53" customFormat="false" ht="15" hidden="false" customHeight="true" outlineLevel="0" collapsed="false">
      <c r="A53" s="23" t="s">
        <v>138</v>
      </c>
      <c r="B53" s="43" t="n">
        <f aca="false">PRODUCT($E$8:$E$11)</f>
        <v>0.4046</v>
      </c>
      <c r="C53" s="41" t="n">
        <f aca="false">B53*'01A_DEVELOPMENT'!$C$39/(1+'01A_DEVELOPMENT'!$C$21)^((SUM('01A_DEVELOPMENT'!$C$6:$C$11)-(SUM($C$6:$C$8)-$C$8))/12)</f>
        <v>1.67086698526556</v>
      </c>
      <c r="D53" s="41" t="n">
        <f aca="false">$D$8*1/(1+'01A_DEVELOPMENT'!$C$21)^(((SUM($C$6:$C$8)-$C$8)-(SUM($C$6:$C$8)-$C$8)+0.5*$C$8)/12)+$D$9*PRODUCT($E$8:$E$8)/(1+'01A_DEVELOPMENT'!$C$21)^(((SUM($C$6:$C$9)-$C$9)-(SUM($C$6:$C$8)-$C$8)+0.5*$C$9)/12)+$D$10*PRODUCT($E$8:$E$9)/(1+'01A_DEVELOPMENT'!$C$21)^(((SUM($C$6:$C$10)-$C$10)-(SUM($C$6:$C$8)-$C$8)+0.5*$C$10)/12)+$D$11*PRODUCT($E$8:$E$10)/(1+'01A_DEVELOPMENT'!$C$21)^(((SUM($C$6:$C$11)-$C$11)-(SUM($C$6:$C$8)-$C$8)+0.5*$C$11)/12)</f>
        <v>4.83758166838603</v>
      </c>
      <c r="E53" s="41" t="n">
        <f aca="false">C53-D53</f>
        <v>-3.16671468312047</v>
      </c>
    </row>
    <row r="54" customFormat="false" ht="15" hidden="false" customHeight="true" outlineLevel="0" collapsed="false">
      <c r="A54" s="23" t="s">
        <v>140</v>
      </c>
      <c r="B54" s="43" t="n">
        <f aca="false">PRODUCT($E$9:$E$11)</f>
        <v>0.578</v>
      </c>
      <c r="C54" s="41" t="n">
        <f aca="false">B54*'01A_DEVELOPMENT'!$C$39/(1+'01A_DEVELOPMENT'!$C$21)^((SUM('01A_DEVELOPMENT'!$C$6:$C$11)-(SUM($C$6:$C$9)-$C$9))/12)</f>
        <v>3.33586800036958</v>
      </c>
      <c r="D54" s="41" t="n">
        <f aca="false">$D$9*1/(1+'01A_DEVELOPMENT'!$C$21)^(((SUM($C$6:$C$9)-$C$9)-(SUM($C$6:$C$9)-$C$9)+0.5*$C$9)/12)+$D$10*PRODUCT($E$9:$E$9)/(1+'01A_DEVELOPMENT'!$C$21)^(((SUM($C$6:$C$10)-$C$10)-(SUM($C$6:$C$9)-$C$9)+0.5*$C$10)/12)+$D$11*PRODUCT($E$9:$E$10)/(1+'01A_DEVELOPMENT'!$C$21)^(((SUM($C$6:$C$11)-$C$11)-(SUM($C$6:$C$9)-$C$9)+0.5*$C$11)/12)</f>
        <v>2.05847051445485</v>
      </c>
      <c r="E54" s="41" t="n">
        <f aca="false">C54-D54</f>
        <v>1.27739748591473</v>
      </c>
    </row>
    <row r="55" customFormat="false" ht="15" hidden="false" customHeight="true" outlineLevel="0" collapsed="false">
      <c r="A55" s="23" t="s">
        <v>142</v>
      </c>
      <c r="B55" s="43" t="n">
        <f aca="false">PRODUCT($E$10:$E$11)</f>
        <v>0.68</v>
      </c>
      <c r="C55" s="41" t="n">
        <f aca="false">B55*'01A_DEVELOPMENT'!$C$39/(1+'01A_DEVELOPMENT'!$C$21)^((SUM('01A_DEVELOPMENT'!$C$6:$C$11)-(SUM($C$6:$C$10)-$C$10))/12)</f>
        <v>4.90568823583761</v>
      </c>
      <c r="D55" s="41" t="n">
        <f aca="false">$D$10*1/(1+'01A_DEVELOPMENT'!$C$21)^(((SUM($C$6:$C$10)-$C$10)-(SUM($C$6:$C$10)-$C$10)+0.5*$C$10)/12)+$D$11*PRODUCT($E$10:$E$10)/(1+'01A_DEVELOPMENT'!$C$21)^(((SUM($C$6:$C$11)-$C$11)-(SUM($C$6:$C$10)-$C$10)+0.5*$C$11)/12)</f>
        <v>1.97489523772781</v>
      </c>
      <c r="E55" s="41" t="n">
        <f aca="false">C55-D55</f>
        <v>2.9307929981098</v>
      </c>
    </row>
    <row r="56" customFormat="false" ht="15" hidden="false" customHeight="true" outlineLevel="0" collapsed="false">
      <c r="A56" s="23" t="s">
        <v>143</v>
      </c>
      <c r="B56" s="43" t="n">
        <f aca="false">PRODUCT($E$11:$E$11)</f>
        <v>0.85</v>
      </c>
      <c r="C56" s="41" t="n">
        <f aca="false">B56*'01A_DEVELOPMENT'!$C$39/(1+'01A_DEVELOPMENT'!$C$21)^((SUM('01A_DEVELOPMENT'!$C$6:$C$11)-(SUM($C$6:$C$11)-$C$11))/12)</f>
        <v>7.66513786849627</v>
      </c>
      <c r="D56" s="41" t="n">
        <f aca="false">$D$11*1/(1+'01A_DEVELOPMENT'!$C$21)^(((SUM($C$6:$C$11)-$C$11)-(SUM($C$6:$C$11)-$C$11)+0.5*$C$11)/12)</f>
        <v>1.96773982019982</v>
      </c>
      <c r="E56" s="41" t="n">
        <f aca="false">C56-D56</f>
        <v>5.69739804829645</v>
      </c>
    </row>
    <row r="57" customFormat="false" ht="15" hidden="false" customHeight="true" outlineLevel="0" collapsed="false">
      <c r="A57" s="25" t="s">
        <v>189</v>
      </c>
    </row>
    <row r="59" customFormat="false" ht="15" hidden="false" customHeight="true" outlineLevel="0" collapsed="false">
      <c r="A59" s="21" t="s">
        <v>190</v>
      </c>
      <c r="B59" s="22"/>
      <c r="C59" s="22"/>
      <c r="D59" s="22"/>
      <c r="E59" s="22"/>
      <c r="F59" s="22"/>
      <c r="G59" s="22"/>
      <c r="H59" s="22"/>
      <c r="I59" s="22"/>
      <c r="J59" s="22"/>
    </row>
    <row r="60" customFormat="false" ht="15" hidden="false" customHeight="true" outlineLevel="0" collapsed="false">
      <c r="A60" s="23" t="s">
        <v>191</v>
      </c>
      <c r="B60" s="23" t="s">
        <v>121</v>
      </c>
      <c r="C60" s="45" t="n">
        <f aca="false">'20_CASH_FLOW'!$C$12</f>
        <v>69.6082010045597</v>
      </c>
    </row>
    <row r="61" customFormat="false" ht="15" hidden="false" customHeight="true" outlineLevel="0" collapsed="false">
      <c r="A61" s="23" t="s">
        <v>192</v>
      </c>
      <c r="B61" s="23" t="s">
        <v>121</v>
      </c>
      <c r="C61" s="44" t="n">
        <f aca="false">NPV('01A_DEVELOPMENT'!$C$22,'20_CASH_FLOW'!$E$41:$AR$41)+NPV('01A_DEVELOPMENT'!$C$22,'20_CASH_FLOW'!$E$12:$AR$12)</f>
        <v>45.8093091068368</v>
      </c>
    </row>
    <row r="62" customFormat="false" ht="15" hidden="false" customHeight="true" outlineLevel="0" collapsed="false">
      <c r="A62" s="23" t="s">
        <v>193</v>
      </c>
      <c r="B62" s="23" t="s">
        <v>121</v>
      </c>
      <c r="C62" s="44" t="n">
        <f aca="false">SUMPRODUCT('06_CONSTRUCTION'!$E$14:$AR$14,'20_CASH_FLOW'!$E$41:$AR$41,1/(1+'01A_DEVELOPMENT'!$C$23)^('06_CONSTRUCTION'!$E$12:$AR$12-'06_CONSTRUCTION'!$C$7))/(1+'01A_DEVELOPMENT'!$C$22)^'06_CONSTRUCTION'!$C$7</f>
        <v>64.0973400587483</v>
      </c>
    </row>
    <row r="63" customFormat="false" ht="15" hidden="false" customHeight="true" outlineLevel="0" collapsed="false">
      <c r="A63" s="19" t="s">
        <v>194</v>
      </c>
      <c r="B63" s="23" t="s">
        <v>121</v>
      </c>
      <c r="C63" s="37" t="n">
        <f aca="false">NPV('01A_DEVELOPMENT'!$C$22,'20_CASH_FLOW'!$E$41:$AR$41)</f>
        <v>-5.09742068395843</v>
      </c>
    </row>
    <row r="64" customFormat="false" ht="15" hidden="false" customHeight="true" outlineLevel="0" collapsed="false">
      <c r="A64" s="19" t="s">
        <v>195</v>
      </c>
      <c r="B64" s="23" t="s">
        <v>121</v>
      </c>
      <c r="C64" s="37" t="n">
        <f aca="false">'01A_DEVELOPMENT'!$C$62-SUMPRODUCT('06_CONSTRUCTION'!$E$14:$AR$14,'20_CASH_FLOW'!$E$41:$AR$41,1/(1+'01A_DEVELOPMENT'!$C$22)^'06_CONSTRUCTION'!$E$12:$AR$12)</f>
        <v>18.2880309519115</v>
      </c>
    </row>
    <row r="66" customFormat="false" ht="15" hidden="false" customHeight="true" outlineLevel="0" collapsed="false">
      <c r="A66" s="21" t="s">
        <v>196</v>
      </c>
      <c r="B66" s="22"/>
      <c r="C66" s="22"/>
      <c r="D66" s="22"/>
      <c r="E66" s="22"/>
      <c r="F66" s="22"/>
      <c r="G66" s="22"/>
      <c r="H66" s="22"/>
      <c r="I66" s="22"/>
      <c r="J66" s="22"/>
    </row>
    <row r="67" customFormat="false" ht="15" hidden="false" customHeight="true" outlineLevel="0" collapsed="false">
      <c r="A67" s="23" t="s">
        <v>197</v>
      </c>
      <c r="B67" s="23" t="s">
        <v>93</v>
      </c>
      <c r="C67" s="39" t="n">
        <v>0.5</v>
      </c>
      <c r="D67" s="25" t="s">
        <v>198</v>
      </c>
    </row>
    <row r="68" customFormat="false" ht="15" hidden="false" customHeight="true" outlineLevel="0" collapsed="false">
      <c r="A68" s="23" t="s">
        <v>199</v>
      </c>
      <c r="B68" s="23" t="s">
        <v>121</v>
      </c>
      <c r="C68" s="44" t="n">
        <f aca="false">SUMPRODUCT('06_CONSTRUCTION'!$E$14:$AR$14,'20_CASH_FLOW'!$E$41:$AR$41,1/(1+'01A_DEVELOPMENT'!$C$23)^('06_CONSTRUCTION'!$E$12:$AR$12-'06_CONSTRUCTION'!$C$7))</f>
        <v>97.4840420618488</v>
      </c>
    </row>
    <row r="69" customFormat="false" ht="15" hidden="false" customHeight="true" outlineLevel="0" collapsed="false">
      <c r="A69" s="19" t="s">
        <v>200</v>
      </c>
      <c r="B69" s="23" t="s">
        <v>121</v>
      </c>
      <c r="C69" s="37" t="n">
        <f aca="false">'01A_DEVELOPMENT'!$C$67*'01A_DEVELOPMENT'!$C$20*'01A_DEVELOPMENT'!$C$68</f>
        <v>19.4968084123698</v>
      </c>
    </row>
    <row r="70" customFormat="false" ht="15" hidden="false" customHeight="true" outlineLevel="0" collapsed="false">
      <c r="A70" s="19" t="s">
        <v>201</v>
      </c>
      <c r="F70" s="40" t="n">
        <f aca="false">'02_PROJECT_INPUTS'!$C$10-10+0</f>
        <v>2017</v>
      </c>
      <c r="G70" s="40" t="n">
        <f aca="false">'02_PROJECT_INPUTS'!$C$10-10+1</f>
        <v>2018</v>
      </c>
      <c r="H70" s="40" t="n">
        <f aca="false">'02_PROJECT_INPUTS'!$C$10-10+2</f>
        <v>2019</v>
      </c>
      <c r="I70" s="40" t="n">
        <f aca="false">'02_PROJECT_INPUTS'!$C$10-10+3</f>
        <v>2020</v>
      </c>
      <c r="J70" s="40" t="n">
        <f aca="false">'02_PROJECT_INPUTS'!$C$10-10+4</f>
        <v>2021</v>
      </c>
      <c r="K70" s="40" t="n">
        <f aca="false">'02_PROJECT_INPUTS'!$C$10-10+5</f>
        <v>2022</v>
      </c>
      <c r="L70" s="40" t="n">
        <f aca="false">'02_PROJECT_INPUTS'!$C$10-10+6</f>
        <v>2023</v>
      </c>
      <c r="M70" s="40" t="n">
        <f aca="false">'02_PROJECT_INPUTS'!$C$10-10+7</f>
        <v>2024</v>
      </c>
      <c r="N70" s="40" t="n">
        <f aca="false">'02_PROJECT_INPUTS'!$C$10-10+8</f>
        <v>2025</v>
      </c>
      <c r="O70" s="40" t="n">
        <f aca="false">'02_PROJECT_INPUTS'!$C$10-10+9</f>
        <v>2026</v>
      </c>
      <c r="P70" s="40" t="n">
        <f aca="false">'02_PROJECT_INPUTS'!$C$10-10+10</f>
        <v>2027</v>
      </c>
      <c r="Q70" s="40" t="n">
        <f aca="false">'02_PROJECT_INPUTS'!$C$10-10+11</f>
        <v>2028</v>
      </c>
      <c r="R70" s="40" t="n">
        <f aca="false">'02_PROJECT_INPUTS'!$C$10-10+12</f>
        <v>2029</v>
      </c>
      <c r="S70" s="40" t="n">
        <f aca="false">'02_PROJECT_INPUTS'!$C$10-10+13</f>
        <v>2030</v>
      </c>
      <c r="T70" s="40" t="n">
        <f aca="false">'02_PROJECT_INPUTS'!$C$10-10+14</f>
        <v>2031</v>
      </c>
      <c r="U70" s="40" t="n">
        <f aca="false">'02_PROJECT_INPUTS'!$C$10-10+15</f>
        <v>2032</v>
      </c>
      <c r="V70" s="40" t="n">
        <f aca="false">'02_PROJECT_INPUTS'!$C$10-10+16</f>
        <v>2033</v>
      </c>
      <c r="W70" s="40" t="n">
        <f aca="false">'02_PROJECT_INPUTS'!$C$10-10+17</f>
        <v>2034</v>
      </c>
      <c r="X70" s="40" t="n">
        <f aca="false">'02_PROJECT_INPUTS'!$C$10-10+18</f>
        <v>2035</v>
      </c>
      <c r="Y70" s="40" t="n">
        <f aca="false">'02_PROJECT_INPUTS'!$C$10-10+19</f>
        <v>2036</v>
      </c>
      <c r="Z70" s="40" t="n">
        <f aca="false">'02_PROJECT_INPUTS'!$C$10-10+20</f>
        <v>2037</v>
      </c>
      <c r="AA70" s="40" t="n">
        <f aca="false">'02_PROJECT_INPUTS'!$C$10-10+21</f>
        <v>2038</v>
      </c>
      <c r="AB70" s="40" t="n">
        <f aca="false">'02_PROJECT_INPUTS'!$C$10-10+22</f>
        <v>2039</v>
      </c>
      <c r="AC70" s="40" t="n">
        <f aca="false">'02_PROJECT_INPUTS'!$C$10-10+23</f>
        <v>2040</v>
      </c>
      <c r="AD70" s="40" t="n">
        <f aca="false">'02_PROJECT_INPUTS'!$C$10-10+24</f>
        <v>2041</v>
      </c>
      <c r="AE70" s="40" t="n">
        <f aca="false">'02_PROJECT_INPUTS'!$C$10-10+25</f>
        <v>2042</v>
      </c>
      <c r="AF70" s="40" t="n">
        <f aca="false">'02_PROJECT_INPUTS'!$C$10-10+26</f>
        <v>2043</v>
      </c>
      <c r="AG70" s="40" t="n">
        <f aca="false">'02_PROJECT_INPUTS'!$C$10-10+27</f>
        <v>2044</v>
      </c>
      <c r="AH70" s="40" t="n">
        <f aca="false">'02_PROJECT_INPUTS'!$C$10-10+28</f>
        <v>2045</v>
      </c>
      <c r="AI70" s="40" t="n">
        <f aca="false">'02_PROJECT_INPUTS'!$C$10-10+29</f>
        <v>2046</v>
      </c>
      <c r="AJ70" s="40" t="n">
        <f aca="false">'02_PROJECT_INPUTS'!$C$10-10+30</f>
        <v>2047</v>
      </c>
      <c r="AK70" s="40" t="n">
        <f aca="false">'02_PROJECT_INPUTS'!$C$10-10+31</f>
        <v>2048</v>
      </c>
      <c r="AL70" s="40" t="n">
        <f aca="false">'02_PROJECT_INPUTS'!$C$10-10+32</f>
        <v>2049</v>
      </c>
      <c r="AM70" s="40" t="n">
        <f aca="false">'02_PROJECT_INPUTS'!$C$10-10+33</f>
        <v>2050</v>
      </c>
      <c r="AN70" s="40" t="n">
        <f aca="false">'02_PROJECT_INPUTS'!$C$10-10+34</f>
        <v>2051</v>
      </c>
      <c r="AO70" s="40" t="n">
        <f aca="false">'02_PROJECT_INPUTS'!$C$10-10+35</f>
        <v>2052</v>
      </c>
      <c r="AP70" s="40" t="n">
        <f aca="false">'02_PROJECT_INPUTS'!$C$10-10+36</f>
        <v>2053</v>
      </c>
      <c r="AQ70" s="40" t="n">
        <f aca="false">'02_PROJECT_INPUTS'!$C$10-10+37</f>
        <v>2054</v>
      </c>
      <c r="AR70" s="40" t="n">
        <f aca="false">'02_PROJECT_INPUTS'!$C$10-10+38</f>
        <v>2055</v>
      </c>
      <c r="AS70" s="40" t="n">
        <f aca="false">'02_PROJECT_INPUTS'!$C$10-10+39</f>
        <v>2056</v>
      </c>
      <c r="AT70" s="40" t="n">
        <f aca="false">'02_PROJECT_INPUTS'!$C$10-10+40</f>
        <v>2057</v>
      </c>
      <c r="AU70" s="40" t="n">
        <f aca="false">'02_PROJECT_INPUTS'!$C$10-10+41</f>
        <v>2058</v>
      </c>
      <c r="AV70" s="40" t="n">
        <f aca="false">'02_PROJECT_INPUTS'!$C$10-10+42</f>
        <v>2059</v>
      </c>
      <c r="AW70" s="40" t="n">
        <f aca="false">'02_PROJECT_INPUTS'!$C$10-10+43</f>
        <v>2060</v>
      </c>
      <c r="AX70" s="40" t="n">
        <f aca="false">'02_PROJECT_INPUTS'!$C$10-10+44</f>
        <v>2061</v>
      </c>
      <c r="AY70" s="40" t="n">
        <f aca="false">'02_PROJECT_INPUTS'!$C$10-10+45</f>
        <v>2062</v>
      </c>
      <c r="AZ70" s="40" t="n">
        <f aca="false">'02_PROJECT_INPUTS'!$C$10-10+46</f>
        <v>2063</v>
      </c>
      <c r="BA70" s="40" t="n">
        <f aca="false">'02_PROJECT_INPUTS'!$C$10-10+47</f>
        <v>2064</v>
      </c>
      <c r="BB70" s="40" t="n">
        <f aca="false">'02_PROJECT_INPUTS'!$C$10-10+48</f>
        <v>2065</v>
      </c>
      <c r="BC70" s="40" t="n">
        <f aca="false">'02_PROJECT_INPUTS'!$C$10-10+49</f>
        <v>2066</v>
      </c>
    </row>
    <row r="71" customFormat="false" ht="15" hidden="false" customHeight="true" outlineLevel="0" collapsed="false">
      <c r="A71" s="19" t="s">
        <v>202</v>
      </c>
      <c r="F71" s="41" t="n">
        <f aca="false">-F33</f>
        <v>-0</v>
      </c>
      <c r="G71" s="41" t="n">
        <f aca="false">-G33</f>
        <v>-0</v>
      </c>
      <c r="H71" s="41" t="n">
        <f aca="false">-H33</f>
        <v>-0</v>
      </c>
      <c r="I71" s="41" t="n">
        <f aca="false">-I33</f>
        <v>-0</v>
      </c>
      <c r="J71" s="41" t="n">
        <f aca="false">-J33</f>
        <v>-0.362292323931966</v>
      </c>
      <c r="K71" s="41" t="n">
        <f aca="false">-K33</f>
        <v>-1.66292176684773</v>
      </c>
      <c r="L71" s="41" t="n">
        <f aca="false">-L33</f>
        <v>-2.82696700364113</v>
      </c>
      <c r="M71" s="41" t="n">
        <f aca="false">-M33</f>
        <v>-0.768935024990388</v>
      </c>
      <c r="N71" s="41" t="n">
        <f aca="false">-N33</f>
        <v>-0.784313725490196</v>
      </c>
      <c r="O71" s="41" t="n">
        <f aca="false">-O33</f>
        <v>-2.2</v>
      </c>
      <c r="P71" s="41" t="n">
        <f aca="false">IF(1=1,'01A_DEVELOPMENT'!$C$37+'01A_DEVELOPMENT'!$C$19,0)+'01A_DEVELOPMENT'!$C$20*'20_CASH_FLOW'!E41*IF('06_CONSTRUCTION'!E14=1,1-'01A_DEVELOPMENT'!$C$67,1)+IF('06_CONSTRUCTION'!E15=1,'01A_DEVELOPMENT'!$C$69,0)</f>
        <v>8.14175502096849</v>
      </c>
      <c r="Q71" s="41" t="n">
        <f aca="false">IF(2=1,'01A_DEVELOPMENT'!$C$37+'01A_DEVELOPMENT'!$C$19,0)+'01A_DEVELOPMENT'!$C$20*'20_CASH_FLOW'!F41*IF('06_CONSTRUCTION'!F14=1,1-'01A_DEVELOPMENT'!$C$67,1)+IF('06_CONSTRUCTION'!F15=1,'01A_DEVELOPMENT'!$C$69,0)</f>
        <v>-9.72448690458703</v>
      </c>
      <c r="R71" s="41" t="n">
        <f aca="false">IF(3=1,'01A_DEVELOPMENT'!$C$37+'01A_DEVELOPMENT'!$C$19,0)+'01A_DEVELOPMENT'!$C$20*'20_CASH_FLOW'!G41*IF('06_CONSTRUCTION'!G14=1,1-'01A_DEVELOPMENT'!$C$67,1)+IF('06_CONSTRUCTION'!G15=1,'01A_DEVELOPMENT'!$C$69,0)</f>
        <v>6.54748973906586</v>
      </c>
      <c r="S71" s="41" t="n">
        <f aca="false">IF(4=1,'01A_DEVELOPMENT'!$C$37+'01A_DEVELOPMENT'!$C$19,0)+'01A_DEVELOPMENT'!$C$20*'20_CASH_FLOW'!H41*IF('06_CONSTRUCTION'!H14=1,1-'01A_DEVELOPMENT'!$C$67,1)+IF('06_CONSTRUCTION'!H15=1,'01A_DEVELOPMENT'!$C$69,0)</f>
        <v>1.21594890091027</v>
      </c>
      <c r="T71" s="41" t="n">
        <f aca="false">IF(5=1,'01A_DEVELOPMENT'!$C$37+'01A_DEVELOPMENT'!$C$19,0)+'01A_DEVELOPMENT'!$C$20*'20_CASH_FLOW'!I41*IF('06_CONSTRUCTION'!I14=1,1-'01A_DEVELOPMENT'!$C$67,1)+IF('06_CONSTRUCTION'!I15=1,'01A_DEVELOPMENT'!$C$69,0)</f>
        <v>1.89132332154779</v>
      </c>
      <c r="U71" s="41" t="n">
        <f aca="false">IF(6=1,'01A_DEVELOPMENT'!$C$37+'01A_DEVELOPMENT'!$C$19,0)+'01A_DEVELOPMENT'!$C$20*'20_CASH_FLOW'!J41*IF('06_CONSTRUCTION'!J14=1,1-'01A_DEVELOPMENT'!$C$67,1)+IF('06_CONSTRUCTION'!J15=1,'01A_DEVELOPMENT'!$C$69,0)</f>
        <v>1.90740037338933</v>
      </c>
      <c r="V71" s="41" t="n">
        <f aca="false">IF(7=1,'01A_DEVELOPMENT'!$C$37+'01A_DEVELOPMENT'!$C$19,0)+'01A_DEVELOPMENT'!$C$20*'20_CASH_FLOW'!K41*IF('06_CONSTRUCTION'!K14=1,1-'01A_DEVELOPMENT'!$C$67,1)+IF('06_CONSTRUCTION'!K15=1,'01A_DEVELOPMENT'!$C$69,0)</f>
        <v>1.9237989662677</v>
      </c>
      <c r="W71" s="41" t="n">
        <f aca="false">IF(8=1,'01A_DEVELOPMENT'!$C$37+'01A_DEVELOPMENT'!$C$19,0)+'01A_DEVELOPMENT'!$C$20*'20_CASH_FLOW'!L41*IF('06_CONSTRUCTION'!L14=1,1-'01A_DEVELOPMENT'!$C$67,1)+IF('06_CONSTRUCTION'!L15=1,'01A_DEVELOPMENT'!$C$69,0)</f>
        <v>2.29570243390629</v>
      </c>
      <c r="X71" s="41" t="n">
        <f aca="false">IF(9=1,'01A_DEVELOPMENT'!$C$37+'01A_DEVELOPMENT'!$C$19,0)+'01A_DEVELOPMENT'!$C$20*'20_CASH_FLOW'!M41*IF('06_CONSTRUCTION'!M14=1,1-'01A_DEVELOPMENT'!$C$67,1)+IF('06_CONSTRUCTION'!M15=1,'01A_DEVELOPMENT'!$C$69,0)</f>
        <v>2.11830748494282</v>
      </c>
      <c r="Y71" s="41" t="n">
        <f aca="false">IF(10=1,'01A_DEVELOPMENT'!$C$37+'01A_DEVELOPMENT'!$C$19,0)+'01A_DEVELOPMENT'!$C$20*'20_CASH_FLOW'!N41*IF('06_CONSTRUCTION'!N14=1,1-'01A_DEVELOPMENT'!$C$67,1)+IF('06_CONSTRUCTION'!N15=1,'01A_DEVELOPMENT'!$C$69,0)</f>
        <v>2.10071399592459</v>
      </c>
      <c r="Z71" s="41" t="n">
        <f aca="false">IF(11=1,'01A_DEVELOPMENT'!$C$37+'01A_DEVELOPMENT'!$C$19,0)+'01A_DEVELOPMENT'!$C$20*'20_CASH_FLOW'!O41*IF('06_CONSTRUCTION'!O14=1,1-'01A_DEVELOPMENT'!$C$67,1)+IF('06_CONSTRUCTION'!O15=1,'01A_DEVELOPMENT'!$C$69,0)</f>
        <v>2.08046343438322</v>
      </c>
      <c r="AA71" s="41" t="n">
        <f aca="false">IF(12=1,'01A_DEVELOPMENT'!$C$37+'01A_DEVELOPMENT'!$C$19,0)+'01A_DEVELOPMENT'!$C$20*'20_CASH_FLOW'!P41*IF('06_CONSTRUCTION'!P14=1,1-'01A_DEVELOPMENT'!$C$67,1)+IF('06_CONSTRUCTION'!P15=1,'01A_DEVELOPMENT'!$C$69,0)</f>
        <v>2.05731824264882</v>
      </c>
      <c r="AB71" s="41" t="n">
        <f aca="false">IF(13=1,'01A_DEVELOPMENT'!$C$37+'01A_DEVELOPMENT'!$C$19,0)+'01A_DEVELOPMENT'!$C$20*'20_CASH_FLOW'!Q41*IF('06_CONSTRUCTION'!Q14=1,1-'01A_DEVELOPMENT'!$C$67,1)+IF('06_CONSTRUCTION'!Q15=1,'01A_DEVELOPMENT'!$C$69,0)</f>
        <v>2.03102135860055</v>
      </c>
      <c r="AC71" s="41" t="n">
        <f aca="false">IF(14=1,'01A_DEVELOPMENT'!$C$37+'01A_DEVELOPMENT'!$C$19,0)+'01A_DEVELOPMENT'!$C$20*'20_CASH_FLOW'!R41*IF('06_CONSTRUCTION'!R14=1,1-'01A_DEVELOPMENT'!$C$67,1)+IF('06_CONSTRUCTION'!R15=1,'01A_DEVELOPMENT'!$C$69,0)</f>
        <v>2.0012946453138</v>
      </c>
      <c r="AD71" s="41" t="n">
        <f aca="false">IF(15=1,'01A_DEVELOPMENT'!$C$37+'01A_DEVELOPMENT'!$C$19,0)+'01A_DEVELOPMENT'!$C$20*'20_CASH_FLOW'!S41*IF('06_CONSTRUCTION'!S14=1,1-'01A_DEVELOPMENT'!$C$67,1)+IF('06_CONSTRUCTION'!S15=1,'01A_DEVELOPMENT'!$C$69,0)</f>
        <v>1.9678371948792</v>
      </c>
      <c r="AE71" s="41" t="n">
        <f aca="false">IF(16=1,'01A_DEVELOPMENT'!$C$37+'01A_DEVELOPMENT'!$C$19,0)+'01A_DEVELOPMENT'!$C$20*'20_CASH_FLOW'!T41*IF('06_CONSTRUCTION'!T14=1,1-'01A_DEVELOPMENT'!$C$67,1)+IF('06_CONSTRUCTION'!T15=1,'01A_DEVELOPMENT'!$C$69,0)</f>
        <v>1.93032349632322</v>
      </c>
      <c r="AF71" s="41" t="n">
        <f aca="false">IF(17=1,'01A_DEVELOPMENT'!$C$37+'01A_DEVELOPMENT'!$C$19,0)+'01A_DEVELOPMENT'!$C$20*'20_CASH_FLOW'!U41*IF('06_CONSTRUCTION'!U14=1,1-'01A_DEVELOPMENT'!$C$67,1)+IF('06_CONSTRUCTION'!U15=1,'01A_DEVELOPMENT'!$C$69,0)</f>
        <v>1.88840145675441</v>
      </c>
      <c r="AG71" s="41" t="n">
        <f aca="false">IF(18=1,'01A_DEVELOPMENT'!$C$37+'01A_DEVELOPMENT'!$C$19,0)+'01A_DEVELOPMENT'!$C$20*'20_CASH_FLOW'!V41*IF('06_CONSTRUCTION'!V14=1,1-'01A_DEVELOPMENT'!$C$67,1)+IF('06_CONSTRUCTION'!V15=1,'01A_DEVELOPMENT'!$C$69,0)</f>
        <v>1.84169026398923</v>
      </c>
      <c r="AH71" s="41" t="n">
        <f aca="false">IF(19=1,'01A_DEVELOPMENT'!$C$37+'01A_DEVELOPMENT'!$C$19,0)+'01A_DEVELOPMENT'!$C$20*'20_CASH_FLOW'!W41*IF('06_CONSTRUCTION'!W14=1,1-'01A_DEVELOPMENT'!$C$67,1)+IF('06_CONSTRUCTION'!W15=1,'01A_DEVELOPMENT'!$C$69,0)</f>
        <v>3.43212782504349</v>
      </c>
      <c r="AI71" s="41" t="n">
        <f aca="false">IF(20=1,'01A_DEVELOPMENT'!$C$37+'01A_DEVELOPMENT'!$C$19,0)+'01A_DEVELOPMENT'!$C$20*'20_CASH_FLOW'!X41*IF('06_CONSTRUCTION'!X14=1,1-'01A_DEVELOPMENT'!$C$67,1)+IF('06_CONSTRUCTION'!X15=1,'01A_DEVELOPMENT'!$C$69,0)</f>
        <v>5.03035514267022</v>
      </c>
      <c r="AJ71" s="41" t="n">
        <f aca="false">IF(21=1,'01A_DEVELOPMENT'!$C$37+'01A_DEVELOPMENT'!$C$19,0)+'01A_DEVELOPMENT'!$C$20*'20_CASH_FLOW'!Y41*IF('06_CONSTRUCTION'!Y14=1,1-'01A_DEVELOPMENT'!$C$67,1)+IF('06_CONSTRUCTION'!Y15=1,'01A_DEVELOPMENT'!$C$69,0)</f>
        <v>5.07264240391222</v>
      </c>
      <c r="AK71" s="41" t="n">
        <f aca="false">IF(22=1,'01A_DEVELOPMENT'!$C$37+'01A_DEVELOPMENT'!$C$19,0)+'01A_DEVELOPMENT'!$C$20*'20_CASH_FLOW'!Z41*IF('06_CONSTRUCTION'!Z14=1,1-'01A_DEVELOPMENT'!$C$67,1)+IF('06_CONSTRUCTION'!Z15=1,'01A_DEVELOPMENT'!$C$69,0)</f>
        <v>5.11577541037905</v>
      </c>
      <c r="AL71" s="41" t="n">
        <f aca="false">IF(23=1,'01A_DEVELOPMENT'!$C$37+'01A_DEVELOPMENT'!$C$19,0)+'01A_DEVELOPMENT'!$C$20*'20_CASH_FLOW'!AA41*IF('06_CONSTRUCTION'!AA14=1,1-'01A_DEVELOPMENT'!$C$67,1)+IF('06_CONSTRUCTION'!AA15=1,'01A_DEVELOPMENT'!$C$69,0)</f>
        <v>5.15977107697522</v>
      </c>
      <c r="AM71" s="41" t="n">
        <f aca="false">IF(24=1,'01A_DEVELOPMENT'!$C$37+'01A_DEVELOPMENT'!$C$19,0)+'01A_DEVELOPMENT'!$C$20*'20_CASH_FLOW'!AB41*IF('06_CONSTRUCTION'!AB14=1,1-'01A_DEVELOPMENT'!$C$67,1)+IF('06_CONSTRUCTION'!AB15=1,'01A_DEVELOPMENT'!$C$69,0)</f>
        <v>4.5817085801468</v>
      </c>
      <c r="AN71" s="41" t="n">
        <f aca="false">IF(25=1,'01A_DEVELOPMENT'!$C$37+'01A_DEVELOPMENT'!$C$19,0)+'01A_DEVELOPMENT'!$C$20*'20_CASH_FLOW'!AC41*IF('06_CONSTRUCTION'!AC14=1,1-'01A_DEVELOPMENT'!$C$67,1)+IF('06_CONSTRUCTION'!AC15=1,'01A_DEVELOPMENT'!$C$69,0)</f>
        <v>4.62748167167346</v>
      </c>
      <c r="AO71" s="41" t="n">
        <f aca="false">IF(26=1,'01A_DEVELOPMENT'!$C$37+'01A_DEVELOPMENT'!$C$19,0)+'01A_DEVELOPMENT'!$C$20*'20_CASH_FLOW'!AD41*IF('06_CONSTRUCTION'!AD14=1,1-'01A_DEVELOPMENT'!$C$67,1)+IF('06_CONSTRUCTION'!AD15=1,'01A_DEVELOPMENT'!$C$69,0)</f>
        <v>4.67417022503064</v>
      </c>
      <c r="AP71" s="41" t="n">
        <f aca="false">IF(27=1,'01A_DEVELOPMENT'!$C$37+'01A_DEVELOPMENT'!$C$19,0)+'01A_DEVELOPMENT'!$C$20*'20_CASH_FLOW'!AE41*IF('06_CONSTRUCTION'!AE14=1,1-'01A_DEVELOPMENT'!$C$67,1)+IF('06_CONSTRUCTION'!AE15=1,'01A_DEVELOPMENT'!$C$69,0)</f>
        <v>4.72179254945498</v>
      </c>
      <c r="AQ71" s="41" t="n">
        <f aca="false">IF(28=1,'01A_DEVELOPMENT'!$C$37+'01A_DEVELOPMENT'!$C$19,0)+'01A_DEVELOPMENT'!$C$20*'20_CASH_FLOW'!AF41*IF('06_CONSTRUCTION'!AF14=1,1-'01A_DEVELOPMENT'!$C$67,1)+IF('06_CONSTRUCTION'!AF15=1,'01A_DEVELOPMENT'!$C$69,0)</f>
        <v>4.7703673203678</v>
      </c>
      <c r="AR71" s="41" t="n">
        <f aca="false">IF(29=1,'01A_DEVELOPMENT'!$C$37+'01A_DEVELOPMENT'!$C$19,0)+'01A_DEVELOPMENT'!$C$20*'20_CASH_FLOW'!AG41*IF('06_CONSTRUCTION'!AG14=1,1-'01A_DEVELOPMENT'!$C$67,1)+IF('06_CONSTRUCTION'!AG15=1,'01A_DEVELOPMENT'!$C$69,0)</f>
        <v>0</v>
      </c>
      <c r="AS71" s="41" t="n">
        <f aca="false">IF(30=1,'01A_DEVELOPMENT'!$C$37+'01A_DEVELOPMENT'!$C$19,0)+'01A_DEVELOPMENT'!$C$20*'20_CASH_FLOW'!AH41*IF('06_CONSTRUCTION'!AH14=1,1-'01A_DEVELOPMENT'!$C$67,1)+IF('06_CONSTRUCTION'!AH15=1,'01A_DEVELOPMENT'!$C$69,0)</f>
        <v>0</v>
      </c>
      <c r="AT71" s="41" t="n">
        <f aca="false">IF(31=1,'01A_DEVELOPMENT'!$C$37+'01A_DEVELOPMENT'!$C$19,0)+'01A_DEVELOPMENT'!$C$20*'20_CASH_FLOW'!AI41*IF('06_CONSTRUCTION'!AI14=1,1-'01A_DEVELOPMENT'!$C$67,1)+IF('06_CONSTRUCTION'!AI15=1,'01A_DEVELOPMENT'!$C$69,0)</f>
        <v>0</v>
      </c>
      <c r="AU71" s="41" t="n">
        <f aca="false">IF(32=1,'01A_DEVELOPMENT'!$C$37+'01A_DEVELOPMENT'!$C$19,0)+'01A_DEVELOPMENT'!$C$20*'20_CASH_FLOW'!AJ41*IF('06_CONSTRUCTION'!AJ14=1,1-'01A_DEVELOPMENT'!$C$67,1)+IF('06_CONSTRUCTION'!AJ15=1,'01A_DEVELOPMENT'!$C$69,0)</f>
        <v>0</v>
      </c>
      <c r="AV71" s="41" t="n">
        <f aca="false">IF(33=1,'01A_DEVELOPMENT'!$C$37+'01A_DEVELOPMENT'!$C$19,0)+'01A_DEVELOPMENT'!$C$20*'20_CASH_FLOW'!AK41*IF('06_CONSTRUCTION'!AK14=1,1-'01A_DEVELOPMENT'!$C$67,1)+IF('06_CONSTRUCTION'!AK15=1,'01A_DEVELOPMENT'!$C$69,0)</f>
        <v>0</v>
      </c>
      <c r="AW71" s="41" t="n">
        <f aca="false">IF(34=1,'01A_DEVELOPMENT'!$C$37+'01A_DEVELOPMENT'!$C$19,0)+'01A_DEVELOPMENT'!$C$20*'20_CASH_FLOW'!AL41*IF('06_CONSTRUCTION'!AL14=1,1-'01A_DEVELOPMENT'!$C$67,1)+IF('06_CONSTRUCTION'!AL15=1,'01A_DEVELOPMENT'!$C$69,0)</f>
        <v>0</v>
      </c>
      <c r="AX71" s="41" t="n">
        <f aca="false">IF(35=1,'01A_DEVELOPMENT'!$C$37+'01A_DEVELOPMENT'!$C$19,0)+'01A_DEVELOPMENT'!$C$20*'20_CASH_FLOW'!AM41*IF('06_CONSTRUCTION'!AM14=1,1-'01A_DEVELOPMENT'!$C$67,1)+IF('06_CONSTRUCTION'!AM15=1,'01A_DEVELOPMENT'!$C$69,0)</f>
        <v>0</v>
      </c>
      <c r="AY71" s="41" t="n">
        <f aca="false">IF(36=1,'01A_DEVELOPMENT'!$C$37+'01A_DEVELOPMENT'!$C$19,0)+'01A_DEVELOPMENT'!$C$20*'20_CASH_FLOW'!AN41*IF('06_CONSTRUCTION'!AN14=1,1-'01A_DEVELOPMENT'!$C$67,1)+IF('06_CONSTRUCTION'!AN15=1,'01A_DEVELOPMENT'!$C$69,0)</f>
        <v>0</v>
      </c>
      <c r="AZ71" s="41" t="n">
        <f aca="false">IF(37=1,'01A_DEVELOPMENT'!$C$37+'01A_DEVELOPMENT'!$C$19,0)+'01A_DEVELOPMENT'!$C$20*'20_CASH_FLOW'!AO41*IF('06_CONSTRUCTION'!AO14=1,1-'01A_DEVELOPMENT'!$C$67,1)+IF('06_CONSTRUCTION'!AO15=1,'01A_DEVELOPMENT'!$C$69,0)</f>
        <v>0</v>
      </c>
      <c r="BA71" s="41" t="n">
        <f aca="false">IF(38=1,'01A_DEVELOPMENT'!$C$37+'01A_DEVELOPMENT'!$C$19,0)+'01A_DEVELOPMENT'!$C$20*'20_CASH_FLOW'!AP41*IF('06_CONSTRUCTION'!AP14=1,1-'01A_DEVELOPMENT'!$C$67,1)+IF('06_CONSTRUCTION'!AP15=1,'01A_DEVELOPMENT'!$C$69,0)</f>
        <v>0</v>
      </c>
      <c r="BB71" s="41" t="n">
        <f aca="false">IF(39=1,'01A_DEVELOPMENT'!$C$37+'01A_DEVELOPMENT'!$C$19,0)+'01A_DEVELOPMENT'!$C$20*'20_CASH_FLOW'!AQ41*IF('06_CONSTRUCTION'!AQ14=1,1-'01A_DEVELOPMENT'!$C$67,1)+IF('06_CONSTRUCTION'!AQ15=1,'01A_DEVELOPMENT'!$C$69,0)</f>
        <v>0</v>
      </c>
      <c r="BC71" s="41" t="n">
        <f aca="false">IF(40=1,'01A_DEVELOPMENT'!$C$37+'01A_DEVELOPMENT'!$C$19,0)+'01A_DEVELOPMENT'!$C$20*'20_CASH_FLOW'!AR41*IF('06_CONSTRUCTION'!AR14=1,1-'01A_DEVELOPMENT'!$C$67,1)+IF('06_CONSTRUCTION'!AR15=1,'01A_DEVELOPMENT'!$C$69,0)</f>
        <v>0</v>
      </c>
    </row>
    <row r="72" customFormat="false" ht="15" hidden="false" customHeight="true" outlineLevel="0" collapsed="false">
      <c r="A72" s="19" t="s">
        <v>203</v>
      </c>
      <c r="B72" s="23" t="s">
        <v>93</v>
      </c>
      <c r="C72" s="38" t="n">
        <f aca="false">IF(ISNUMBER(IRR('01A_DEVELOPMENT'!$F$71:$BC$71,0.15)),IF(ABS(IRR('01A_DEVELOPMENT'!$F$71:$BC$71,0.15))&lt;1,IRR('01A_DEVELOPMENT'!$F$71:$BC$71,0.15),IF(ISNUMBER(IRR('01A_DEVELOPMENT'!$F$71:$BC$71,0.05)),IF(ABS(IRR('01A_DEVELOPMENT'!$F$71:$BC$71,0.05))&lt;1,IRR('01A_DEVELOPMENT'!$F$71:$BC$71,0.05),IF(ISNUMBER(IRR('01A_DEVELOPMENT'!$F$71:$BC$71,-0.05)),IF(ABS(IRR('01A_DEVELOPMENT'!$F$71:$BC$71,-0.05))&lt;1,IRR('01A_DEVELOPMENT'!$F$71:$BC$71,-0.05),-1),-1)),IF(ISNUMBER(IRR('01A_DEVELOPMENT'!$F$71:$BC$71,-0.05)),IF(ABS(IRR('01A_DEVELOPMENT'!$F$71:$BC$71,-0.05))&lt;1,IRR('01A_DEVELOPMENT'!$F$71:$BC$71,-0.05),-1),-1))),IF(ISNUMBER(IRR('01A_DEVELOPMENT'!$F$71:$BC$71,0.05)),IF(ABS(IRR('01A_DEVELOPMENT'!$F$71:$BC$71,0.05))&lt;1,IRR('01A_DEVELOPMENT'!$F$71:$BC$71,0.05),IF(ISNUMBER(IRR('01A_DEVELOPMENT'!$F$71:$BC$71,-0.05)),IF(ABS(IRR('01A_DEVELOPMENT'!$F$71:$BC$71,-0.05))&lt;1,IRR('01A_DEVELOPMENT'!$F$71:$BC$71,-0.05),-1),-1)),IF(ISNUMBER(IRR('01A_DEVELOPMENT'!$F$71:$BC$71,-0.05)),IF(ABS(IRR('01A_DEVELOPMENT'!$F$71:$BC$71,-0.05))&lt;1,IRR('01A_DEVELOPMENT'!$F$71:$BC$71,-0.05),-1),-1)))</f>
        <v>0.159572040576511</v>
      </c>
    </row>
    <row r="73" customFormat="false" ht="15" hidden="false" customHeight="true" outlineLevel="0" collapsed="false">
      <c r="A73" s="19" t="s">
        <v>204</v>
      </c>
      <c r="B73" s="23" t="s">
        <v>119</v>
      </c>
      <c r="C73" s="46" t="n">
        <f aca="false">IFERROR(SUMIF('01A_DEVELOPMENT'!$F$71:$BC$71,"&gt;0")/-SUMIF('01A_DEVELOPMENT'!$F$71:$BC$71,"&lt;0"),0)</f>
        <v>4.97148916609306</v>
      </c>
    </row>
    <row r="74" customFormat="false" ht="15" hidden="false" customHeight="true" outlineLevel="0" collapsed="false">
      <c r="A74" s="19" t="s">
        <v>205</v>
      </c>
      <c r="B74" s="23" t="s">
        <v>121</v>
      </c>
      <c r="C74" s="37" t="n">
        <f aca="false">-MIN(0,MIN(SUM($F$71:F$71),SUM($F$71:G$71),SUM($F$71:H$71),SUM($F$71:I$71),SUM($F$71:J$71),SUM($F$71:K$71),SUM($F$71:L$71),SUM($F$71:M$71),SUM($F$71:N$71),SUM($F$71:O$71),SUM($F$71:P$71),SUM($F$71:Q$71),SUM($F$71:R$71),SUM($F$71:S$71),SUM($F$71:T$71),SUM($F$71:U$71),SUM($F$71:V$71),SUM($F$71:W$71)))</f>
        <v>10.18816172852</v>
      </c>
    </row>
    <row r="76" customFormat="false" ht="15" hidden="false" customHeight="true" outlineLevel="0" collapsed="false">
      <c r="A76" s="25" t="s">
        <v>206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207</v>
      </c>
      <c r="B1" s="17"/>
      <c r="C1" s="17"/>
      <c r="D1" s="17"/>
      <c r="E1" s="17"/>
      <c r="F1" s="17"/>
      <c r="G1" s="17"/>
      <c r="H1" s="17"/>
      <c r="I1" s="17"/>
      <c r="J1" s="17"/>
    </row>
    <row r="2" customFormat="false" ht="15" hidden="false" customHeight="true" outlineLevel="0" collapsed="false">
      <c r="A2" s="18" t="s">
        <v>208</v>
      </c>
      <c r="B2" s="17"/>
      <c r="C2" s="17"/>
      <c r="D2" s="17"/>
      <c r="E2" s="17"/>
      <c r="F2" s="17"/>
      <c r="G2" s="17"/>
      <c r="H2" s="17"/>
      <c r="I2" s="17"/>
      <c r="J2" s="17"/>
    </row>
    <row r="4" customFormat="false" ht="15" hidden="false" customHeight="true" outlineLevel="0" collapsed="false">
      <c r="A4" s="21" t="s">
        <v>209</v>
      </c>
      <c r="B4" s="22"/>
      <c r="C4" s="22"/>
      <c r="D4" s="22"/>
      <c r="E4" s="22"/>
      <c r="F4" s="22"/>
      <c r="G4" s="22"/>
      <c r="H4" s="22"/>
      <c r="I4" s="22"/>
      <c r="J4" s="22"/>
    </row>
    <row r="5" customFormat="false" ht="15" hidden="false" customHeight="true" outlineLevel="0" collapsed="false">
      <c r="A5" s="23" t="s">
        <v>210</v>
      </c>
      <c r="B5" s="23"/>
      <c r="C5" s="47" t="s">
        <v>211</v>
      </c>
      <c r="D5" s="25" t="s">
        <v>212</v>
      </c>
    </row>
    <row r="6" customFormat="false" ht="15" hidden="false" customHeight="true" outlineLevel="0" collapsed="false">
      <c r="A6" s="23" t="s">
        <v>213</v>
      </c>
      <c r="B6" s="23"/>
      <c r="C6" s="47" t="s">
        <v>214</v>
      </c>
      <c r="D6" s="25" t="s">
        <v>215</v>
      </c>
    </row>
    <row r="7" customFormat="false" ht="15" hidden="false" customHeight="true" outlineLevel="0" collapsed="false">
      <c r="A7" s="23" t="s">
        <v>216</v>
      </c>
      <c r="B7" s="23"/>
      <c r="C7" s="47" t="s">
        <v>217</v>
      </c>
      <c r="D7" s="25" t="s">
        <v>218</v>
      </c>
    </row>
    <row r="8" customFormat="false" ht="15" hidden="false" customHeight="true" outlineLevel="0" collapsed="false">
      <c r="A8" s="23" t="s">
        <v>219</v>
      </c>
      <c r="B8" s="23"/>
      <c r="C8" s="47" t="s">
        <v>220</v>
      </c>
    </row>
    <row r="9" customFormat="false" ht="15" hidden="false" customHeight="true" outlineLevel="0" collapsed="false">
      <c r="A9" s="21" t="s">
        <v>221</v>
      </c>
      <c r="B9" s="22"/>
      <c r="C9" s="22"/>
      <c r="D9" s="22"/>
      <c r="E9" s="22"/>
      <c r="F9" s="22"/>
      <c r="G9" s="22"/>
      <c r="H9" s="22"/>
      <c r="I9" s="22"/>
      <c r="J9" s="22"/>
    </row>
    <row r="10" customFormat="false" ht="15" hidden="false" customHeight="true" outlineLevel="0" collapsed="false">
      <c r="A10" s="23" t="s">
        <v>222</v>
      </c>
      <c r="B10" s="23" t="s">
        <v>223</v>
      </c>
      <c r="C10" s="48" t="n">
        <v>2027</v>
      </c>
    </row>
    <row r="11" customFormat="false" ht="15" hidden="false" customHeight="true" outlineLevel="0" collapsed="false">
      <c r="A11" s="23" t="s">
        <v>224</v>
      </c>
      <c r="B11" s="23" t="s">
        <v>223</v>
      </c>
      <c r="C11" s="49" t="n">
        <v>2026</v>
      </c>
      <c r="D11" s="25" t="s">
        <v>225</v>
      </c>
    </row>
    <row r="12" customFormat="false" ht="15" hidden="false" customHeight="true" outlineLevel="0" collapsed="false">
      <c r="A12" s="23" t="s">
        <v>226</v>
      </c>
      <c r="B12" s="23" t="s">
        <v>147</v>
      </c>
      <c r="C12" s="24" t="n">
        <v>3</v>
      </c>
      <c r="D12" s="25" t="s">
        <v>227</v>
      </c>
    </row>
    <row r="13" customFormat="false" ht="15" hidden="false" customHeight="true" outlineLevel="0" collapsed="false">
      <c r="A13" s="23" t="s">
        <v>228</v>
      </c>
      <c r="B13" s="23" t="s">
        <v>147</v>
      </c>
      <c r="C13" s="24" t="n">
        <v>25</v>
      </c>
      <c r="D13" s="25" t="s">
        <v>229</v>
      </c>
    </row>
    <row r="14" customFormat="false" ht="15" hidden="false" customHeight="true" outlineLevel="0" collapsed="false">
      <c r="A14" s="21" t="s">
        <v>230</v>
      </c>
      <c r="B14" s="22"/>
      <c r="C14" s="22"/>
      <c r="D14" s="22"/>
      <c r="E14" s="22"/>
      <c r="F14" s="22"/>
      <c r="G14" s="22"/>
      <c r="H14" s="22"/>
      <c r="I14" s="22"/>
      <c r="J14" s="22"/>
    </row>
    <row r="15" customFormat="false" ht="15" hidden="false" customHeight="true" outlineLevel="0" collapsed="false">
      <c r="A15" s="23" t="s">
        <v>231</v>
      </c>
      <c r="B15" s="23" t="s">
        <v>232</v>
      </c>
      <c r="C15" s="50" t="n">
        <v>60</v>
      </c>
      <c r="D15" s="25" t="s">
        <v>233</v>
      </c>
    </row>
    <row r="16" customFormat="false" ht="15" hidden="false" customHeight="true" outlineLevel="0" collapsed="false">
      <c r="A16" s="23" t="s">
        <v>234</v>
      </c>
      <c r="B16" s="23" t="s">
        <v>115</v>
      </c>
      <c r="C16" s="35" t="n">
        <v>3</v>
      </c>
    </row>
    <row r="17" customFormat="false" ht="15" hidden="false" customHeight="true" outlineLevel="0" collapsed="false">
      <c r="A17" s="21" t="s">
        <v>235</v>
      </c>
      <c r="B17" s="22"/>
      <c r="C17" s="22"/>
      <c r="D17" s="22"/>
      <c r="E17" s="22"/>
      <c r="F17" s="22"/>
      <c r="G17" s="22"/>
      <c r="H17" s="22"/>
      <c r="I17" s="22"/>
      <c r="J17" s="22"/>
    </row>
    <row r="18" customFormat="false" ht="15" hidden="false" customHeight="true" outlineLevel="0" collapsed="false">
      <c r="A18" s="23" t="s">
        <v>236</v>
      </c>
      <c r="B18" s="23" t="s">
        <v>237</v>
      </c>
      <c r="C18" s="27" t="n">
        <v>0.02</v>
      </c>
      <c r="D18" s="25" t="s">
        <v>159</v>
      </c>
    </row>
    <row r="19" customFormat="false" ht="15" hidden="false" customHeight="true" outlineLevel="0" collapsed="false">
      <c r="A19" s="23" t="s">
        <v>238</v>
      </c>
      <c r="B19" s="23" t="s">
        <v>237</v>
      </c>
      <c r="C19" s="27" t="n">
        <v>0.08</v>
      </c>
      <c r="D19" s="25" t="s">
        <v>159</v>
      </c>
    </row>
    <row r="20" customFormat="false" ht="15" hidden="false" customHeight="true" outlineLevel="0" collapsed="false">
      <c r="A20" s="23" t="s">
        <v>239</v>
      </c>
      <c r="B20" s="23" t="s">
        <v>240</v>
      </c>
      <c r="C20" s="36" t="n">
        <v>20</v>
      </c>
      <c r="D20" s="25" t="s">
        <v>241</v>
      </c>
    </row>
    <row r="21" customFormat="false" ht="15" hidden="false" customHeight="true" outlineLevel="0" collapsed="false">
      <c r="A21" s="23" t="s">
        <v>242</v>
      </c>
      <c r="B21" s="23" t="s">
        <v>237</v>
      </c>
      <c r="C21" s="39" t="n">
        <v>0.06</v>
      </c>
      <c r="D21" s="25" t="s">
        <v>243</v>
      </c>
    </row>
    <row r="22" customFormat="false" ht="15" hidden="false" customHeight="true" outlineLevel="0" collapsed="false">
      <c r="A22" s="23" t="s">
        <v>244</v>
      </c>
      <c r="B22" s="23" t="s">
        <v>237</v>
      </c>
      <c r="C22" s="27" t="n">
        <v>0.025</v>
      </c>
    </row>
    <row r="23" customFormat="false" ht="15" hidden="false" customHeight="true" outlineLevel="0" collapsed="false">
      <c r="A23" s="23" t="s">
        <v>245</v>
      </c>
      <c r="B23" s="23" t="s">
        <v>93</v>
      </c>
      <c r="C23" s="39" t="n">
        <v>0.1</v>
      </c>
      <c r="D23" s="25" t="s">
        <v>246</v>
      </c>
    </row>
    <row r="24" customFormat="false" ht="15" hidden="false" customHeight="true" outlineLevel="0" collapsed="false">
      <c r="A24" s="23" t="s">
        <v>247</v>
      </c>
      <c r="B24" s="23" t="s">
        <v>93</v>
      </c>
      <c r="C24" s="39" t="n">
        <v>0.08</v>
      </c>
      <c r="D24" s="25"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P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 collapsed="false" customWidth="true" hidden="false" outlineLevel="0" max="16" min="5" style="1" width="9"/>
  </cols>
  <sheetData>
    <row r="1" customFormat="false" ht="17.25" hidden="false" customHeight="true" outlineLevel="0" collapsed="false">
      <c r="A1" s="16" t="s">
        <v>249</v>
      </c>
      <c r="B1" s="17"/>
      <c r="C1" s="17"/>
      <c r="D1" s="17"/>
      <c r="E1" s="17"/>
      <c r="F1" s="17"/>
      <c r="G1" s="17"/>
      <c r="H1" s="17"/>
      <c r="I1" s="17"/>
      <c r="J1" s="17"/>
    </row>
    <row r="2" customFormat="false" ht="15" hidden="false" customHeight="true" outlineLevel="0" collapsed="false">
      <c r="A2" s="18" t="s">
        <v>250</v>
      </c>
      <c r="B2" s="17"/>
      <c r="C2" s="17"/>
      <c r="D2" s="17"/>
      <c r="E2" s="17"/>
      <c r="F2" s="17"/>
      <c r="G2" s="17"/>
      <c r="H2" s="17"/>
      <c r="I2" s="17"/>
      <c r="J2" s="17"/>
    </row>
    <row r="4" customFormat="false" ht="15" hidden="false" customHeight="true" outlineLevel="0" collapsed="false">
      <c r="A4" s="21" t="s">
        <v>251</v>
      </c>
      <c r="B4" s="22"/>
      <c r="C4" s="22"/>
      <c r="D4" s="22"/>
      <c r="E4" s="22"/>
      <c r="F4" s="22"/>
      <c r="G4" s="22"/>
      <c r="H4" s="22"/>
      <c r="I4" s="22"/>
      <c r="J4" s="22"/>
    </row>
    <row r="5" customFormat="false" ht="15" hidden="false" customHeight="true" outlineLevel="0" collapsed="false">
      <c r="A5" s="23" t="s">
        <v>252</v>
      </c>
      <c r="B5" s="23" t="s">
        <v>253</v>
      </c>
      <c r="C5" s="51" t="n">
        <v>57</v>
      </c>
      <c r="D5" s="25" t="s">
        <v>241</v>
      </c>
    </row>
    <row r="6" customFormat="false" ht="15" hidden="false" customHeight="true" outlineLevel="0" collapsed="false">
      <c r="A6" s="23" t="s">
        <v>254</v>
      </c>
      <c r="B6" s="23" t="s">
        <v>255</v>
      </c>
      <c r="C6" s="51" t="n">
        <v>120</v>
      </c>
      <c r="D6" s="25" t="s">
        <v>241</v>
      </c>
    </row>
    <row r="7" customFormat="false" ht="15" hidden="false" customHeight="true" outlineLevel="0" collapsed="false">
      <c r="A7" s="23" t="s">
        <v>256</v>
      </c>
      <c r="B7" s="23" t="s">
        <v>93</v>
      </c>
      <c r="C7" s="27" t="n">
        <v>0.92</v>
      </c>
      <c r="D7" s="25" t="s">
        <v>257</v>
      </c>
    </row>
    <row r="8" customFormat="false" ht="15" hidden="false" customHeight="true" outlineLevel="0" collapsed="false">
      <c r="A8" s="23" t="s">
        <v>258</v>
      </c>
      <c r="B8" s="23" t="s">
        <v>93</v>
      </c>
      <c r="C8" s="27" t="n">
        <v>0.98</v>
      </c>
      <c r="D8" s="25" t="s">
        <v>159</v>
      </c>
    </row>
    <row r="9" customFormat="false" ht="15" hidden="false" customHeight="true" outlineLevel="0" collapsed="false">
      <c r="A9" s="23" t="s">
        <v>259</v>
      </c>
      <c r="B9" s="23" t="s">
        <v>253</v>
      </c>
      <c r="C9" s="51" t="n">
        <v>4</v>
      </c>
      <c r="D9" s="25" t="s">
        <v>260</v>
      </c>
    </row>
    <row r="10" customFormat="false" ht="15" hidden="false" customHeight="true" outlineLevel="0" collapsed="false">
      <c r="A10" s="23" t="s">
        <v>261</v>
      </c>
      <c r="B10" s="23" t="s">
        <v>93</v>
      </c>
      <c r="C10" s="39" t="n">
        <v>0.95</v>
      </c>
      <c r="D10" s="25" t="s">
        <v>159</v>
      </c>
    </row>
    <row r="11" customFormat="false" ht="15" hidden="false" customHeight="true" outlineLevel="0" collapsed="false">
      <c r="A11" s="23" t="s">
        <v>262</v>
      </c>
      <c r="B11" s="23" t="s">
        <v>119</v>
      </c>
      <c r="C11" s="36" t="n">
        <v>0.85</v>
      </c>
    </row>
    <row r="12" customFormat="false" ht="15" hidden="false" customHeight="true" outlineLevel="0" collapsed="false">
      <c r="A12" s="23" t="s">
        <v>263</v>
      </c>
      <c r="B12" s="23" t="s">
        <v>264</v>
      </c>
      <c r="C12" s="52" t="n">
        <v>1000</v>
      </c>
      <c r="D12" s="25" t="s">
        <v>265</v>
      </c>
    </row>
    <row r="13" customFormat="false" ht="15" hidden="false" customHeight="true" outlineLevel="0" collapsed="false">
      <c r="A13" s="23" t="s">
        <v>266</v>
      </c>
      <c r="B13" s="23" t="s">
        <v>267</v>
      </c>
      <c r="C13" s="36" t="n">
        <v>9.81</v>
      </c>
      <c r="D13" s="25" t="s">
        <v>265</v>
      </c>
    </row>
    <row r="14" customFormat="false" ht="15" hidden="false" customHeight="true" outlineLevel="0" collapsed="false">
      <c r="A14" s="21" t="s">
        <v>268</v>
      </c>
      <c r="B14" s="22"/>
      <c r="C14" s="22"/>
      <c r="D14" s="22"/>
      <c r="E14" s="22"/>
      <c r="F14" s="22"/>
      <c r="G14" s="22"/>
      <c r="H14" s="22"/>
      <c r="I14" s="22"/>
      <c r="J14" s="22"/>
    </row>
    <row r="15" customFormat="false" ht="15" hidden="false" customHeight="true" outlineLevel="0" collapsed="false">
      <c r="A15" s="23" t="s">
        <v>269</v>
      </c>
      <c r="B15" s="23" t="s">
        <v>93</v>
      </c>
      <c r="C15" s="39" t="n">
        <v>0.15</v>
      </c>
      <c r="D15" s="25" t="s">
        <v>270</v>
      </c>
    </row>
    <row r="16" customFormat="false" ht="15" hidden="false" customHeight="true" outlineLevel="0" collapsed="false">
      <c r="A16" s="23" t="s">
        <v>271</v>
      </c>
      <c r="B16" s="23"/>
      <c r="C16" s="53" t="n">
        <v>0.6745</v>
      </c>
      <c r="D16" s="25" t="s">
        <v>272</v>
      </c>
    </row>
    <row r="17" customFormat="false" ht="15" hidden="false" customHeight="true" outlineLevel="0" collapsed="false">
      <c r="A17" s="23" t="s">
        <v>273</v>
      </c>
      <c r="B17" s="23"/>
      <c r="C17" s="53" t="n">
        <v>1.2816</v>
      </c>
    </row>
    <row r="18" customFormat="false" ht="15" hidden="false" customHeight="true" outlineLevel="0" collapsed="false">
      <c r="A18" s="23" t="s">
        <v>274</v>
      </c>
      <c r="B18" s="23" t="s">
        <v>147</v>
      </c>
      <c r="C18" s="24" t="n">
        <v>12</v>
      </c>
      <c r="D18" s="25" t="s">
        <v>275</v>
      </c>
    </row>
    <row r="19" customFormat="false" ht="15" hidden="false" customHeight="true" outlineLevel="0" collapsed="false">
      <c r="A19" s="23" t="s">
        <v>276</v>
      </c>
      <c r="B19" s="23" t="s">
        <v>74</v>
      </c>
      <c r="C19" s="24" t="n">
        <v>2</v>
      </c>
      <c r="D19" s="25" t="s">
        <v>277</v>
      </c>
    </row>
    <row r="21" customFormat="false" ht="15" hidden="false" customHeight="true" outlineLevel="0" collapsed="false">
      <c r="A21" s="21" t="s">
        <v>278</v>
      </c>
      <c r="B21" s="22"/>
      <c r="C21" s="22"/>
      <c r="D21" s="22"/>
      <c r="E21" s="22"/>
      <c r="F21" s="22"/>
      <c r="G21" s="22"/>
      <c r="H21" s="22"/>
      <c r="I21" s="22"/>
      <c r="J21" s="22"/>
    </row>
    <row r="22" customFormat="false" ht="15" hidden="false" customHeight="true" outlineLevel="0" collapsed="false">
      <c r="A22" s="34" t="s">
        <v>279</v>
      </c>
      <c r="B22" s="54"/>
      <c r="C22" s="34" t="s">
        <v>280</v>
      </c>
      <c r="D22" s="54"/>
      <c r="E22" s="34" t="s">
        <v>281</v>
      </c>
      <c r="F22" s="34" t="s">
        <v>282</v>
      </c>
      <c r="G22" s="34" t="s">
        <v>283</v>
      </c>
      <c r="H22" s="34" t="s">
        <v>284</v>
      </c>
      <c r="I22" s="34" t="s">
        <v>285</v>
      </c>
      <c r="J22" s="34" t="s">
        <v>286</v>
      </c>
      <c r="K22" s="34" t="s">
        <v>287</v>
      </c>
      <c r="L22" s="34" t="s">
        <v>288</v>
      </c>
      <c r="M22" s="34" t="s">
        <v>289</v>
      </c>
      <c r="N22" s="34" t="s">
        <v>290</v>
      </c>
      <c r="O22" s="34" t="s">
        <v>291</v>
      </c>
      <c r="P22" s="34" t="s">
        <v>292</v>
      </c>
    </row>
    <row r="23" customFormat="false" ht="15" hidden="false" customHeight="true" outlineLevel="0" collapsed="false">
      <c r="A23" s="23" t="s">
        <v>293</v>
      </c>
      <c r="B23" s="23" t="s">
        <v>294</v>
      </c>
      <c r="E23" s="55" t="n">
        <v>31</v>
      </c>
      <c r="F23" s="55" t="n">
        <v>28.25</v>
      </c>
      <c r="G23" s="55" t="n">
        <v>31</v>
      </c>
      <c r="H23" s="55" t="n">
        <v>30</v>
      </c>
      <c r="I23" s="55" t="n">
        <v>31</v>
      </c>
      <c r="J23" s="55" t="n">
        <v>30</v>
      </c>
      <c r="K23" s="55" t="n">
        <v>31</v>
      </c>
      <c r="L23" s="55" t="n">
        <v>31</v>
      </c>
      <c r="M23" s="55" t="n">
        <v>30</v>
      </c>
      <c r="N23" s="55" t="n">
        <v>31</v>
      </c>
      <c r="O23" s="55" t="n">
        <v>30</v>
      </c>
      <c r="P23" s="55" t="n">
        <v>31</v>
      </c>
    </row>
    <row r="24" customFormat="false" ht="15" hidden="false" customHeight="true" outlineLevel="0" collapsed="false">
      <c r="A24" s="23" t="s">
        <v>295</v>
      </c>
      <c r="B24" s="23" t="s">
        <v>253</v>
      </c>
      <c r="C24" s="56" t="n">
        <f aca="false">SUMPRODUCT(E24:P24,E23:P23)/SUM(E23:P23)</f>
        <v>37.8945927446954</v>
      </c>
      <c r="E24" s="57" t="n">
        <v>24</v>
      </c>
      <c r="F24" s="57" t="n">
        <v>20</v>
      </c>
      <c r="G24" s="57" t="n">
        <v>28</v>
      </c>
      <c r="H24" s="57" t="n">
        <v>52</v>
      </c>
      <c r="I24" s="57" t="n">
        <v>70</v>
      </c>
      <c r="J24" s="57" t="n">
        <v>58</v>
      </c>
      <c r="K24" s="57" t="n">
        <v>40</v>
      </c>
      <c r="L24" s="57" t="n">
        <v>28</v>
      </c>
      <c r="M24" s="57" t="n">
        <v>22</v>
      </c>
      <c r="N24" s="57" t="n">
        <v>30</v>
      </c>
      <c r="O24" s="57" t="n">
        <v>46</v>
      </c>
      <c r="P24" s="57" t="n">
        <v>36</v>
      </c>
    </row>
    <row r="25" customFormat="false" ht="15" hidden="false" customHeight="true" outlineLevel="0" collapsed="false">
      <c r="A25" s="23" t="s">
        <v>296</v>
      </c>
      <c r="B25" s="23" t="s">
        <v>253</v>
      </c>
      <c r="E25" s="56" t="n">
        <f aca="false">MIN(MAX(E24-'03_HYDROLOGY'!$C$9,0),'03_HYDROLOGY'!$C$5)</f>
        <v>20</v>
      </c>
      <c r="F25" s="56" t="n">
        <f aca="false">MIN(MAX(F24-'03_HYDROLOGY'!$C$9,0),'03_HYDROLOGY'!$C$5)</f>
        <v>16</v>
      </c>
      <c r="G25" s="56" t="n">
        <f aca="false">MIN(MAX(G24-'03_HYDROLOGY'!$C$9,0),'03_HYDROLOGY'!$C$5)</f>
        <v>24</v>
      </c>
      <c r="H25" s="56" t="n">
        <f aca="false">MIN(MAX(H24-'03_HYDROLOGY'!$C$9,0),'03_HYDROLOGY'!$C$5)</f>
        <v>48</v>
      </c>
      <c r="I25" s="56" t="n">
        <f aca="false">MIN(MAX(I24-'03_HYDROLOGY'!$C$9,0),'03_HYDROLOGY'!$C$5)</f>
        <v>57</v>
      </c>
      <c r="J25" s="56" t="n">
        <f aca="false">MIN(MAX(J24-'03_HYDROLOGY'!$C$9,0),'03_HYDROLOGY'!$C$5)</f>
        <v>54</v>
      </c>
      <c r="K25" s="56" t="n">
        <f aca="false">MIN(MAX(K24-'03_HYDROLOGY'!$C$9,0),'03_HYDROLOGY'!$C$5)</f>
        <v>36</v>
      </c>
      <c r="L25" s="56" t="n">
        <f aca="false">MIN(MAX(L24-'03_HYDROLOGY'!$C$9,0),'03_HYDROLOGY'!$C$5)</f>
        <v>24</v>
      </c>
      <c r="M25" s="56" t="n">
        <f aca="false">MIN(MAX(M24-'03_HYDROLOGY'!$C$9,0),'03_HYDROLOGY'!$C$5)</f>
        <v>18</v>
      </c>
      <c r="N25" s="56" t="n">
        <f aca="false">MIN(MAX(N24-'03_HYDROLOGY'!$C$9,0),'03_HYDROLOGY'!$C$5)</f>
        <v>26</v>
      </c>
      <c r="O25" s="56" t="n">
        <f aca="false">MIN(MAX(O24-'03_HYDROLOGY'!$C$9,0),'03_HYDROLOGY'!$C$5)</f>
        <v>42</v>
      </c>
      <c r="P25" s="56" t="n">
        <f aca="false">MIN(MAX(P24-'03_HYDROLOGY'!$C$9,0),'03_HYDROLOGY'!$C$5)</f>
        <v>32</v>
      </c>
    </row>
    <row r="26" customFormat="false" ht="15" hidden="false" customHeight="true" outlineLevel="0" collapsed="false">
      <c r="A26" s="23" t="s">
        <v>297</v>
      </c>
      <c r="B26" s="23" t="s">
        <v>232</v>
      </c>
      <c r="C26" s="58" t="n">
        <f aca="false">SUMPRODUCT(E26:P26,E23:P23)/SUM(E23:P23)</f>
        <v>35.1215075035729</v>
      </c>
      <c r="E26" s="58" t="n">
        <f aca="false">MIN('03_HYDROLOGY'!$C$12*'03_HYDROLOGY'!$C$13*E25*'03_HYDROLOGY'!$C$6*'03_HYDROLOGY'!$C$7*'03_HYDROLOGY'!$C$8/1000000,'02_PROJECT_INPUTS'!$C$15)</f>
        <v>21.2272704</v>
      </c>
      <c r="F26" s="58" t="n">
        <f aca="false">MIN('03_HYDROLOGY'!$C$12*'03_HYDROLOGY'!$C$13*F25*'03_HYDROLOGY'!$C$6*'03_HYDROLOGY'!$C$7*'03_HYDROLOGY'!$C$8/1000000,'02_PROJECT_INPUTS'!$C$15)</f>
        <v>16.98181632</v>
      </c>
      <c r="G26" s="58" t="n">
        <f aca="false">MIN('03_HYDROLOGY'!$C$12*'03_HYDROLOGY'!$C$13*G25*'03_HYDROLOGY'!$C$6*'03_HYDROLOGY'!$C$7*'03_HYDROLOGY'!$C$8/1000000,'02_PROJECT_INPUTS'!$C$15)</f>
        <v>25.47272448</v>
      </c>
      <c r="H26" s="58" t="n">
        <f aca="false">MIN('03_HYDROLOGY'!$C$12*'03_HYDROLOGY'!$C$13*H25*'03_HYDROLOGY'!$C$6*'03_HYDROLOGY'!$C$7*'03_HYDROLOGY'!$C$8/1000000,'02_PROJECT_INPUTS'!$C$15)</f>
        <v>50.94544896</v>
      </c>
      <c r="I26" s="58" t="n">
        <f aca="false">MIN('03_HYDROLOGY'!$C$12*'03_HYDROLOGY'!$C$13*I25*'03_HYDROLOGY'!$C$6*'03_HYDROLOGY'!$C$7*'03_HYDROLOGY'!$C$8/1000000,'02_PROJECT_INPUTS'!$C$15)</f>
        <v>60</v>
      </c>
      <c r="J26" s="58" t="n">
        <f aca="false">MIN('03_HYDROLOGY'!$C$12*'03_HYDROLOGY'!$C$13*J25*'03_HYDROLOGY'!$C$6*'03_HYDROLOGY'!$C$7*'03_HYDROLOGY'!$C$8/1000000,'02_PROJECT_INPUTS'!$C$15)</f>
        <v>57.31363008</v>
      </c>
      <c r="K26" s="58" t="n">
        <f aca="false">MIN('03_HYDROLOGY'!$C$12*'03_HYDROLOGY'!$C$13*K25*'03_HYDROLOGY'!$C$6*'03_HYDROLOGY'!$C$7*'03_HYDROLOGY'!$C$8/1000000,'02_PROJECT_INPUTS'!$C$15)</f>
        <v>38.20908672</v>
      </c>
      <c r="L26" s="58" t="n">
        <f aca="false">MIN('03_HYDROLOGY'!$C$12*'03_HYDROLOGY'!$C$13*L25*'03_HYDROLOGY'!$C$6*'03_HYDROLOGY'!$C$7*'03_HYDROLOGY'!$C$8/1000000,'02_PROJECT_INPUTS'!$C$15)</f>
        <v>25.47272448</v>
      </c>
      <c r="M26" s="58" t="n">
        <f aca="false">MIN('03_HYDROLOGY'!$C$12*'03_HYDROLOGY'!$C$13*M25*'03_HYDROLOGY'!$C$6*'03_HYDROLOGY'!$C$7*'03_HYDROLOGY'!$C$8/1000000,'02_PROJECT_INPUTS'!$C$15)</f>
        <v>19.10454336</v>
      </c>
      <c r="N26" s="58" t="n">
        <f aca="false">MIN('03_HYDROLOGY'!$C$12*'03_HYDROLOGY'!$C$13*N25*'03_HYDROLOGY'!$C$6*'03_HYDROLOGY'!$C$7*'03_HYDROLOGY'!$C$8/1000000,'02_PROJECT_INPUTS'!$C$15)</f>
        <v>27.59545152</v>
      </c>
      <c r="O26" s="58" t="n">
        <f aca="false">MIN('03_HYDROLOGY'!$C$12*'03_HYDROLOGY'!$C$13*O25*'03_HYDROLOGY'!$C$6*'03_HYDROLOGY'!$C$7*'03_HYDROLOGY'!$C$8/1000000,'02_PROJECT_INPUTS'!$C$15)</f>
        <v>44.57726784</v>
      </c>
      <c r="P26" s="58" t="n">
        <f aca="false">MIN('03_HYDROLOGY'!$C$12*'03_HYDROLOGY'!$C$13*P25*'03_HYDROLOGY'!$C$6*'03_HYDROLOGY'!$C$7*'03_HYDROLOGY'!$C$8/1000000,'02_PROJECT_INPUTS'!$C$15)</f>
        <v>33.96363264</v>
      </c>
    </row>
    <row r="27" customFormat="false" ht="15" hidden="false" customHeight="true" outlineLevel="0" collapsed="false">
      <c r="A27" s="23" t="s">
        <v>298</v>
      </c>
      <c r="B27" s="23" t="s">
        <v>299</v>
      </c>
      <c r="C27" s="56" t="n">
        <f aca="false">SUM(E27:P27)</f>
        <v>307.87513477632</v>
      </c>
      <c r="E27" s="56" t="n">
        <f aca="false">E26*E23*24/1000</f>
        <v>15.7930891776</v>
      </c>
      <c r="F27" s="56" t="n">
        <f aca="false">F26*F23*24/1000</f>
        <v>11.51367146496</v>
      </c>
      <c r="G27" s="56" t="n">
        <f aca="false">G26*G23*24/1000</f>
        <v>18.95170701312</v>
      </c>
      <c r="H27" s="56" t="n">
        <f aca="false">H26*H23*24/1000</f>
        <v>36.6807232512</v>
      </c>
      <c r="I27" s="56" t="n">
        <f aca="false">I26*I23*24/1000</f>
        <v>44.64</v>
      </c>
      <c r="J27" s="56" t="n">
        <f aca="false">J26*J23*24/1000</f>
        <v>41.2658136576</v>
      </c>
      <c r="K27" s="56" t="n">
        <f aca="false">K26*K23*24/1000</f>
        <v>28.42756051968</v>
      </c>
      <c r="L27" s="56" t="n">
        <f aca="false">L26*L23*24/1000</f>
        <v>18.95170701312</v>
      </c>
      <c r="M27" s="56" t="n">
        <f aca="false">M26*M23*24/1000</f>
        <v>13.7552712192</v>
      </c>
      <c r="N27" s="56" t="n">
        <f aca="false">N26*N23*24/1000</f>
        <v>20.53101593088</v>
      </c>
      <c r="O27" s="56" t="n">
        <f aca="false">O26*O23*24/1000</f>
        <v>32.0956328448</v>
      </c>
      <c r="P27" s="56" t="n">
        <f aca="false">P26*P23*24/1000</f>
        <v>25.26894268416</v>
      </c>
    </row>
    <row r="28" customFormat="false" ht="15" hidden="false" customHeight="true" outlineLevel="0" collapsed="false">
      <c r="A28" s="23" t="s">
        <v>300</v>
      </c>
      <c r="B28" s="23" t="s">
        <v>299</v>
      </c>
      <c r="C28" s="56" t="n">
        <f aca="false">SUM(E28:P28)</f>
        <v>292.481378037504</v>
      </c>
      <c r="E28" s="56" t="n">
        <f aca="false">E27*'03_HYDROLOGY'!$C$10</f>
        <v>15.00343471872</v>
      </c>
      <c r="F28" s="56" t="n">
        <f aca="false">F27*'03_HYDROLOGY'!$C$10</f>
        <v>10.937987891712</v>
      </c>
      <c r="G28" s="56" t="n">
        <f aca="false">G27*'03_HYDROLOGY'!$C$10</f>
        <v>18.004121662464</v>
      </c>
      <c r="H28" s="56" t="n">
        <f aca="false">H27*'03_HYDROLOGY'!$C$10</f>
        <v>34.84668708864</v>
      </c>
      <c r="I28" s="56" t="n">
        <f aca="false">I27*'03_HYDROLOGY'!$C$10</f>
        <v>42.408</v>
      </c>
      <c r="J28" s="56" t="n">
        <f aca="false">J27*'03_HYDROLOGY'!$C$10</f>
        <v>39.20252297472</v>
      </c>
      <c r="K28" s="56" t="n">
        <f aca="false">K27*'03_HYDROLOGY'!$C$10</f>
        <v>27.006182493696</v>
      </c>
      <c r="L28" s="56" t="n">
        <f aca="false">L27*'03_HYDROLOGY'!$C$10</f>
        <v>18.004121662464</v>
      </c>
      <c r="M28" s="56" t="n">
        <f aca="false">M27*'03_HYDROLOGY'!$C$10</f>
        <v>13.06750765824</v>
      </c>
      <c r="N28" s="56" t="n">
        <f aca="false">N27*'03_HYDROLOGY'!$C$10</f>
        <v>19.504465134336</v>
      </c>
      <c r="O28" s="56" t="n">
        <f aca="false">O27*'03_HYDROLOGY'!$C$10</f>
        <v>30.49085120256</v>
      </c>
      <c r="P28" s="56" t="n">
        <f aca="false">P27*'03_HYDROLOGY'!$C$10</f>
        <v>24.005495549952</v>
      </c>
    </row>
    <row r="29" customFormat="false" ht="15" hidden="false" customHeight="true" outlineLevel="0" collapsed="false">
      <c r="A29" s="23" t="s">
        <v>301</v>
      </c>
      <c r="B29" s="23" t="s">
        <v>253</v>
      </c>
      <c r="E29" s="56" t="n">
        <f aca="false">MAX(E24-'03_HYDROLOGY'!$C$9-'03_HYDROLOGY'!$C$5,0)</f>
        <v>0</v>
      </c>
      <c r="F29" s="56" t="n">
        <f aca="false">MAX(F24-'03_HYDROLOGY'!$C$9-'03_HYDROLOGY'!$C$5,0)</f>
        <v>0</v>
      </c>
      <c r="G29" s="56" t="n">
        <f aca="false">MAX(G24-'03_HYDROLOGY'!$C$9-'03_HYDROLOGY'!$C$5,0)</f>
        <v>0</v>
      </c>
      <c r="H29" s="56" t="n">
        <f aca="false">MAX(H24-'03_HYDROLOGY'!$C$9-'03_HYDROLOGY'!$C$5,0)</f>
        <v>0</v>
      </c>
      <c r="I29" s="56" t="n">
        <f aca="false">MAX(I24-'03_HYDROLOGY'!$C$9-'03_HYDROLOGY'!$C$5,0)</f>
        <v>9</v>
      </c>
      <c r="J29" s="56" t="n">
        <f aca="false">MAX(J24-'03_HYDROLOGY'!$C$9-'03_HYDROLOGY'!$C$5,0)</f>
        <v>0</v>
      </c>
      <c r="K29" s="56" t="n">
        <f aca="false">MAX(K24-'03_HYDROLOGY'!$C$9-'03_HYDROLOGY'!$C$5,0)</f>
        <v>0</v>
      </c>
      <c r="L29" s="56" t="n">
        <f aca="false">MAX(L24-'03_HYDROLOGY'!$C$9-'03_HYDROLOGY'!$C$5,0)</f>
        <v>0</v>
      </c>
      <c r="M29" s="56" t="n">
        <f aca="false">MAX(M24-'03_HYDROLOGY'!$C$9-'03_HYDROLOGY'!$C$5,0)</f>
        <v>0</v>
      </c>
      <c r="N29" s="56" t="n">
        <f aca="false">MAX(N24-'03_HYDROLOGY'!$C$9-'03_HYDROLOGY'!$C$5,0)</f>
        <v>0</v>
      </c>
      <c r="O29" s="56" t="n">
        <f aca="false">MAX(O24-'03_HYDROLOGY'!$C$9-'03_HYDROLOGY'!$C$5,0)</f>
        <v>0</v>
      </c>
      <c r="P29" s="56" t="n">
        <f aca="false">MAX(P24-'03_HYDROLOGY'!$C$9-'03_HYDROLOGY'!$C$5,0)</f>
        <v>0</v>
      </c>
    </row>
    <row r="30" customFormat="false" ht="15" hidden="false" customHeight="true" outlineLevel="0" collapsed="false">
      <c r="A30" s="25" t="s">
        <v>302</v>
      </c>
    </row>
    <row r="32" customFormat="false" ht="15" hidden="false" customHeight="true" outlineLevel="0" collapsed="false">
      <c r="A32" s="21" t="s">
        <v>303</v>
      </c>
      <c r="B32" s="22"/>
      <c r="C32" s="22"/>
      <c r="D32" s="22"/>
      <c r="E32" s="22"/>
      <c r="F32" s="22"/>
      <c r="G32" s="22"/>
      <c r="H32" s="22"/>
      <c r="I32" s="22"/>
      <c r="J32" s="22"/>
    </row>
    <row r="33" customFormat="false" ht="15" hidden="false" customHeight="true" outlineLevel="0" collapsed="false">
      <c r="A33" s="19" t="s">
        <v>304</v>
      </c>
      <c r="B33" s="23" t="s">
        <v>299</v>
      </c>
      <c r="C33" s="59" t="n">
        <f aca="false">C28</f>
        <v>292.481378037504</v>
      </c>
    </row>
    <row r="34" customFormat="false" ht="15" hidden="false" customHeight="true" outlineLevel="0" collapsed="false">
      <c r="A34" s="19" t="s">
        <v>305</v>
      </c>
      <c r="B34" s="23" t="s">
        <v>299</v>
      </c>
      <c r="C34" s="59" t="n">
        <f aca="false">'03_HYDROLOGY'!$C$33*(1-'03_HYDROLOGY'!$C$16*'03_HYDROLOGY'!$C$15)</f>
        <v>262.88957461456</v>
      </c>
    </row>
    <row r="35" customFormat="false" ht="15" hidden="false" customHeight="true" outlineLevel="0" collapsed="false">
      <c r="A35" s="19" t="s">
        <v>306</v>
      </c>
      <c r="B35" s="23" t="s">
        <v>299</v>
      </c>
      <c r="C35" s="59" t="n">
        <f aca="false">'03_HYDROLOGY'!$C$33*(1-'03_HYDROLOGY'!$C$17*'03_HYDROLOGY'!$C$15)</f>
        <v>236.254757923574</v>
      </c>
    </row>
    <row r="36" customFormat="false" ht="15" hidden="false" customHeight="true" outlineLevel="0" collapsed="false">
      <c r="A36" s="23" t="s">
        <v>307</v>
      </c>
      <c r="B36" s="23"/>
      <c r="C36" s="36" t="n">
        <v>0.3</v>
      </c>
      <c r="D36" s="25" t="s">
        <v>308</v>
      </c>
    </row>
    <row r="37" customFormat="false" ht="15" hidden="false" customHeight="true" outlineLevel="0" collapsed="false">
      <c r="A37" s="19" t="s">
        <v>309</v>
      </c>
      <c r="B37" s="23" t="s">
        <v>299</v>
      </c>
      <c r="C37" s="59" t="n">
        <f aca="false">'03_HYDROLOGY'!$C$33*(1-'03_HYDROLOGY'!$C$17*'03_HYDROLOGY'!$C$15*SQRT((1+'03_HYDROLOGY'!$C$36)/(1-'03_HYDROLOGY'!$C$36)/10))</f>
        <v>268.250752043978</v>
      </c>
    </row>
    <row r="38" customFormat="false" ht="15" hidden="false" customHeight="true" outlineLevel="0" collapsed="false">
      <c r="A38" s="19" t="s">
        <v>310</v>
      </c>
      <c r="B38" s="23" t="s">
        <v>93</v>
      </c>
      <c r="C38" s="38" t="n">
        <f aca="false">'03_HYDROLOGY'!$C$33/('02_PROJECT_INPUTS'!$C$15*8.76)</f>
        <v>0.556471419401644</v>
      </c>
    </row>
    <row r="39" customFormat="false" ht="15" hidden="false" customHeight="true" outlineLevel="0" collapsed="false">
      <c r="A39" s="23" t="s">
        <v>311</v>
      </c>
      <c r="B39" s="23" t="s">
        <v>232</v>
      </c>
      <c r="C39" s="60" t="n">
        <f aca="false">'02_PROJECT_INPUTS'!$C$15*'03_HYDROLOGY'!$C$10</f>
        <v>57</v>
      </c>
    </row>
    <row r="40" customFormat="false" ht="15" hidden="false" customHeight="true" outlineLevel="0" collapsed="false">
      <c r="A40" s="23" t="s">
        <v>312</v>
      </c>
      <c r="B40" s="23" t="s">
        <v>232</v>
      </c>
      <c r="C40" s="60" t="n">
        <f aca="false">'03_HYDROLOGY'!$C$33/8.76</f>
        <v>33.3882851640986</v>
      </c>
    </row>
    <row r="41" customFormat="false" ht="15" hidden="false" customHeight="true" outlineLevel="0" collapsed="false">
      <c r="A41" s="23" t="s">
        <v>313</v>
      </c>
      <c r="B41" s="23" t="s">
        <v>232</v>
      </c>
      <c r="C41" s="60" t="n">
        <f aca="false">MIN(E26:P26)*'03_HYDROLOGY'!$C$10</f>
        <v>16.132725504</v>
      </c>
    </row>
    <row r="42" customFormat="false" ht="15" hidden="false" customHeight="true" outlineLevel="0" collapsed="false">
      <c r="A42" s="23" t="s">
        <v>314</v>
      </c>
      <c r="B42" s="23" t="s">
        <v>119</v>
      </c>
      <c r="C42" s="61" t="n">
        <f aca="false">'03_HYDROLOGY'!$C$35/'03_HYDROLOGY'!$C$33</f>
        <v>0.80776</v>
      </c>
    </row>
    <row r="43" customFormat="false" ht="15" hidden="false" customHeight="true" outlineLevel="0" collapsed="false">
      <c r="A43" s="23" t="s">
        <v>315</v>
      </c>
      <c r="B43" s="23" t="s">
        <v>232</v>
      </c>
      <c r="C43" s="60" t="n">
        <f aca="false">'03_HYDROLOGY'!$C$12*'03_HYDROLOGY'!$C$13*'03_HYDROLOGY'!$C$5*'03_HYDROLOGY'!$C$6*'03_HYDROLOGY'!$C$7*'03_HYDROLOGY'!$C$8/1000000</f>
        <v>60.49772064</v>
      </c>
      <c r="D43" s="25" t="s">
        <v>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R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317</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318</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3" t="s">
        <v>319</v>
      </c>
      <c r="B6" s="23" t="s">
        <v>299</v>
      </c>
      <c r="C6" s="62" t="n">
        <f aca="false">CHOOSE('01_CONTROL_PANEL'!$C$6,'03_HYDROLOGY'!$C$33,'03_HYDROLOGY'!$C$34,'03_HYDROLOGY'!$C$35)</f>
        <v>292.481378037504</v>
      </c>
    </row>
    <row r="7" customFormat="false" ht="15" hidden="false" customHeight="true" outlineLevel="0" collapsed="false">
      <c r="A7" s="23" t="s">
        <v>320</v>
      </c>
      <c r="B7" s="23" t="s">
        <v>299</v>
      </c>
      <c r="C7" s="62" t="n">
        <f aca="false">CHOOSE('01_CONTROL_PANEL'!$C$7,'03_HYDROLOGY'!$C$33,'03_HYDROLOGY'!$C$34,'03_HYDROLOGY'!$C$35,'03_HYDROLOGY'!$C$37)</f>
        <v>268.250752043978</v>
      </c>
    </row>
    <row r="8" customFormat="false" ht="15" hidden="false" customHeight="true" outlineLevel="0" collapsed="false">
      <c r="A8" s="21" t="s">
        <v>321</v>
      </c>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row>
    <row r="9" customFormat="false" ht="15" hidden="false" customHeight="true" outlineLevel="0" collapsed="false">
      <c r="A9" s="23" t="s">
        <v>231</v>
      </c>
      <c r="B9" s="23" t="s">
        <v>232</v>
      </c>
      <c r="E9" s="58" t="n">
        <f aca="false">'06_CONSTRUCTION'!E14*'02_PROJECT_INPUTS'!$C$15</f>
        <v>0</v>
      </c>
      <c r="F9" s="58" t="n">
        <f aca="false">'06_CONSTRUCTION'!F14*'02_PROJECT_INPUTS'!$C$15</f>
        <v>0</v>
      </c>
      <c r="G9" s="58" t="n">
        <f aca="false">'06_CONSTRUCTION'!G14*'02_PROJECT_INPUTS'!$C$15</f>
        <v>0</v>
      </c>
      <c r="H9" s="58" t="n">
        <f aca="false">'06_CONSTRUCTION'!H14*'02_PROJECT_INPUTS'!$C$15</f>
        <v>60</v>
      </c>
      <c r="I9" s="58" t="n">
        <f aca="false">'06_CONSTRUCTION'!I14*'02_PROJECT_INPUTS'!$C$15</f>
        <v>60</v>
      </c>
      <c r="J9" s="58" t="n">
        <f aca="false">'06_CONSTRUCTION'!J14*'02_PROJECT_INPUTS'!$C$15</f>
        <v>60</v>
      </c>
      <c r="K9" s="58" t="n">
        <f aca="false">'06_CONSTRUCTION'!K14*'02_PROJECT_INPUTS'!$C$15</f>
        <v>60</v>
      </c>
      <c r="L9" s="58" t="n">
        <f aca="false">'06_CONSTRUCTION'!L14*'02_PROJECT_INPUTS'!$C$15</f>
        <v>60</v>
      </c>
      <c r="M9" s="58" t="n">
        <f aca="false">'06_CONSTRUCTION'!M14*'02_PROJECT_INPUTS'!$C$15</f>
        <v>60</v>
      </c>
      <c r="N9" s="58" t="n">
        <f aca="false">'06_CONSTRUCTION'!N14*'02_PROJECT_INPUTS'!$C$15</f>
        <v>60</v>
      </c>
      <c r="O9" s="58" t="n">
        <f aca="false">'06_CONSTRUCTION'!O14*'02_PROJECT_INPUTS'!$C$15</f>
        <v>60</v>
      </c>
      <c r="P9" s="58" t="n">
        <f aca="false">'06_CONSTRUCTION'!P14*'02_PROJECT_INPUTS'!$C$15</f>
        <v>60</v>
      </c>
      <c r="Q9" s="58" t="n">
        <f aca="false">'06_CONSTRUCTION'!Q14*'02_PROJECT_INPUTS'!$C$15</f>
        <v>60</v>
      </c>
      <c r="R9" s="58" t="n">
        <f aca="false">'06_CONSTRUCTION'!R14*'02_PROJECT_INPUTS'!$C$15</f>
        <v>60</v>
      </c>
      <c r="S9" s="58" t="n">
        <f aca="false">'06_CONSTRUCTION'!S14*'02_PROJECT_INPUTS'!$C$15</f>
        <v>60</v>
      </c>
      <c r="T9" s="58" t="n">
        <f aca="false">'06_CONSTRUCTION'!T14*'02_PROJECT_INPUTS'!$C$15</f>
        <v>60</v>
      </c>
      <c r="U9" s="58" t="n">
        <f aca="false">'06_CONSTRUCTION'!U14*'02_PROJECT_INPUTS'!$C$15</f>
        <v>60</v>
      </c>
      <c r="V9" s="58" t="n">
        <f aca="false">'06_CONSTRUCTION'!V14*'02_PROJECT_INPUTS'!$C$15</f>
        <v>60</v>
      </c>
      <c r="W9" s="58" t="n">
        <f aca="false">'06_CONSTRUCTION'!W14*'02_PROJECT_INPUTS'!$C$15</f>
        <v>60</v>
      </c>
      <c r="X9" s="58" t="n">
        <f aca="false">'06_CONSTRUCTION'!X14*'02_PROJECT_INPUTS'!$C$15</f>
        <v>60</v>
      </c>
      <c r="Y9" s="58" t="n">
        <f aca="false">'06_CONSTRUCTION'!Y14*'02_PROJECT_INPUTS'!$C$15</f>
        <v>60</v>
      </c>
      <c r="Z9" s="58" t="n">
        <f aca="false">'06_CONSTRUCTION'!Z14*'02_PROJECT_INPUTS'!$C$15</f>
        <v>60</v>
      </c>
      <c r="AA9" s="58" t="n">
        <f aca="false">'06_CONSTRUCTION'!AA14*'02_PROJECT_INPUTS'!$C$15</f>
        <v>60</v>
      </c>
      <c r="AB9" s="58" t="n">
        <f aca="false">'06_CONSTRUCTION'!AB14*'02_PROJECT_INPUTS'!$C$15</f>
        <v>60</v>
      </c>
      <c r="AC9" s="58" t="n">
        <f aca="false">'06_CONSTRUCTION'!AC14*'02_PROJECT_INPUTS'!$C$15</f>
        <v>60</v>
      </c>
      <c r="AD9" s="58" t="n">
        <f aca="false">'06_CONSTRUCTION'!AD14*'02_PROJECT_INPUTS'!$C$15</f>
        <v>60</v>
      </c>
      <c r="AE9" s="58" t="n">
        <f aca="false">'06_CONSTRUCTION'!AE14*'02_PROJECT_INPUTS'!$C$15</f>
        <v>60</v>
      </c>
      <c r="AF9" s="58" t="n">
        <f aca="false">'06_CONSTRUCTION'!AF14*'02_PROJECT_INPUTS'!$C$15</f>
        <v>60</v>
      </c>
      <c r="AG9" s="58" t="n">
        <f aca="false">'06_CONSTRUCTION'!AG14*'02_PROJECT_INPUTS'!$C$15</f>
        <v>0</v>
      </c>
      <c r="AH9" s="58" t="n">
        <f aca="false">'06_CONSTRUCTION'!AH14*'02_PROJECT_INPUTS'!$C$15</f>
        <v>0</v>
      </c>
      <c r="AI9" s="58" t="n">
        <f aca="false">'06_CONSTRUCTION'!AI14*'02_PROJECT_INPUTS'!$C$15</f>
        <v>0</v>
      </c>
      <c r="AJ9" s="58" t="n">
        <f aca="false">'06_CONSTRUCTION'!AJ14*'02_PROJECT_INPUTS'!$C$15</f>
        <v>0</v>
      </c>
      <c r="AK9" s="58" t="n">
        <f aca="false">'06_CONSTRUCTION'!AK14*'02_PROJECT_INPUTS'!$C$15</f>
        <v>0</v>
      </c>
      <c r="AL9" s="58" t="n">
        <f aca="false">'06_CONSTRUCTION'!AL14*'02_PROJECT_INPUTS'!$C$15</f>
        <v>0</v>
      </c>
      <c r="AM9" s="58" t="n">
        <f aca="false">'06_CONSTRUCTION'!AM14*'02_PROJECT_INPUTS'!$C$15</f>
        <v>0</v>
      </c>
      <c r="AN9" s="58" t="n">
        <f aca="false">'06_CONSTRUCTION'!AN14*'02_PROJECT_INPUTS'!$C$15</f>
        <v>0</v>
      </c>
      <c r="AO9" s="58" t="n">
        <f aca="false">'06_CONSTRUCTION'!AO14*'02_PROJECT_INPUTS'!$C$15</f>
        <v>0</v>
      </c>
      <c r="AP9" s="58" t="n">
        <f aca="false">'06_CONSTRUCTION'!AP14*'02_PROJECT_INPUTS'!$C$15</f>
        <v>0</v>
      </c>
      <c r="AQ9" s="58" t="n">
        <f aca="false">'06_CONSTRUCTION'!AQ14*'02_PROJECT_INPUTS'!$C$15</f>
        <v>0</v>
      </c>
      <c r="AR9" s="58" t="n">
        <f aca="false">'06_CONSTRUCTION'!AR14*'02_PROJECT_INPUTS'!$C$15</f>
        <v>0</v>
      </c>
    </row>
    <row r="10" customFormat="false" ht="15" hidden="false" customHeight="true" outlineLevel="0" collapsed="false">
      <c r="A10" s="23" t="s">
        <v>322</v>
      </c>
      <c r="B10" s="23" t="s">
        <v>232</v>
      </c>
      <c r="E10" s="58" t="n">
        <f aca="false">'06_CONSTRUCTION'!E14*'03_HYDROLOGY'!$C$39</f>
        <v>0</v>
      </c>
      <c r="F10" s="58" t="n">
        <f aca="false">'06_CONSTRUCTION'!F14*'03_HYDROLOGY'!$C$39</f>
        <v>0</v>
      </c>
      <c r="G10" s="58" t="n">
        <f aca="false">'06_CONSTRUCTION'!G14*'03_HYDROLOGY'!$C$39</f>
        <v>0</v>
      </c>
      <c r="H10" s="58" t="n">
        <f aca="false">'06_CONSTRUCTION'!H14*'03_HYDROLOGY'!$C$39</f>
        <v>57</v>
      </c>
      <c r="I10" s="58" t="n">
        <f aca="false">'06_CONSTRUCTION'!I14*'03_HYDROLOGY'!$C$39</f>
        <v>57</v>
      </c>
      <c r="J10" s="58" t="n">
        <f aca="false">'06_CONSTRUCTION'!J14*'03_HYDROLOGY'!$C$39</f>
        <v>57</v>
      </c>
      <c r="K10" s="58" t="n">
        <f aca="false">'06_CONSTRUCTION'!K14*'03_HYDROLOGY'!$C$39</f>
        <v>57</v>
      </c>
      <c r="L10" s="58" t="n">
        <f aca="false">'06_CONSTRUCTION'!L14*'03_HYDROLOGY'!$C$39</f>
        <v>57</v>
      </c>
      <c r="M10" s="58" t="n">
        <f aca="false">'06_CONSTRUCTION'!M14*'03_HYDROLOGY'!$C$39</f>
        <v>57</v>
      </c>
      <c r="N10" s="58" t="n">
        <f aca="false">'06_CONSTRUCTION'!N14*'03_HYDROLOGY'!$C$39</f>
        <v>57</v>
      </c>
      <c r="O10" s="58" t="n">
        <f aca="false">'06_CONSTRUCTION'!O14*'03_HYDROLOGY'!$C$39</f>
        <v>57</v>
      </c>
      <c r="P10" s="58" t="n">
        <f aca="false">'06_CONSTRUCTION'!P14*'03_HYDROLOGY'!$C$39</f>
        <v>57</v>
      </c>
      <c r="Q10" s="58" t="n">
        <f aca="false">'06_CONSTRUCTION'!Q14*'03_HYDROLOGY'!$C$39</f>
        <v>57</v>
      </c>
      <c r="R10" s="58" t="n">
        <f aca="false">'06_CONSTRUCTION'!R14*'03_HYDROLOGY'!$C$39</f>
        <v>57</v>
      </c>
      <c r="S10" s="58" t="n">
        <f aca="false">'06_CONSTRUCTION'!S14*'03_HYDROLOGY'!$C$39</f>
        <v>57</v>
      </c>
      <c r="T10" s="58" t="n">
        <f aca="false">'06_CONSTRUCTION'!T14*'03_HYDROLOGY'!$C$39</f>
        <v>57</v>
      </c>
      <c r="U10" s="58" t="n">
        <f aca="false">'06_CONSTRUCTION'!U14*'03_HYDROLOGY'!$C$39</f>
        <v>57</v>
      </c>
      <c r="V10" s="58" t="n">
        <f aca="false">'06_CONSTRUCTION'!V14*'03_HYDROLOGY'!$C$39</f>
        <v>57</v>
      </c>
      <c r="W10" s="58" t="n">
        <f aca="false">'06_CONSTRUCTION'!W14*'03_HYDROLOGY'!$C$39</f>
        <v>57</v>
      </c>
      <c r="X10" s="58" t="n">
        <f aca="false">'06_CONSTRUCTION'!X14*'03_HYDROLOGY'!$C$39</f>
        <v>57</v>
      </c>
      <c r="Y10" s="58" t="n">
        <f aca="false">'06_CONSTRUCTION'!Y14*'03_HYDROLOGY'!$C$39</f>
        <v>57</v>
      </c>
      <c r="Z10" s="58" t="n">
        <f aca="false">'06_CONSTRUCTION'!Z14*'03_HYDROLOGY'!$C$39</f>
        <v>57</v>
      </c>
      <c r="AA10" s="58" t="n">
        <f aca="false">'06_CONSTRUCTION'!AA14*'03_HYDROLOGY'!$C$39</f>
        <v>57</v>
      </c>
      <c r="AB10" s="58" t="n">
        <f aca="false">'06_CONSTRUCTION'!AB14*'03_HYDROLOGY'!$C$39</f>
        <v>57</v>
      </c>
      <c r="AC10" s="58" t="n">
        <f aca="false">'06_CONSTRUCTION'!AC14*'03_HYDROLOGY'!$C$39</f>
        <v>57</v>
      </c>
      <c r="AD10" s="58" t="n">
        <f aca="false">'06_CONSTRUCTION'!AD14*'03_HYDROLOGY'!$C$39</f>
        <v>57</v>
      </c>
      <c r="AE10" s="58" t="n">
        <f aca="false">'06_CONSTRUCTION'!AE14*'03_HYDROLOGY'!$C$39</f>
        <v>57</v>
      </c>
      <c r="AF10" s="58" t="n">
        <f aca="false">'06_CONSTRUCTION'!AF14*'03_HYDROLOGY'!$C$39</f>
        <v>57</v>
      </c>
      <c r="AG10" s="58" t="n">
        <f aca="false">'06_CONSTRUCTION'!AG14*'03_HYDROLOGY'!$C$39</f>
        <v>0</v>
      </c>
      <c r="AH10" s="58" t="n">
        <f aca="false">'06_CONSTRUCTION'!AH14*'03_HYDROLOGY'!$C$39</f>
        <v>0</v>
      </c>
      <c r="AI10" s="58" t="n">
        <f aca="false">'06_CONSTRUCTION'!AI14*'03_HYDROLOGY'!$C$39</f>
        <v>0</v>
      </c>
      <c r="AJ10" s="58" t="n">
        <f aca="false">'06_CONSTRUCTION'!AJ14*'03_HYDROLOGY'!$C$39</f>
        <v>0</v>
      </c>
      <c r="AK10" s="58" t="n">
        <f aca="false">'06_CONSTRUCTION'!AK14*'03_HYDROLOGY'!$C$39</f>
        <v>0</v>
      </c>
      <c r="AL10" s="58" t="n">
        <f aca="false">'06_CONSTRUCTION'!AL14*'03_HYDROLOGY'!$C$39</f>
        <v>0</v>
      </c>
      <c r="AM10" s="58" t="n">
        <f aca="false">'06_CONSTRUCTION'!AM14*'03_HYDROLOGY'!$C$39</f>
        <v>0</v>
      </c>
      <c r="AN10" s="58" t="n">
        <f aca="false">'06_CONSTRUCTION'!AN14*'03_HYDROLOGY'!$C$39</f>
        <v>0</v>
      </c>
      <c r="AO10" s="58" t="n">
        <f aca="false">'06_CONSTRUCTION'!AO14*'03_HYDROLOGY'!$C$39</f>
        <v>0</v>
      </c>
      <c r="AP10" s="58" t="n">
        <f aca="false">'06_CONSTRUCTION'!AP14*'03_HYDROLOGY'!$C$39</f>
        <v>0</v>
      </c>
      <c r="AQ10" s="58" t="n">
        <f aca="false">'06_CONSTRUCTION'!AQ14*'03_HYDROLOGY'!$C$39</f>
        <v>0</v>
      </c>
      <c r="AR10" s="58" t="n">
        <f aca="false">'06_CONSTRUCTION'!AR14*'03_HYDROLOGY'!$C$39</f>
        <v>0</v>
      </c>
    </row>
    <row r="11" customFormat="false" ht="15" hidden="false" customHeight="true" outlineLevel="0" collapsed="false">
      <c r="A11" s="21" t="s">
        <v>323</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row>
    <row r="12" customFormat="false" ht="15" hidden="false" customHeight="true" outlineLevel="0" collapsed="false">
      <c r="A12" s="23" t="s">
        <v>324</v>
      </c>
      <c r="B12" s="23" t="s">
        <v>119</v>
      </c>
      <c r="E12" s="63" t="n">
        <f aca="false">IF(AND('01_CONTROL_PANEL'!$C$15=1,'06_CONSTRUCTION'!E5&gt;='27_SCENARIOS'!$C$12,'06_CONSTRUCTION'!E5&lt;'27_SCENARIOS'!$C$12+'27_SCENARIOS'!$C$13),'27_SCENARIOS'!$C$11,1)</f>
        <v>1</v>
      </c>
      <c r="F12" s="63" t="n">
        <f aca="false">IF(AND('01_CONTROL_PANEL'!$C$15=1,'06_CONSTRUCTION'!F5&gt;='27_SCENARIOS'!$C$12,'06_CONSTRUCTION'!F5&lt;'27_SCENARIOS'!$C$12+'27_SCENARIOS'!$C$13),'27_SCENARIOS'!$C$11,1)</f>
        <v>1</v>
      </c>
      <c r="G12" s="63" t="n">
        <f aca="false">IF(AND('01_CONTROL_PANEL'!$C$15=1,'06_CONSTRUCTION'!G5&gt;='27_SCENARIOS'!$C$12,'06_CONSTRUCTION'!G5&lt;'27_SCENARIOS'!$C$12+'27_SCENARIOS'!$C$13),'27_SCENARIOS'!$C$11,1)</f>
        <v>1</v>
      </c>
      <c r="H12" s="63" t="n">
        <f aca="false">IF(AND('01_CONTROL_PANEL'!$C$15=1,'06_CONSTRUCTION'!H5&gt;='27_SCENARIOS'!$C$12,'06_CONSTRUCTION'!H5&lt;'27_SCENARIOS'!$C$12+'27_SCENARIOS'!$C$13),'27_SCENARIOS'!$C$11,1)</f>
        <v>1</v>
      </c>
      <c r="I12" s="63" t="n">
        <f aca="false">IF(AND('01_CONTROL_PANEL'!$C$15=1,'06_CONSTRUCTION'!I5&gt;='27_SCENARIOS'!$C$12,'06_CONSTRUCTION'!I5&lt;'27_SCENARIOS'!$C$12+'27_SCENARIOS'!$C$13),'27_SCENARIOS'!$C$11,1)</f>
        <v>1</v>
      </c>
      <c r="J12" s="63" t="n">
        <f aca="false">IF(AND('01_CONTROL_PANEL'!$C$15=1,'06_CONSTRUCTION'!J5&gt;='27_SCENARIOS'!$C$12,'06_CONSTRUCTION'!J5&lt;'27_SCENARIOS'!$C$12+'27_SCENARIOS'!$C$13),'27_SCENARIOS'!$C$11,1)</f>
        <v>1</v>
      </c>
      <c r="K12" s="63" t="n">
        <f aca="false">IF(AND('01_CONTROL_PANEL'!$C$15=1,'06_CONSTRUCTION'!K5&gt;='27_SCENARIOS'!$C$12,'06_CONSTRUCTION'!K5&lt;'27_SCENARIOS'!$C$12+'27_SCENARIOS'!$C$13),'27_SCENARIOS'!$C$11,1)</f>
        <v>1</v>
      </c>
      <c r="L12" s="63" t="n">
        <f aca="false">IF(AND('01_CONTROL_PANEL'!$C$15=1,'06_CONSTRUCTION'!L5&gt;='27_SCENARIOS'!$C$12,'06_CONSTRUCTION'!L5&lt;'27_SCENARIOS'!$C$12+'27_SCENARIOS'!$C$13),'27_SCENARIOS'!$C$11,1)</f>
        <v>1</v>
      </c>
      <c r="M12" s="63" t="n">
        <f aca="false">IF(AND('01_CONTROL_PANEL'!$C$15=1,'06_CONSTRUCTION'!M5&gt;='27_SCENARIOS'!$C$12,'06_CONSTRUCTION'!M5&lt;'27_SCENARIOS'!$C$12+'27_SCENARIOS'!$C$13),'27_SCENARIOS'!$C$11,1)</f>
        <v>1</v>
      </c>
      <c r="N12" s="63" t="n">
        <f aca="false">IF(AND('01_CONTROL_PANEL'!$C$15=1,'06_CONSTRUCTION'!N5&gt;='27_SCENARIOS'!$C$12,'06_CONSTRUCTION'!N5&lt;'27_SCENARIOS'!$C$12+'27_SCENARIOS'!$C$13),'27_SCENARIOS'!$C$11,1)</f>
        <v>1</v>
      </c>
      <c r="O12" s="63" t="n">
        <f aca="false">IF(AND('01_CONTROL_PANEL'!$C$15=1,'06_CONSTRUCTION'!O5&gt;='27_SCENARIOS'!$C$12,'06_CONSTRUCTION'!O5&lt;'27_SCENARIOS'!$C$12+'27_SCENARIOS'!$C$13),'27_SCENARIOS'!$C$11,1)</f>
        <v>1</v>
      </c>
      <c r="P12" s="63" t="n">
        <f aca="false">IF(AND('01_CONTROL_PANEL'!$C$15=1,'06_CONSTRUCTION'!P5&gt;='27_SCENARIOS'!$C$12,'06_CONSTRUCTION'!P5&lt;'27_SCENARIOS'!$C$12+'27_SCENARIOS'!$C$13),'27_SCENARIOS'!$C$11,1)</f>
        <v>1</v>
      </c>
      <c r="Q12" s="63" t="n">
        <f aca="false">IF(AND('01_CONTROL_PANEL'!$C$15=1,'06_CONSTRUCTION'!Q5&gt;='27_SCENARIOS'!$C$12,'06_CONSTRUCTION'!Q5&lt;'27_SCENARIOS'!$C$12+'27_SCENARIOS'!$C$13),'27_SCENARIOS'!$C$11,1)</f>
        <v>1</v>
      </c>
      <c r="R12" s="63" t="n">
        <f aca="false">IF(AND('01_CONTROL_PANEL'!$C$15=1,'06_CONSTRUCTION'!R5&gt;='27_SCENARIOS'!$C$12,'06_CONSTRUCTION'!R5&lt;'27_SCENARIOS'!$C$12+'27_SCENARIOS'!$C$13),'27_SCENARIOS'!$C$11,1)</f>
        <v>1</v>
      </c>
      <c r="S12" s="63" t="n">
        <f aca="false">IF(AND('01_CONTROL_PANEL'!$C$15=1,'06_CONSTRUCTION'!S5&gt;='27_SCENARIOS'!$C$12,'06_CONSTRUCTION'!S5&lt;'27_SCENARIOS'!$C$12+'27_SCENARIOS'!$C$13),'27_SCENARIOS'!$C$11,1)</f>
        <v>1</v>
      </c>
      <c r="T12" s="63" t="n">
        <f aca="false">IF(AND('01_CONTROL_PANEL'!$C$15=1,'06_CONSTRUCTION'!T5&gt;='27_SCENARIOS'!$C$12,'06_CONSTRUCTION'!T5&lt;'27_SCENARIOS'!$C$12+'27_SCENARIOS'!$C$13),'27_SCENARIOS'!$C$11,1)</f>
        <v>1</v>
      </c>
      <c r="U12" s="63" t="n">
        <f aca="false">IF(AND('01_CONTROL_PANEL'!$C$15=1,'06_CONSTRUCTION'!U5&gt;='27_SCENARIOS'!$C$12,'06_CONSTRUCTION'!U5&lt;'27_SCENARIOS'!$C$12+'27_SCENARIOS'!$C$13),'27_SCENARIOS'!$C$11,1)</f>
        <v>1</v>
      </c>
      <c r="V12" s="63" t="n">
        <f aca="false">IF(AND('01_CONTROL_PANEL'!$C$15=1,'06_CONSTRUCTION'!V5&gt;='27_SCENARIOS'!$C$12,'06_CONSTRUCTION'!V5&lt;'27_SCENARIOS'!$C$12+'27_SCENARIOS'!$C$13),'27_SCENARIOS'!$C$11,1)</f>
        <v>1</v>
      </c>
      <c r="W12" s="63" t="n">
        <f aca="false">IF(AND('01_CONTROL_PANEL'!$C$15=1,'06_CONSTRUCTION'!W5&gt;='27_SCENARIOS'!$C$12,'06_CONSTRUCTION'!W5&lt;'27_SCENARIOS'!$C$12+'27_SCENARIOS'!$C$13),'27_SCENARIOS'!$C$11,1)</f>
        <v>1</v>
      </c>
      <c r="X12" s="63" t="n">
        <f aca="false">IF(AND('01_CONTROL_PANEL'!$C$15=1,'06_CONSTRUCTION'!X5&gt;='27_SCENARIOS'!$C$12,'06_CONSTRUCTION'!X5&lt;'27_SCENARIOS'!$C$12+'27_SCENARIOS'!$C$13),'27_SCENARIOS'!$C$11,1)</f>
        <v>1</v>
      </c>
      <c r="Y12" s="63" t="n">
        <f aca="false">IF(AND('01_CONTROL_PANEL'!$C$15=1,'06_CONSTRUCTION'!Y5&gt;='27_SCENARIOS'!$C$12,'06_CONSTRUCTION'!Y5&lt;'27_SCENARIOS'!$C$12+'27_SCENARIOS'!$C$13),'27_SCENARIOS'!$C$11,1)</f>
        <v>1</v>
      </c>
      <c r="Z12" s="63" t="n">
        <f aca="false">IF(AND('01_CONTROL_PANEL'!$C$15=1,'06_CONSTRUCTION'!Z5&gt;='27_SCENARIOS'!$C$12,'06_CONSTRUCTION'!Z5&lt;'27_SCENARIOS'!$C$12+'27_SCENARIOS'!$C$13),'27_SCENARIOS'!$C$11,1)</f>
        <v>1</v>
      </c>
      <c r="AA12" s="63" t="n">
        <f aca="false">IF(AND('01_CONTROL_PANEL'!$C$15=1,'06_CONSTRUCTION'!AA5&gt;='27_SCENARIOS'!$C$12,'06_CONSTRUCTION'!AA5&lt;'27_SCENARIOS'!$C$12+'27_SCENARIOS'!$C$13),'27_SCENARIOS'!$C$11,1)</f>
        <v>1</v>
      </c>
      <c r="AB12" s="63" t="n">
        <f aca="false">IF(AND('01_CONTROL_PANEL'!$C$15=1,'06_CONSTRUCTION'!AB5&gt;='27_SCENARIOS'!$C$12,'06_CONSTRUCTION'!AB5&lt;'27_SCENARIOS'!$C$12+'27_SCENARIOS'!$C$13),'27_SCENARIOS'!$C$11,1)</f>
        <v>1</v>
      </c>
      <c r="AC12" s="63" t="n">
        <f aca="false">IF(AND('01_CONTROL_PANEL'!$C$15=1,'06_CONSTRUCTION'!AC5&gt;='27_SCENARIOS'!$C$12,'06_CONSTRUCTION'!AC5&lt;'27_SCENARIOS'!$C$12+'27_SCENARIOS'!$C$13),'27_SCENARIOS'!$C$11,1)</f>
        <v>1</v>
      </c>
      <c r="AD12" s="63" t="n">
        <f aca="false">IF(AND('01_CONTROL_PANEL'!$C$15=1,'06_CONSTRUCTION'!AD5&gt;='27_SCENARIOS'!$C$12,'06_CONSTRUCTION'!AD5&lt;'27_SCENARIOS'!$C$12+'27_SCENARIOS'!$C$13),'27_SCENARIOS'!$C$11,1)</f>
        <v>1</v>
      </c>
      <c r="AE12" s="63" t="n">
        <f aca="false">IF(AND('01_CONTROL_PANEL'!$C$15=1,'06_CONSTRUCTION'!AE5&gt;='27_SCENARIOS'!$C$12,'06_CONSTRUCTION'!AE5&lt;'27_SCENARIOS'!$C$12+'27_SCENARIOS'!$C$13),'27_SCENARIOS'!$C$11,1)</f>
        <v>1</v>
      </c>
      <c r="AF12" s="63" t="n">
        <f aca="false">IF(AND('01_CONTROL_PANEL'!$C$15=1,'06_CONSTRUCTION'!AF5&gt;='27_SCENARIOS'!$C$12,'06_CONSTRUCTION'!AF5&lt;'27_SCENARIOS'!$C$12+'27_SCENARIOS'!$C$13),'27_SCENARIOS'!$C$11,1)</f>
        <v>1</v>
      </c>
      <c r="AG12" s="63" t="n">
        <f aca="false">IF(AND('01_CONTROL_PANEL'!$C$15=1,'06_CONSTRUCTION'!AG5&gt;='27_SCENARIOS'!$C$12,'06_CONSTRUCTION'!AG5&lt;'27_SCENARIOS'!$C$12+'27_SCENARIOS'!$C$13),'27_SCENARIOS'!$C$11,1)</f>
        <v>1</v>
      </c>
      <c r="AH12" s="63" t="n">
        <f aca="false">IF(AND('01_CONTROL_PANEL'!$C$15=1,'06_CONSTRUCTION'!AH5&gt;='27_SCENARIOS'!$C$12,'06_CONSTRUCTION'!AH5&lt;'27_SCENARIOS'!$C$12+'27_SCENARIOS'!$C$13),'27_SCENARIOS'!$C$11,1)</f>
        <v>1</v>
      </c>
      <c r="AI12" s="63" t="n">
        <f aca="false">IF(AND('01_CONTROL_PANEL'!$C$15=1,'06_CONSTRUCTION'!AI5&gt;='27_SCENARIOS'!$C$12,'06_CONSTRUCTION'!AI5&lt;'27_SCENARIOS'!$C$12+'27_SCENARIOS'!$C$13),'27_SCENARIOS'!$C$11,1)</f>
        <v>1</v>
      </c>
      <c r="AJ12" s="63" t="n">
        <f aca="false">IF(AND('01_CONTROL_PANEL'!$C$15=1,'06_CONSTRUCTION'!AJ5&gt;='27_SCENARIOS'!$C$12,'06_CONSTRUCTION'!AJ5&lt;'27_SCENARIOS'!$C$12+'27_SCENARIOS'!$C$13),'27_SCENARIOS'!$C$11,1)</f>
        <v>1</v>
      </c>
      <c r="AK12" s="63" t="n">
        <f aca="false">IF(AND('01_CONTROL_PANEL'!$C$15=1,'06_CONSTRUCTION'!AK5&gt;='27_SCENARIOS'!$C$12,'06_CONSTRUCTION'!AK5&lt;'27_SCENARIOS'!$C$12+'27_SCENARIOS'!$C$13),'27_SCENARIOS'!$C$11,1)</f>
        <v>1</v>
      </c>
      <c r="AL12" s="63" t="n">
        <f aca="false">IF(AND('01_CONTROL_PANEL'!$C$15=1,'06_CONSTRUCTION'!AL5&gt;='27_SCENARIOS'!$C$12,'06_CONSTRUCTION'!AL5&lt;'27_SCENARIOS'!$C$12+'27_SCENARIOS'!$C$13),'27_SCENARIOS'!$C$11,1)</f>
        <v>1</v>
      </c>
      <c r="AM12" s="63" t="n">
        <f aca="false">IF(AND('01_CONTROL_PANEL'!$C$15=1,'06_CONSTRUCTION'!AM5&gt;='27_SCENARIOS'!$C$12,'06_CONSTRUCTION'!AM5&lt;'27_SCENARIOS'!$C$12+'27_SCENARIOS'!$C$13),'27_SCENARIOS'!$C$11,1)</f>
        <v>1</v>
      </c>
      <c r="AN12" s="63" t="n">
        <f aca="false">IF(AND('01_CONTROL_PANEL'!$C$15=1,'06_CONSTRUCTION'!AN5&gt;='27_SCENARIOS'!$C$12,'06_CONSTRUCTION'!AN5&lt;'27_SCENARIOS'!$C$12+'27_SCENARIOS'!$C$13),'27_SCENARIOS'!$C$11,1)</f>
        <v>1</v>
      </c>
      <c r="AO12" s="63" t="n">
        <f aca="false">IF(AND('01_CONTROL_PANEL'!$C$15=1,'06_CONSTRUCTION'!AO5&gt;='27_SCENARIOS'!$C$12,'06_CONSTRUCTION'!AO5&lt;'27_SCENARIOS'!$C$12+'27_SCENARIOS'!$C$13),'27_SCENARIOS'!$C$11,1)</f>
        <v>1</v>
      </c>
      <c r="AP12" s="63" t="n">
        <f aca="false">IF(AND('01_CONTROL_PANEL'!$C$15=1,'06_CONSTRUCTION'!AP5&gt;='27_SCENARIOS'!$C$12,'06_CONSTRUCTION'!AP5&lt;'27_SCENARIOS'!$C$12+'27_SCENARIOS'!$C$13),'27_SCENARIOS'!$C$11,1)</f>
        <v>1</v>
      </c>
      <c r="AQ12" s="63" t="n">
        <f aca="false">IF(AND('01_CONTROL_PANEL'!$C$15=1,'06_CONSTRUCTION'!AQ5&gt;='27_SCENARIOS'!$C$12,'06_CONSTRUCTION'!AQ5&lt;'27_SCENARIOS'!$C$12+'27_SCENARIOS'!$C$13),'27_SCENARIOS'!$C$11,1)</f>
        <v>1</v>
      </c>
      <c r="AR12" s="63" t="n">
        <f aca="false">IF(AND('01_CONTROL_PANEL'!$C$15=1,'06_CONSTRUCTION'!AR5&gt;='27_SCENARIOS'!$C$12,'06_CONSTRUCTION'!AR5&lt;'27_SCENARIOS'!$C$12+'27_SCENARIOS'!$C$13),'27_SCENARIOS'!$C$11,1)</f>
        <v>1</v>
      </c>
    </row>
    <row r="13" customFormat="false" ht="15" hidden="false" customHeight="true" outlineLevel="0" collapsed="false">
      <c r="A13" s="23" t="s">
        <v>325</v>
      </c>
      <c r="B13" s="23" t="s">
        <v>119</v>
      </c>
      <c r="E13" s="63" t="n">
        <f aca="false">(1+'27_SCENARIOS'!$C$38)^(('06_CONSTRUCTION'!E4-'02_PROJECT_INPUTS'!$C$11)/10)</f>
        <v>1</v>
      </c>
      <c r="F13" s="63" t="n">
        <f aca="false">(1+'27_SCENARIOS'!$C$38)^(('06_CONSTRUCTION'!F4-'02_PROJECT_INPUTS'!$C$11)/10)</f>
        <v>1</v>
      </c>
      <c r="G13" s="63" t="n">
        <f aca="false">(1+'27_SCENARIOS'!$C$38)^(('06_CONSTRUCTION'!G4-'02_PROJECT_INPUTS'!$C$11)/10)</f>
        <v>1</v>
      </c>
      <c r="H13" s="63" t="n">
        <f aca="false">(1+'27_SCENARIOS'!$C$38)^(('06_CONSTRUCTION'!H4-'02_PROJECT_INPUTS'!$C$11)/10)</f>
        <v>1</v>
      </c>
      <c r="I13" s="63" t="n">
        <f aca="false">(1+'27_SCENARIOS'!$C$38)^(('06_CONSTRUCTION'!I4-'02_PROJECT_INPUTS'!$C$11)/10)</f>
        <v>1</v>
      </c>
      <c r="J13" s="63" t="n">
        <f aca="false">(1+'27_SCENARIOS'!$C$38)^(('06_CONSTRUCTION'!J4-'02_PROJECT_INPUTS'!$C$11)/10)</f>
        <v>1</v>
      </c>
      <c r="K13" s="63" t="n">
        <f aca="false">(1+'27_SCENARIOS'!$C$38)^(('06_CONSTRUCTION'!K4-'02_PROJECT_INPUTS'!$C$11)/10)</f>
        <v>1</v>
      </c>
      <c r="L13" s="63" t="n">
        <f aca="false">(1+'27_SCENARIOS'!$C$38)^(('06_CONSTRUCTION'!L4-'02_PROJECT_INPUTS'!$C$11)/10)</f>
        <v>1</v>
      </c>
      <c r="M13" s="63" t="n">
        <f aca="false">(1+'27_SCENARIOS'!$C$38)^(('06_CONSTRUCTION'!M4-'02_PROJECT_INPUTS'!$C$11)/10)</f>
        <v>1</v>
      </c>
      <c r="N13" s="63" t="n">
        <f aca="false">(1+'27_SCENARIOS'!$C$38)^(('06_CONSTRUCTION'!N4-'02_PROJECT_INPUTS'!$C$11)/10)</f>
        <v>1</v>
      </c>
      <c r="O13" s="63" t="n">
        <f aca="false">(1+'27_SCENARIOS'!$C$38)^(('06_CONSTRUCTION'!O4-'02_PROJECT_INPUTS'!$C$11)/10)</f>
        <v>1</v>
      </c>
      <c r="P13" s="63" t="n">
        <f aca="false">(1+'27_SCENARIOS'!$C$38)^(('06_CONSTRUCTION'!P4-'02_PROJECT_INPUTS'!$C$11)/10)</f>
        <v>1</v>
      </c>
      <c r="Q13" s="63" t="n">
        <f aca="false">(1+'27_SCENARIOS'!$C$38)^(('06_CONSTRUCTION'!Q4-'02_PROJECT_INPUTS'!$C$11)/10)</f>
        <v>1</v>
      </c>
      <c r="R13" s="63" t="n">
        <f aca="false">(1+'27_SCENARIOS'!$C$38)^(('06_CONSTRUCTION'!R4-'02_PROJECT_INPUTS'!$C$11)/10)</f>
        <v>1</v>
      </c>
      <c r="S13" s="63" t="n">
        <f aca="false">(1+'27_SCENARIOS'!$C$38)^(('06_CONSTRUCTION'!S4-'02_PROJECT_INPUTS'!$C$11)/10)</f>
        <v>1</v>
      </c>
      <c r="T13" s="63" t="n">
        <f aca="false">(1+'27_SCENARIOS'!$C$38)^(('06_CONSTRUCTION'!T4-'02_PROJECT_INPUTS'!$C$11)/10)</f>
        <v>1</v>
      </c>
      <c r="U13" s="63" t="n">
        <f aca="false">(1+'27_SCENARIOS'!$C$38)^(('06_CONSTRUCTION'!U4-'02_PROJECT_INPUTS'!$C$11)/10)</f>
        <v>1</v>
      </c>
      <c r="V13" s="63" t="n">
        <f aca="false">(1+'27_SCENARIOS'!$C$38)^(('06_CONSTRUCTION'!V4-'02_PROJECT_INPUTS'!$C$11)/10)</f>
        <v>1</v>
      </c>
      <c r="W13" s="63" t="n">
        <f aca="false">(1+'27_SCENARIOS'!$C$38)^(('06_CONSTRUCTION'!W4-'02_PROJECT_INPUTS'!$C$11)/10)</f>
        <v>1</v>
      </c>
      <c r="X13" s="63" t="n">
        <f aca="false">(1+'27_SCENARIOS'!$C$38)^(('06_CONSTRUCTION'!X4-'02_PROJECT_INPUTS'!$C$11)/10)</f>
        <v>1</v>
      </c>
      <c r="Y13" s="63" t="n">
        <f aca="false">(1+'27_SCENARIOS'!$C$38)^(('06_CONSTRUCTION'!Y4-'02_PROJECT_INPUTS'!$C$11)/10)</f>
        <v>1</v>
      </c>
      <c r="Z13" s="63" t="n">
        <f aca="false">(1+'27_SCENARIOS'!$C$38)^(('06_CONSTRUCTION'!Z4-'02_PROJECT_INPUTS'!$C$11)/10)</f>
        <v>1</v>
      </c>
      <c r="AA13" s="63" t="n">
        <f aca="false">(1+'27_SCENARIOS'!$C$38)^(('06_CONSTRUCTION'!AA4-'02_PROJECT_INPUTS'!$C$11)/10)</f>
        <v>1</v>
      </c>
      <c r="AB13" s="63" t="n">
        <f aca="false">(1+'27_SCENARIOS'!$C$38)^(('06_CONSTRUCTION'!AB4-'02_PROJECT_INPUTS'!$C$11)/10)</f>
        <v>1</v>
      </c>
      <c r="AC13" s="63" t="n">
        <f aca="false">(1+'27_SCENARIOS'!$C$38)^(('06_CONSTRUCTION'!AC4-'02_PROJECT_INPUTS'!$C$11)/10)</f>
        <v>1</v>
      </c>
      <c r="AD13" s="63" t="n">
        <f aca="false">(1+'27_SCENARIOS'!$C$38)^(('06_CONSTRUCTION'!AD4-'02_PROJECT_INPUTS'!$C$11)/10)</f>
        <v>1</v>
      </c>
      <c r="AE13" s="63" t="n">
        <f aca="false">(1+'27_SCENARIOS'!$C$38)^(('06_CONSTRUCTION'!AE4-'02_PROJECT_INPUTS'!$C$11)/10)</f>
        <v>1</v>
      </c>
      <c r="AF13" s="63" t="n">
        <f aca="false">(1+'27_SCENARIOS'!$C$38)^(('06_CONSTRUCTION'!AF4-'02_PROJECT_INPUTS'!$C$11)/10)</f>
        <v>1</v>
      </c>
      <c r="AG13" s="63" t="n">
        <f aca="false">(1+'27_SCENARIOS'!$C$38)^(('06_CONSTRUCTION'!AG4-'02_PROJECT_INPUTS'!$C$11)/10)</f>
        <v>1</v>
      </c>
      <c r="AH13" s="63" t="n">
        <f aca="false">(1+'27_SCENARIOS'!$C$38)^(('06_CONSTRUCTION'!AH4-'02_PROJECT_INPUTS'!$C$11)/10)</f>
        <v>1</v>
      </c>
      <c r="AI13" s="63" t="n">
        <f aca="false">(1+'27_SCENARIOS'!$C$38)^(('06_CONSTRUCTION'!AI4-'02_PROJECT_INPUTS'!$C$11)/10)</f>
        <v>1</v>
      </c>
      <c r="AJ13" s="63" t="n">
        <f aca="false">(1+'27_SCENARIOS'!$C$38)^(('06_CONSTRUCTION'!AJ4-'02_PROJECT_INPUTS'!$C$11)/10)</f>
        <v>1</v>
      </c>
      <c r="AK13" s="63" t="n">
        <f aca="false">(1+'27_SCENARIOS'!$C$38)^(('06_CONSTRUCTION'!AK4-'02_PROJECT_INPUTS'!$C$11)/10)</f>
        <v>1</v>
      </c>
      <c r="AL13" s="63" t="n">
        <f aca="false">(1+'27_SCENARIOS'!$C$38)^(('06_CONSTRUCTION'!AL4-'02_PROJECT_INPUTS'!$C$11)/10)</f>
        <v>1</v>
      </c>
      <c r="AM13" s="63" t="n">
        <f aca="false">(1+'27_SCENARIOS'!$C$38)^(('06_CONSTRUCTION'!AM4-'02_PROJECT_INPUTS'!$C$11)/10)</f>
        <v>1</v>
      </c>
      <c r="AN13" s="63" t="n">
        <f aca="false">(1+'27_SCENARIOS'!$C$38)^(('06_CONSTRUCTION'!AN4-'02_PROJECT_INPUTS'!$C$11)/10)</f>
        <v>1</v>
      </c>
      <c r="AO13" s="63" t="n">
        <f aca="false">(1+'27_SCENARIOS'!$C$38)^(('06_CONSTRUCTION'!AO4-'02_PROJECT_INPUTS'!$C$11)/10)</f>
        <v>1</v>
      </c>
      <c r="AP13" s="63" t="n">
        <f aca="false">(1+'27_SCENARIOS'!$C$38)^(('06_CONSTRUCTION'!AP4-'02_PROJECT_INPUTS'!$C$11)/10)</f>
        <v>1</v>
      </c>
      <c r="AQ13" s="63" t="n">
        <f aca="false">(1+'27_SCENARIOS'!$C$38)^(('06_CONSTRUCTION'!AQ4-'02_PROJECT_INPUTS'!$C$11)/10)</f>
        <v>1</v>
      </c>
      <c r="AR13" s="63" t="n">
        <f aca="false">(1+'27_SCENARIOS'!$C$38)^(('06_CONSTRUCTION'!AR4-'02_PROJECT_INPUTS'!$C$11)/10)</f>
        <v>1</v>
      </c>
    </row>
    <row r="14" customFormat="false" ht="15" hidden="false" customHeight="true" outlineLevel="0" collapsed="false">
      <c r="A14" s="23" t="s">
        <v>326</v>
      </c>
      <c r="B14" s="23" t="s">
        <v>119</v>
      </c>
      <c r="E14" s="63" t="n">
        <f aca="false">IF('06_CONSTRUCTION'!E5=1,'03_HYDROLOGY'!$C$11,1)</f>
        <v>1</v>
      </c>
      <c r="F14" s="63" t="n">
        <f aca="false">IF('06_CONSTRUCTION'!F5=1,'03_HYDROLOGY'!$C$11,1)</f>
        <v>1</v>
      </c>
      <c r="G14" s="63" t="n">
        <f aca="false">IF('06_CONSTRUCTION'!G5=1,'03_HYDROLOGY'!$C$11,1)</f>
        <v>1</v>
      </c>
      <c r="H14" s="63" t="n">
        <f aca="false">IF('06_CONSTRUCTION'!H5=1,'03_HYDROLOGY'!$C$11,1)</f>
        <v>0.85</v>
      </c>
      <c r="I14" s="63" t="n">
        <f aca="false">IF('06_CONSTRUCTION'!I5=1,'03_HYDROLOGY'!$C$11,1)</f>
        <v>1</v>
      </c>
      <c r="J14" s="63" t="n">
        <f aca="false">IF('06_CONSTRUCTION'!J5=1,'03_HYDROLOGY'!$C$11,1)</f>
        <v>1</v>
      </c>
      <c r="K14" s="63" t="n">
        <f aca="false">IF('06_CONSTRUCTION'!K5=1,'03_HYDROLOGY'!$C$11,1)</f>
        <v>1</v>
      </c>
      <c r="L14" s="63" t="n">
        <f aca="false">IF('06_CONSTRUCTION'!L5=1,'03_HYDROLOGY'!$C$11,1)</f>
        <v>1</v>
      </c>
      <c r="M14" s="63" t="n">
        <f aca="false">IF('06_CONSTRUCTION'!M5=1,'03_HYDROLOGY'!$C$11,1)</f>
        <v>1</v>
      </c>
      <c r="N14" s="63" t="n">
        <f aca="false">IF('06_CONSTRUCTION'!N5=1,'03_HYDROLOGY'!$C$11,1)</f>
        <v>1</v>
      </c>
      <c r="O14" s="63" t="n">
        <f aca="false">IF('06_CONSTRUCTION'!O5=1,'03_HYDROLOGY'!$C$11,1)</f>
        <v>1</v>
      </c>
      <c r="P14" s="63" t="n">
        <f aca="false">IF('06_CONSTRUCTION'!P5=1,'03_HYDROLOGY'!$C$11,1)</f>
        <v>1</v>
      </c>
      <c r="Q14" s="63" t="n">
        <f aca="false">IF('06_CONSTRUCTION'!Q5=1,'03_HYDROLOGY'!$C$11,1)</f>
        <v>1</v>
      </c>
      <c r="R14" s="63" t="n">
        <f aca="false">IF('06_CONSTRUCTION'!R5=1,'03_HYDROLOGY'!$C$11,1)</f>
        <v>1</v>
      </c>
      <c r="S14" s="63" t="n">
        <f aca="false">IF('06_CONSTRUCTION'!S5=1,'03_HYDROLOGY'!$C$11,1)</f>
        <v>1</v>
      </c>
      <c r="T14" s="63" t="n">
        <f aca="false">IF('06_CONSTRUCTION'!T5=1,'03_HYDROLOGY'!$C$11,1)</f>
        <v>1</v>
      </c>
      <c r="U14" s="63" t="n">
        <f aca="false">IF('06_CONSTRUCTION'!U5=1,'03_HYDROLOGY'!$C$11,1)</f>
        <v>1</v>
      </c>
      <c r="V14" s="63" t="n">
        <f aca="false">IF('06_CONSTRUCTION'!V5=1,'03_HYDROLOGY'!$C$11,1)</f>
        <v>1</v>
      </c>
      <c r="W14" s="63" t="n">
        <f aca="false">IF('06_CONSTRUCTION'!W5=1,'03_HYDROLOGY'!$C$11,1)</f>
        <v>1</v>
      </c>
      <c r="X14" s="63" t="n">
        <f aca="false">IF('06_CONSTRUCTION'!X5=1,'03_HYDROLOGY'!$C$11,1)</f>
        <v>1</v>
      </c>
      <c r="Y14" s="63" t="n">
        <f aca="false">IF('06_CONSTRUCTION'!Y5=1,'03_HYDROLOGY'!$C$11,1)</f>
        <v>1</v>
      </c>
      <c r="Z14" s="63" t="n">
        <f aca="false">IF('06_CONSTRUCTION'!Z5=1,'03_HYDROLOGY'!$C$11,1)</f>
        <v>1</v>
      </c>
      <c r="AA14" s="63" t="n">
        <f aca="false">IF('06_CONSTRUCTION'!AA5=1,'03_HYDROLOGY'!$C$11,1)</f>
        <v>1</v>
      </c>
      <c r="AB14" s="63" t="n">
        <f aca="false">IF('06_CONSTRUCTION'!AB5=1,'03_HYDROLOGY'!$C$11,1)</f>
        <v>1</v>
      </c>
      <c r="AC14" s="63" t="n">
        <f aca="false">IF('06_CONSTRUCTION'!AC5=1,'03_HYDROLOGY'!$C$11,1)</f>
        <v>1</v>
      </c>
      <c r="AD14" s="63" t="n">
        <f aca="false">IF('06_CONSTRUCTION'!AD5=1,'03_HYDROLOGY'!$C$11,1)</f>
        <v>1</v>
      </c>
      <c r="AE14" s="63" t="n">
        <f aca="false">IF('06_CONSTRUCTION'!AE5=1,'03_HYDROLOGY'!$C$11,1)</f>
        <v>1</v>
      </c>
      <c r="AF14" s="63" t="n">
        <f aca="false">IF('06_CONSTRUCTION'!AF5=1,'03_HYDROLOGY'!$C$11,1)</f>
        <v>1</v>
      </c>
      <c r="AG14" s="63" t="n">
        <f aca="false">IF('06_CONSTRUCTION'!AG5=1,'03_HYDROLOGY'!$C$11,1)</f>
        <v>1</v>
      </c>
      <c r="AH14" s="63" t="n">
        <f aca="false">IF('06_CONSTRUCTION'!AH5=1,'03_HYDROLOGY'!$C$11,1)</f>
        <v>1</v>
      </c>
      <c r="AI14" s="63" t="n">
        <f aca="false">IF('06_CONSTRUCTION'!AI5=1,'03_HYDROLOGY'!$C$11,1)</f>
        <v>1</v>
      </c>
      <c r="AJ14" s="63" t="n">
        <f aca="false">IF('06_CONSTRUCTION'!AJ5=1,'03_HYDROLOGY'!$C$11,1)</f>
        <v>1</v>
      </c>
      <c r="AK14" s="63" t="n">
        <f aca="false">IF('06_CONSTRUCTION'!AK5=1,'03_HYDROLOGY'!$C$11,1)</f>
        <v>1</v>
      </c>
      <c r="AL14" s="63" t="n">
        <f aca="false">IF('06_CONSTRUCTION'!AL5=1,'03_HYDROLOGY'!$C$11,1)</f>
        <v>1</v>
      </c>
      <c r="AM14" s="63" t="n">
        <f aca="false">IF('06_CONSTRUCTION'!AM5=1,'03_HYDROLOGY'!$C$11,1)</f>
        <v>1</v>
      </c>
      <c r="AN14" s="63" t="n">
        <f aca="false">IF('06_CONSTRUCTION'!AN5=1,'03_HYDROLOGY'!$C$11,1)</f>
        <v>1</v>
      </c>
      <c r="AO14" s="63" t="n">
        <f aca="false">IF('06_CONSTRUCTION'!AO5=1,'03_HYDROLOGY'!$C$11,1)</f>
        <v>1</v>
      </c>
      <c r="AP14" s="63" t="n">
        <f aca="false">IF('06_CONSTRUCTION'!AP5=1,'03_HYDROLOGY'!$C$11,1)</f>
        <v>1</v>
      </c>
      <c r="AQ14" s="63" t="n">
        <f aca="false">IF('06_CONSTRUCTION'!AQ5=1,'03_HYDROLOGY'!$C$11,1)</f>
        <v>1</v>
      </c>
      <c r="AR14" s="63" t="n">
        <f aca="false">IF('06_CONSTRUCTION'!AR5=1,'03_HYDROLOGY'!$C$11,1)</f>
        <v>1</v>
      </c>
    </row>
    <row r="15" customFormat="false" ht="15" hidden="false" customHeight="true" outlineLevel="0" collapsed="false">
      <c r="A15" s="21" t="s">
        <v>327</v>
      </c>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row>
    <row r="16" customFormat="false" ht="15" hidden="false" customHeight="true" outlineLevel="0" collapsed="false">
      <c r="A16" s="23" t="s">
        <v>328</v>
      </c>
      <c r="B16" s="23" t="s">
        <v>299</v>
      </c>
      <c r="C16" s="56" t="n">
        <f aca="false">SUM('04_GENERATION'!$E$16:$AR$16)</f>
        <v>7268.16224423197</v>
      </c>
      <c r="E16" s="56" t="n">
        <f aca="false">'06_CONSTRUCTION'!E14*'03_HYDROLOGY'!$C$33*'27_SCENARIOS'!$C$26*'04_GENERATION'!E13*'04_GENERATION'!E14</f>
        <v>0</v>
      </c>
      <c r="F16" s="56" t="n">
        <f aca="false">'06_CONSTRUCTION'!F14*'03_HYDROLOGY'!$C$33*'27_SCENARIOS'!$C$26*'04_GENERATION'!F13*'04_GENERATION'!F14</f>
        <v>0</v>
      </c>
      <c r="G16" s="56" t="n">
        <f aca="false">'06_CONSTRUCTION'!G14*'03_HYDROLOGY'!$C$33*'27_SCENARIOS'!$C$26*'04_GENERATION'!G13*'04_GENERATION'!G14</f>
        <v>0</v>
      </c>
      <c r="H16" s="56" t="n">
        <f aca="false">'06_CONSTRUCTION'!H14*'03_HYDROLOGY'!$C$33*'27_SCENARIOS'!$C$26*'04_GENERATION'!H13*'04_GENERATION'!H14</f>
        <v>248.609171331878</v>
      </c>
      <c r="I16" s="56" t="n">
        <f aca="false">'06_CONSTRUCTION'!I14*'03_HYDROLOGY'!$C$33*'27_SCENARIOS'!$C$26*'04_GENERATION'!I13*'04_GENERATION'!I14</f>
        <v>292.481378037504</v>
      </c>
      <c r="J16" s="56" t="n">
        <f aca="false">'06_CONSTRUCTION'!J14*'03_HYDROLOGY'!$C$33*'27_SCENARIOS'!$C$26*'04_GENERATION'!J13*'04_GENERATION'!J14</f>
        <v>292.481378037504</v>
      </c>
      <c r="K16" s="56" t="n">
        <f aca="false">'06_CONSTRUCTION'!K14*'03_HYDROLOGY'!$C$33*'27_SCENARIOS'!$C$26*'04_GENERATION'!K13*'04_GENERATION'!K14</f>
        <v>292.481378037504</v>
      </c>
      <c r="L16" s="56" t="n">
        <f aca="false">'06_CONSTRUCTION'!L14*'03_HYDROLOGY'!$C$33*'27_SCENARIOS'!$C$26*'04_GENERATION'!L13*'04_GENERATION'!L14</f>
        <v>292.481378037504</v>
      </c>
      <c r="M16" s="56" t="n">
        <f aca="false">'06_CONSTRUCTION'!M14*'03_HYDROLOGY'!$C$33*'27_SCENARIOS'!$C$26*'04_GENERATION'!M13*'04_GENERATION'!M14</f>
        <v>292.481378037504</v>
      </c>
      <c r="N16" s="56" t="n">
        <f aca="false">'06_CONSTRUCTION'!N14*'03_HYDROLOGY'!$C$33*'27_SCENARIOS'!$C$26*'04_GENERATION'!N13*'04_GENERATION'!N14</f>
        <v>292.481378037504</v>
      </c>
      <c r="O16" s="56" t="n">
        <f aca="false">'06_CONSTRUCTION'!O14*'03_HYDROLOGY'!$C$33*'27_SCENARIOS'!$C$26*'04_GENERATION'!O13*'04_GENERATION'!O14</f>
        <v>292.481378037504</v>
      </c>
      <c r="P16" s="56" t="n">
        <f aca="false">'06_CONSTRUCTION'!P14*'03_HYDROLOGY'!$C$33*'27_SCENARIOS'!$C$26*'04_GENERATION'!P13*'04_GENERATION'!P14</f>
        <v>292.481378037504</v>
      </c>
      <c r="Q16" s="56" t="n">
        <f aca="false">'06_CONSTRUCTION'!Q14*'03_HYDROLOGY'!$C$33*'27_SCENARIOS'!$C$26*'04_GENERATION'!Q13*'04_GENERATION'!Q14</f>
        <v>292.481378037504</v>
      </c>
      <c r="R16" s="56" t="n">
        <f aca="false">'06_CONSTRUCTION'!R14*'03_HYDROLOGY'!$C$33*'27_SCENARIOS'!$C$26*'04_GENERATION'!R13*'04_GENERATION'!R14</f>
        <v>292.481378037504</v>
      </c>
      <c r="S16" s="56" t="n">
        <f aca="false">'06_CONSTRUCTION'!S14*'03_HYDROLOGY'!$C$33*'27_SCENARIOS'!$C$26*'04_GENERATION'!S13*'04_GENERATION'!S14</f>
        <v>292.481378037504</v>
      </c>
      <c r="T16" s="56" t="n">
        <f aca="false">'06_CONSTRUCTION'!T14*'03_HYDROLOGY'!$C$33*'27_SCENARIOS'!$C$26*'04_GENERATION'!T13*'04_GENERATION'!T14</f>
        <v>292.481378037504</v>
      </c>
      <c r="U16" s="56" t="n">
        <f aca="false">'06_CONSTRUCTION'!U14*'03_HYDROLOGY'!$C$33*'27_SCENARIOS'!$C$26*'04_GENERATION'!U13*'04_GENERATION'!U14</f>
        <v>292.481378037504</v>
      </c>
      <c r="V16" s="56" t="n">
        <f aca="false">'06_CONSTRUCTION'!V14*'03_HYDROLOGY'!$C$33*'27_SCENARIOS'!$C$26*'04_GENERATION'!V13*'04_GENERATION'!V14</f>
        <v>292.481378037504</v>
      </c>
      <c r="W16" s="56" t="n">
        <f aca="false">'06_CONSTRUCTION'!W14*'03_HYDROLOGY'!$C$33*'27_SCENARIOS'!$C$26*'04_GENERATION'!W13*'04_GENERATION'!W14</f>
        <v>292.481378037504</v>
      </c>
      <c r="X16" s="56" t="n">
        <f aca="false">'06_CONSTRUCTION'!X14*'03_HYDROLOGY'!$C$33*'27_SCENARIOS'!$C$26*'04_GENERATION'!X13*'04_GENERATION'!X14</f>
        <v>292.481378037504</v>
      </c>
      <c r="Y16" s="56" t="n">
        <f aca="false">'06_CONSTRUCTION'!Y14*'03_HYDROLOGY'!$C$33*'27_SCENARIOS'!$C$26*'04_GENERATION'!Y13*'04_GENERATION'!Y14</f>
        <v>292.481378037504</v>
      </c>
      <c r="Z16" s="56" t="n">
        <f aca="false">'06_CONSTRUCTION'!Z14*'03_HYDROLOGY'!$C$33*'27_SCENARIOS'!$C$26*'04_GENERATION'!Z13*'04_GENERATION'!Z14</f>
        <v>292.481378037504</v>
      </c>
      <c r="AA16" s="56" t="n">
        <f aca="false">'06_CONSTRUCTION'!AA14*'03_HYDROLOGY'!$C$33*'27_SCENARIOS'!$C$26*'04_GENERATION'!AA13*'04_GENERATION'!AA14</f>
        <v>292.481378037504</v>
      </c>
      <c r="AB16" s="56" t="n">
        <f aca="false">'06_CONSTRUCTION'!AB14*'03_HYDROLOGY'!$C$33*'27_SCENARIOS'!$C$26*'04_GENERATION'!AB13*'04_GENERATION'!AB14</f>
        <v>292.481378037504</v>
      </c>
      <c r="AC16" s="56" t="n">
        <f aca="false">'06_CONSTRUCTION'!AC14*'03_HYDROLOGY'!$C$33*'27_SCENARIOS'!$C$26*'04_GENERATION'!AC13*'04_GENERATION'!AC14</f>
        <v>292.481378037504</v>
      </c>
      <c r="AD16" s="56" t="n">
        <f aca="false">'06_CONSTRUCTION'!AD14*'03_HYDROLOGY'!$C$33*'27_SCENARIOS'!$C$26*'04_GENERATION'!AD13*'04_GENERATION'!AD14</f>
        <v>292.481378037504</v>
      </c>
      <c r="AE16" s="56" t="n">
        <f aca="false">'06_CONSTRUCTION'!AE14*'03_HYDROLOGY'!$C$33*'27_SCENARIOS'!$C$26*'04_GENERATION'!AE13*'04_GENERATION'!AE14</f>
        <v>292.481378037504</v>
      </c>
      <c r="AF16" s="56" t="n">
        <f aca="false">'06_CONSTRUCTION'!AF14*'03_HYDROLOGY'!$C$33*'27_SCENARIOS'!$C$26*'04_GENERATION'!AF13*'04_GENERATION'!AF14</f>
        <v>292.481378037504</v>
      </c>
      <c r="AG16" s="56" t="n">
        <f aca="false">'06_CONSTRUCTION'!AG14*'03_HYDROLOGY'!$C$33*'27_SCENARIOS'!$C$26*'04_GENERATION'!AG13*'04_GENERATION'!AG14</f>
        <v>0</v>
      </c>
      <c r="AH16" s="56" t="n">
        <f aca="false">'06_CONSTRUCTION'!AH14*'03_HYDROLOGY'!$C$33*'27_SCENARIOS'!$C$26*'04_GENERATION'!AH13*'04_GENERATION'!AH14</f>
        <v>0</v>
      </c>
      <c r="AI16" s="56" t="n">
        <f aca="false">'06_CONSTRUCTION'!AI14*'03_HYDROLOGY'!$C$33*'27_SCENARIOS'!$C$26*'04_GENERATION'!AI13*'04_GENERATION'!AI14</f>
        <v>0</v>
      </c>
      <c r="AJ16" s="56" t="n">
        <f aca="false">'06_CONSTRUCTION'!AJ14*'03_HYDROLOGY'!$C$33*'27_SCENARIOS'!$C$26*'04_GENERATION'!AJ13*'04_GENERATION'!AJ14</f>
        <v>0</v>
      </c>
      <c r="AK16" s="56" t="n">
        <f aca="false">'06_CONSTRUCTION'!AK14*'03_HYDROLOGY'!$C$33*'27_SCENARIOS'!$C$26*'04_GENERATION'!AK13*'04_GENERATION'!AK14</f>
        <v>0</v>
      </c>
      <c r="AL16" s="56" t="n">
        <f aca="false">'06_CONSTRUCTION'!AL14*'03_HYDROLOGY'!$C$33*'27_SCENARIOS'!$C$26*'04_GENERATION'!AL13*'04_GENERATION'!AL14</f>
        <v>0</v>
      </c>
      <c r="AM16" s="56" t="n">
        <f aca="false">'06_CONSTRUCTION'!AM14*'03_HYDROLOGY'!$C$33*'27_SCENARIOS'!$C$26*'04_GENERATION'!AM13*'04_GENERATION'!AM14</f>
        <v>0</v>
      </c>
      <c r="AN16" s="56" t="n">
        <f aca="false">'06_CONSTRUCTION'!AN14*'03_HYDROLOGY'!$C$33*'27_SCENARIOS'!$C$26*'04_GENERATION'!AN13*'04_GENERATION'!AN14</f>
        <v>0</v>
      </c>
      <c r="AO16" s="56" t="n">
        <f aca="false">'06_CONSTRUCTION'!AO14*'03_HYDROLOGY'!$C$33*'27_SCENARIOS'!$C$26*'04_GENERATION'!AO13*'04_GENERATION'!AO14</f>
        <v>0</v>
      </c>
      <c r="AP16" s="56" t="n">
        <f aca="false">'06_CONSTRUCTION'!AP14*'03_HYDROLOGY'!$C$33*'27_SCENARIOS'!$C$26*'04_GENERATION'!AP13*'04_GENERATION'!AP14</f>
        <v>0</v>
      </c>
      <c r="AQ16" s="56" t="n">
        <f aca="false">'06_CONSTRUCTION'!AQ14*'03_HYDROLOGY'!$C$33*'27_SCENARIOS'!$C$26*'04_GENERATION'!AQ13*'04_GENERATION'!AQ14</f>
        <v>0</v>
      </c>
      <c r="AR16" s="56" t="n">
        <f aca="false">'06_CONSTRUCTION'!AR14*'03_HYDROLOGY'!$C$33*'27_SCENARIOS'!$C$26*'04_GENERATION'!AR13*'04_GENERATION'!AR14</f>
        <v>0</v>
      </c>
    </row>
    <row r="17" customFormat="false" ht="15" hidden="false" customHeight="true" outlineLevel="0" collapsed="false">
      <c r="A17" s="19" t="s">
        <v>329</v>
      </c>
      <c r="B17" s="23" t="s">
        <v>299</v>
      </c>
      <c r="C17" s="56" t="n">
        <f aca="false">SUM('04_GENERATION'!$E$17:$AR$17)</f>
        <v>7268.16224423197</v>
      </c>
      <c r="E17" s="64" t="n">
        <f aca="false">'06_CONSTRUCTION'!E14*'04_GENERATION'!$C$6*'27_SCENARIOS'!$C$26*'04_GENERATION'!E12*'04_GENERATION'!E13*'04_GENERATION'!E14</f>
        <v>0</v>
      </c>
      <c r="F17" s="64" t="n">
        <f aca="false">'06_CONSTRUCTION'!F14*'04_GENERATION'!$C$6*'27_SCENARIOS'!$C$26*'04_GENERATION'!F12*'04_GENERATION'!F13*'04_GENERATION'!F14</f>
        <v>0</v>
      </c>
      <c r="G17" s="64" t="n">
        <f aca="false">'06_CONSTRUCTION'!G14*'04_GENERATION'!$C$6*'27_SCENARIOS'!$C$26*'04_GENERATION'!G12*'04_GENERATION'!G13*'04_GENERATION'!G14</f>
        <v>0</v>
      </c>
      <c r="H17" s="64" t="n">
        <f aca="false">'06_CONSTRUCTION'!H14*'04_GENERATION'!$C$6*'27_SCENARIOS'!$C$26*'04_GENERATION'!H12*'04_GENERATION'!H13*'04_GENERATION'!H14</f>
        <v>248.609171331878</v>
      </c>
      <c r="I17" s="64" t="n">
        <f aca="false">'06_CONSTRUCTION'!I14*'04_GENERATION'!$C$6*'27_SCENARIOS'!$C$26*'04_GENERATION'!I12*'04_GENERATION'!I13*'04_GENERATION'!I14</f>
        <v>292.481378037504</v>
      </c>
      <c r="J17" s="64" t="n">
        <f aca="false">'06_CONSTRUCTION'!J14*'04_GENERATION'!$C$6*'27_SCENARIOS'!$C$26*'04_GENERATION'!J12*'04_GENERATION'!J13*'04_GENERATION'!J14</f>
        <v>292.481378037504</v>
      </c>
      <c r="K17" s="64" t="n">
        <f aca="false">'06_CONSTRUCTION'!K14*'04_GENERATION'!$C$6*'27_SCENARIOS'!$C$26*'04_GENERATION'!K12*'04_GENERATION'!K13*'04_GENERATION'!K14</f>
        <v>292.481378037504</v>
      </c>
      <c r="L17" s="64" t="n">
        <f aca="false">'06_CONSTRUCTION'!L14*'04_GENERATION'!$C$6*'27_SCENARIOS'!$C$26*'04_GENERATION'!L12*'04_GENERATION'!L13*'04_GENERATION'!L14</f>
        <v>292.481378037504</v>
      </c>
      <c r="M17" s="64" t="n">
        <f aca="false">'06_CONSTRUCTION'!M14*'04_GENERATION'!$C$6*'27_SCENARIOS'!$C$26*'04_GENERATION'!M12*'04_GENERATION'!M13*'04_GENERATION'!M14</f>
        <v>292.481378037504</v>
      </c>
      <c r="N17" s="64" t="n">
        <f aca="false">'06_CONSTRUCTION'!N14*'04_GENERATION'!$C$6*'27_SCENARIOS'!$C$26*'04_GENERATION'!N12*'04_GENERATION'!N13*'04_GENERATION'!N14</f>
        <v>292.481378037504</v>
      </c>
      <c r="O17" s="64" t="n">
        <f aca="false">'06_CONSTRUCTION'!O14*'04_GENERATION'!$C$6*'27_SCENARIOS'!$C$26*'04_GENERATION'!O12*'04_GENERATION'!O13*'04_GENERATION'!O14</f>
        <v>292.481378037504</v>
      </c>
      <c r="P17" s="64" t="n">
        <f aca="false">'06_CONSTRUCTION'!P14*'04_GENERATION'!$C$6*'27_SCENARIOS'!$C$26*'04_GENERATION'!P12*'04_GENERATION'!P13*'04_GENERATION'!P14</f>
        <v>292.481378037504</v>
      </c>
      <c r="Q17" s="64" t="n">
        <f aca="false">'06_CONSTRUCTION'!Q14*'04_GENERATION'!$C$6*'27_SCENARIOS'!$C$26*'04_GENERATION'!Q12*'04_GENERATION'!Q13*'04_GENERATION'!Q14</f>
        <v>292.481378037504</v>
      </c>
      <c r="R17" s="64" t="n">
        <f aca="false">'06_CONSTRUCTION'!R14*'04_GENERATION'!$C$6*'27_SCENARIOS'!$C$26*'04_GENERATION'!R12*'04_GENERATION'!R13*'04_GENERATION'!R14</f>
        <v>292.481378037504</v>
      </c>
      <c r="S17" s="64" t="n">
        <f aca="false">'06_CONSTRUCTION'!S14*'04_GENERATION'!$C$6*'27_SCENARIOS'!$C$26*'04_GENERATION'!S12*'04_GENERATION'!S13*'04_GENERATION'!S14</f>
        <v>292.481378037504</v>
      </c>
      <c r="T17" s="64" t="n">
        <f aca="false">'06_CONSTRUCTION'!T14*'04_GENERATION'!$C$6*'27_SCENARIOS'!$C$26*'04_GENERATION'!T12*'04_GENERATION'!T13*'04_GENERATION'!T14</f>
        <v>292.481378037504</v>
      </c>
      <c r="U17" s="64" t="n">
        <f aca="false">'06_CONSTRUCTION'!U14*'04_GENERATION'!$C$6*'27_SCENARIOS'!$C$26*'04_GENERATION'!U12*'04_GENERATION'!U13*'04_GENERATION'!U14</f>
        <v>292.481378037504</v>
      </c>
      <c r="V17" s="64" t="n">
        <f aca="false">'06_CONSTRUCTION'!V14*'04_GENERATION'!$C$6*'27_SCENARIOS'!$C$26*'04_GENERATION'!V12*'04_GENERATION'!V13*'04_GENERATION'!V14</f>
        <v>292.481378037504</v>
      </c>
      <c r="W17" s="64" t="n">
        <f aca="false">'06_CONSTRUCTION'!W14*'04_GENERATION'!$C$6*'27_SCENARIOS'!$C$26*'04_GENERATION'!W12*'04_GENERATION'!W13*'04_GENERATION'!W14</f>
        <v>292.481378037504</v>
      </c>
      <c r="X17" s="64" t="n">
        <f aca="false">'06_CONSTRUCTION'!X14*'04_GENERATION'!$C$6*'27_SCENARIOS'!$C$26*'04_GENERATION'!X12*'04_GENERATION'!X13*'04_GENERATION'!X14</f>
        <v>292.481378037504</v>
      </c>
      <c r="Y17" s="64" t="n">
        <f aca="false">'06_CONSTRUCTION'!Y14*'04_GENERATION'!$C$6*'27_SCENARIOS'!$C$26*'04_GENERATION'!Y12*'04_GENERATION'!Y13*'04_GENERATION'!Y14</f>
        <v>292.481378037504</v>
      </c>
      <c r="Z17" s="64" t="n">
        <f aca="false">'06_CONSTRUCTION'!Z14*'04_GENERATION'!$C$6*'27_SCENARIOS'!$C$26*'04_GENERATION'!Z12*'04_GENERATION'!Z13*'04_GENERATION'!Z14</f>
        <v>292.481378037504</v>
      </c>
      <c r="AA17" s="64" t="n">
        <f aca="false">'06_CONSTRUCTION'!AA14*'04_GENERATION'!$C$6*'27_SCENARIOS'!$C$26*'04_GENERATION'!AA12*'04_GENERATION'!AA13*'04_GENERATION'!AA14</f>
        <v>292.481378037504</v>
      </c>
      <c r="AB17" s="64" t="n">
        <f aca="false">'06_CONSTRUCTION'!AB14*'04_GENERATION'!$C$6*'27_SCENARIOS'!$C$26*'04_GENERATION'!AB12*'04_GENERATION'!AB13*'04_GENERATION'!AB14</f>
        <v>292.481378037504</v>
      </c>
      <c r="AC17" s="64" t="n">
        <f aca="false">'06_CONSTRUCTION'!AC14*'04_GENERATION'!$C$6*'27_SCENARIOS'!$C$26*'04_GENERATION'!AC12*'04_GENERATION'!AC13*'04_GENERATION'!AC14</f>
        <v>292.481378037504</v>
      </c>
      <c r="AD17" s="64" t="n">
        <f aca="false">'06_CONSTRUCTION'!AD14*'04_GENERATION'!$C$6*'27_SCENARIOS'!$C$26*'04_GENERATION'!AD12*'04_GENERATION'!AD13*'04_GENERATION'!AD14</f>
        <v>292.481378037504</v>
      </c>
      <c r="AE17" s="64" t="n">
        <f aca="false">'06_CONSTRUCTION'!AE14*'04_GENERATION'!$C$6*'27_SCENARIOS'!$C$26*'04_GENERATION'!AE12*'04_GENERATION'!AE13*'04_GENERATION'!AE14</f>
        <v>292.481378037504</v>
      </c>
      <c r="AF17" s="64" t="n">
        <f aca="false">'06_CONSTRUCTION'!AF14*'04_GENERATION'!$C$6*'27_SCENARIOS'!$C$26*'04_GENERATION'!AF12*'04_GENERATION'!AF13*'04_GENERATION'!AF14</f>
        <v>292.481378037504</v>
      </c>
      <c r="AG17" s="64" t="n">
        <f aca="false">'06_CONSTRUCTION'!AG14*'04_GENERATION'!$C$6*'27_SCENARIOS'!$C$26*'04_GENERATION'!AG12*'04_GENERATION'!AG13*'04_GENERATION'!AG14</f>
        <v>0</v>
      </c>
      <c r="AH17" s="64" t="n">
        <f aca="false">'06_CONSTRUCTION'!AH14*'04_GENERATION'!$C$6*'27_SCENARIOS'!$C$26*'04_GENERATION'!AH12*'04_GENERATION'!AH13*'04_GENERATION'!AH14</f>
        <v>0</v>
      </c>
      <c r="AI17" s="64" t="n">
        <f aca="false">'06_CONSTRUCTION'!AI14*'04_GENERATION'!$C$6*'27_SCENARIOS'!$C$26*'04_GENERATION'!AI12*'04_GENERATION'!AI13*'04_GENERATION'!AI14</f>
        <v>0</v>
      </c>
      <c r="AJ17" s="64" t="n">
        <f aca="false">'06_CONSTRUCTION'!AJ14*'04_GENERATION'!$C$6*'27_SCENARIOS'!$C$26*'04_GENERATION'!AJ12*'04_GENERATION'!AJ13*'04_GENERATION'!AJ14</f>
        <v>0</v>
      </c>
      <c r="AK17" s="64" t="n">
        <f aca="false">'06_CONSTRUCTION'!AK14*'04_GENERATION'!$C$6*'27_SCENARIOS'!$C$26*'04_GENERATION'!AK12*'04_GENERATION'!AK13*'04_GENERATION'!AK14</f>
        <v>0</v>
      </c>
      <c r="AL17" s="64" t="n">
        <f aca="false">'06_CONSTRUCTION'!AL14*'04_GENERATION'!$C$6*'27_SCENARIOS'!$C$26*'04_GENERATION'!AL12*'04_GENERATION'!AL13*'04_GENERATION'!AL14</f>
        <v>0</v>
      </c>
      <c r="AM17" s="64" t="n">
        <f aca="false">'06_CONSTRUCTION'!AM14*'04_GENERATION'!$C$6*'27_SCENARIOS'!$C$26*'04_GENERATION'!AM12*'04_GENERATION'!AM13*'04_GENERATION'!AM14</f>
        <v>0</v>
      </c>
      <c r="AN17" s="64" t="n">
        <f aca="false">'06_CONSTRUCTION'!AN14*'04_GENERATION'!$C$6*'27_SCENARIOS'!$C$26*'04_GENERATION'!AN12*'04_GENERATION'!AN13*'04_GENERATION'!AN14</f>
        <v>0</v>
      </c>
      <c r="AO17" s="64" t="n">
        <f aca="false">'06_CONSTRUCTION'!AO14*'04_GENERATION'!$C$6*'27_SCENARIOS'!$C$26*'04_GENERATION'!AO12*'04_GENERATION'!AO13*'04_GENERATION'!AO14</f>
        <v>0</v>
      </c>
      <c r="AP17" s="64" t="n">
        <f aca="false">'06_CONSTRUCTION'!AP14*'04_GENERATION'!$C$6*'27_SCENARIOS'!$C$26*'04_GENERATION'!AP12*'04_GENERATION'!AP13*'04_GENERATION'!AP14</f>
        <v>0</v>
      </c>
      <c r="AQ17" s="64" t="n">
        <f aca="false">'06_CONSTRUCTION'!AQ14*'04_GENERATION'!$C$6*'27_SCENARIOS'!$C$26*'04_GENERATION'!AQ12*'04_GENERATION'!AQ13*'04_GENERATION'!AQ14</f>
        <v>0</v>
      </c>
      <c r="AR17" s="64" t="n">
        <f aca="false">'06_CONSTRUCTION'!AR14*'04_GENERATION'!$C$6*'27_SCENARIOS'!$C$26*'04_GENERATION'!AR12*'04_GENERATION'!AR13*'04_GENERATION'!AR14</f>
        <v>0</v>
      </c>
    </row>
    <row r="18" customFormat="false" ht="15" hidden="false" customHeight="true" outlineLevel="0" collapsed="false">
      <c r="A18" s="23" t="s">
        <v>330</v>
      </c>
      <c r="B18" s="23" t="s">
        <v>299</v>
      </c>
      <c r="C18" s="56" t="n">
        <f aca="false">SUM('04_GENERATION'!$E$18:$AR$18)</f>
        <v>7268.16224423197</v>
      </c>
      <c r="E18" s="56" t="n">
        <f aca="false">'04_GENERATION'!E17*'09_GRID'!E17</f>
        <v>0</v>
      </c>
      <c r="F18" s="56" t="n">
        <f aca="false">'04_GENERATION'!F17*'09_GRID'!F17</f>
        <v>0</v>
      </c>
      <c r="G18" s="56" t="n">
        <f aca="false">'04_GENERATION'!G17*'09_GRID'!G17</f>
        <v>0</v>
      </c>
      <c r="H18" s="56" t="n">
        <f aca="false">'04_GENERATION'!H17*'09_GRID'!H17</f>
        <v>248.609171331878</v>
      </c>
      <c r="I18" s="56" t="n">
        <f aca="false">'04_GENERATION'!I17*'09_GRID'!I17</f>
        <v>292.481378037504</v>
      </c>
      <c r="J18" s="56" t="n">
        <f aca="false">'04_GENERATION'!J17*'09_GRID'!J17</f>
        <v>292.481378037504</v>
      </c>
      <c r="K18" s="56" t="n">
        <f aca="false">'04_GENERATION'!K17*'09_GRID'!K17</f>
        <v>292.481378037504</v>
      </c>
      <c r="L18" s="56" t="n">
        <f aca="false">'04_GENERATION'!L17*'09_GRID'!L17</f>
        <v>292.481378037504</v>
      </c>
      <c r="M18" s="56" t="n">
        <f aca="false">'04_GENERATION'!M17*'09_GRID'!M17</f>
        <v>292.481378037504</v>
      </c>
      <c r="N18" s="56" t="n">
        <f aca="false">'04_GENERATION'!N17*'09_GRID'!N17</f>
        <v>292.481378037504</v>
      </c>
      <c r="O18" s="56" t="n">
        <f aca="false">'04_GENERATION'!O17*'09_GRID'!O17</f>
        <v>292.481378037504</v>
      </c>
      <c r="P18" s="56" t="n">
        <f aca="false">'04_GENERATION'!P17*'09_GRID'!P17</f>
        <v>292.481378037504</v>
      </c>
      <c r="Q18" s="56" t="n">
        <f aca="false">'04_GENERATION'!Q17*'09_GRID'!Q17</f>
        <v>292.481378037504</v>
      </c>
      <c r="R18" s="56" t="n">
        <f aca="false">'04_GENERATION'!R17*'09_GRID'!R17</f>
        <v>292.481378037504</v>
      </c>
      <c r="S18" s="56" t="n">
        <f aca="false">'04_GENERATION'!S17*'09_GRID'!S17</f>
        <v>292.481378037504</v>
      </c>
      <c r="T18" s="56" t="n">
        <f aca="false">'04_GENERATION'!T17*'09_GRID'!T17</f>
        <v>292.481378037504</v>
      </c>
      <c r="U18" s="56" t="n">
        <f aca="false">'04_GENERATION'!U17*'09_GRID'!U17</f>
        <v>292.481378037504</v>
      </c>
      <c r="V18" s="56" t="n">
        <f aca="false">'04_GENERATION'!V17*'09_GRID'!V17</f>
        <v>292.481378037504</v>
      </c>
      <c r="W18" s="56" t="n">
        <f aca="false">'04_GENERATION'!W17*'09_GRID'!W17</f>
        <v>292.481378037504</v>
      </c>
      <c r="X18" s="56" t="n">
        <f aca="false">'04_GENERATION'!X17*'09_GRID'!X17</f>
        <v>292.481378037504</v>
      </c>
      <c r="Y18" s="56" t="n">
        <f aca="false">'04_GENERATION'!Y17*'09_GRID'!Y17</f>
        <v>292.481378037504</v>
      </c>
      <c r="Z18" s="56" t="n">
        <f aca="false">'04_GENERATION'!Z17*'09_GRID'!Z17</f>
        <v>292.481378037504</v>
      </c>
      <c r="AA18" s="56" t="n">
        <f aca="false">'04_GENERATION'!AA17*'09_GRID'!AA17</f>
        <v>292.481378037504</v>
      </c>
      <c r="AB18" s="56" t="n">
        <f aca="false">'04_GENERATION'!AB17*'09_GRID'!AB17</f>
        <v>292.481378037504</v>
      </c>
      <c r="AC18" s="56" t="n">
        <f aca="false">'04_GENERATION'!AC17*'09_GRID'!AC17</f>
        <v>292.481378037504</v>
      </c>
      <c r="AD18" s="56" t="n">
        <f aca="false">'04_GENERATION'!AD17*'09_GRID'!AD17</f>
        <v>292.481378037504</v>
      </c>
      <c r="AE18" s="56" t="n">
        <f aca="false">'04_GENERATION'!AE17*'09_GRID'!AE17</f>
        <v>292.481378037504</v>
      </c>
      <c r="AF18" s="56" t="n">
        <f aca="false">'04_GENERATION'!AF17*'09_GRID'!AF17</f>
        <v>292.481378037504</v>
      </c>
      <c r="AG18" s="56" t="n">
        <f aca="false">'04_GENERATION'!AG17*'09_GRID'!AG17</f>
        <v>0</v>
      </c>
      <c r="AH18" s="56" t="n">
        <f aca="false">'04_GENERATION'!AH17*'09_GRID'!AH17</f>
        <v>0</v>
      </c>
      <c r="AI18" s="56" t="n">
        <f aca="false">'04_GENERATION'!AI17*'09_GRID'!AI17</f>
        <v>0</v>
      </c>
      <c r="AJ18" s="56" t="n">
        <f aca="false">'04_GENERATION'!AJ17*'09_GRID'!AJ17</f>
        <v>0</v>
      </c>
      <c r="AK18" s="56" t="n">
        <f aca="false">'04_GENERATION'!AK17*'09_GRID'!AK17</f>
        <v>0</v>
      </c>
      <c r="AL18" s="56" t="n">
        <f aca="false">'04_GENERATION'!AL17*'09_GRID'!AL17</f>
        <v>0</v>
      </c>
      <c r="AM18" s="56" t="n">
        <f aca="false">'04_GENERATION'!AM17*'09_GRID'!AM17</f>
        <v>0</v>
      </c>
      <c r="AN18" s="56" t="n">
        <f aca="false">'04_GENERATION'!AN17*'09_GRID'!AN17</f>
        <v>0</v>
      </c>
      <c r="AO18" s="56" t="n">
        <f aca="false">'04_GENERATION'!AO17*'09_GRID'!AO17</f>
        <v>0</v>
      </c>
      <c r="AP18" s="56" t="n">
        <f aca="false">'04_GENERATION'!AP17*'09_GRID'!AP17</f>
        <v>0</v>
      </c>
      <c r="AQ18" s="56" t="n">
        <f aca="false">'04_GENERATION'!AQ17*'09_GRID'!AQ17</f>
        <v>0</v>
      </c>
      <c r="AR18" s="56" t="n">
        <f aca="false">'04_GENERATION'!AR17*'09_GRID'!AR17</f>
        <v>0</v>
      </c>
    </row>
    <row r="19" customFormat="false" ht="15" hidden="false" customHeight="true" outlineLevel="0" collapsed="false">
      <c r="A19" s="23" t="s">
        <v>331</v>
      </c>
      <c r="B19" s="23" t="s">
        <v>299</v>
      </c>
      <c r="C19" s="56" t="n">
        <f aca="false">SUM('04_GENERATION'!$E$19:$AR$19)</f>
        <v>0</v>
      </c>
      <c r="E19" s="56" t="n">
        <f aca="false">'04_GENERATION'!E17-'04_GENERATION'!E18</f>
        <v>0</v>
      </c>
      <c r="F19" s="56" t="n">
        <f aca="false">'04_GENERATION'!F17-'04_GENERATION'!F18</f>
        <v>0</v>
      </c>
      <c r="G19" s="56" t="n">
        <f aca="false">'04_GENERATION'!G17-'04_GENERATION'!G18</f>
        <v>0</v>
      </c>
      <c r="H19" s="56" t="n">
        <f aca="false">'04_GENERATION'!H17-'04_GENERATION'!H18</f>
        <v>0</v>
      </c>
      <c r="I19" s="56" t="n">
        <f aca="false">'04_GENERATION'!I17-'04_GENERATION'!I18</f>
        <v>0</v>
      </c>
      <c r="J19" s="56" t="n">
        <f aca="false">'04_GENERATION'!J17-'04_GENERATION'!J18</f>
        <v>0</v>
      </c>
      <c r="K19" s="56" t="n">
        <f aca="false">'04_GENERATION'!K17-'04_GENERATION'!K18</f>
        <v>0</v>
      </c>
      <c r="L19" s="56" t="n">
        <f aca="false">'04_GENERATION'!L17-'04_GENERATION'!L18</f>
        <v>0</v>
      </c>
      <c r="M19" s="56" t="n">
        <f aca="false">'04_GENERATION'!M17-'04_GENERATION'!M18</f>
        <v>0</v>
      </c>
      <c r="N19" s="56" t="n">
        <f aca="false">'04_GENERATION'!N17-'04_GENERATION'!N18</f>
        <v>0</v>
      </c>
      <c r="O19" s="56" t="n">
        <f aca="false">'04_GENERATION'!O17-'04_GENERATION'!O18</f>
        <v>0</v>
      </c>
      <c r="P19" s="56" t="n">
        <f aca="false">'04_GENERATION'!P17-'04_GENERATION'!P18</f>
        <v>0</v>
      </c>
      <c r="Q19" s="56" t="n">
        <f aca="false">'04_GENERATION'!Q17-'04_GENERATION'!Q18</f>
        <v>0</v>
      </c>
      <c r="R19" s="56" t="n">
        <f aca="false">'04_GENERATION'!R17-'04_GENERATION'!R18</f>
        <v>0</v>
      </c>
      <c r="S19" s="56" t="n">
        <f aca="false">'04_GENERATION'!S17-'04_GENERATION'!S18</f>
        <v>0</v>
      </c>
      <c r="T19" s="56" t="n">
        <f aca="false">'04_GENERATION'!T17-'04_GENERATION'!T18</f>
        <v>0</v>
      </c>
      <c r="U19" s="56" t="n">
        <f aca="false">'04_GENERATION'!U17-'04_GENERATION'!U18</f>
        <v>0</v>
      </c>
      <c r="V19" s="56" t="n">
        <f aca="false">'04_GENERATION'!V17-'04_GENERATION'!V18</f>
        <v>0</v>
      </c>
      <c r="W19" s="56" t="n">
        <f aca="false">'04_GENERATION'!W17-'04_GENERATION'!W18</f>
        <v>0</v>
      </c>
      <c r="X19" s="56" t="n">
        <f aca="false">'04_GENERATION'!X17-'04_GENERATION'!X18</f>
        <v>0</v>
      </c>
      <c r="Y19" s="56" t="n">
        <f aca="false">'04_GENERATION'!Y17-'04_GENERATION'!Y18</f>
        <v>0</v>
      </c>
      <c r="Z19" s="56" t="n">
        <f aca="false">'04_GENERATION'!Z17-'04_GENERATION'!Z18</f>
        <v>0</v>
      </c>
      <c r="AA19" s="56" t="n">
        <f aca="false">'04_GENERATION'!AA17-'04_GENERATION'!AA18</f>
        <v>0</v>
      </c>
      <c r="AB19" s="56" t="n">
        <f aca="false">'04_GENERATION'!AB17-'04_GENERATION'!AB18</f>
        <v>0</v>
      </c>
      <c r="AC19" s="56" t="n">
        <f aca="false">'04_GENERATION'!AC17-'04_GENERATION'!AC18</f>
        <v>0</v>
      </c>
      <c r="AD19" s="56" t="n">
        <f aca="false">'04_GENERATION'!AD17-'04_GENERATION'!AD18</f>
        <v>0</v>
      </c>
      <c r="AE19" s="56" t="n">
        <f aca="false">'04_GENERATION'!AE17-'04_GENERATION'!AE18</f>
        <v>0</v>
      </c>
      <c r="AF19" s="56" t="n">
        <f aca="false">'04_GENERATION'!AF17-'04_GENERATION'!AF18</f>
        <v>0</v>
      </c>
      <c r="AG19" s="56" t="n">
        <f aca="false">'04_GENERATION'!AG17-'04_GENERATION'!AG18</f>
        <v>0</v>
      </c>
      <c r="AH19" s="56" t="n">
        <f aca="false">'04_GENERATION'!AH17-'04_GENERATION'!AH18</f>
        <v>0</v>
      </c>
      <c r="AI19" s="56" t="n">
        <f aca="false">'04_GENERATION'!AI17-'04_GENERATION'!AI18</f>
        <v>0</v>
      </c>
      <c r="AJ19" s="56" t="n">
        <f aca="false">'04_GENERATION'!AJ17-'04_GENERATION'!AJ18</f>
        <v>0</v>
      </c>
      <c r="AK19" s="56" t="n">
        <f aca="false">'04_GENERATION'!AK17-'04_GENERATION'!AK18</f>
        <v>0</v>
      </c>
      <c r="AL19" s="56" t="n">
        <f aca="false">'04_GENERATION'!AL17-'04_GENERATION'!AL18</f>
        <v>0</v>
      </c>
      <c r="AM19" s="56" t="n">
        <f aca="false">'04_GENERATION'!AM17-'04_GENERATION'!AM18</f>
        <v>0</v>
      </c>
      <c r="AN19" s="56" t="n">
        <f aca="false">'04_GENERATION'!AN17-'04_GENERATION'!AN18</f>
        <v>0</v>
      </c>
      <c r="AO19" s="56" t="n">
        <f aca="false">'04_GENERATION'!AO17-'04_GENERATION'!AO18</f>
        <v>0</v>
      </c>
      <c r="AP19" s="56" t="n">
        <f aca="false">'04_GENERATION'!AP17-'04_GENERATION'!AP18</f>
        <v>0</v>
      </c>
      <c r="AQ19" s="56" t="n">
        <f aca="false">'04_GENERATION'!AQ17-'04_GENERATION'!AQ18</f>
        <v>0</v>
      </c>
      <c r="AR19" s="56" t="n">
        <f aca="false">'04_GENERATION'!AR17-'04_GENERATION'!AR18</f>
        <v>0</v>
      </c>
    </row>
    <row r="20" customFormat="false" ht="15" hidden="false" customHeight="true" outlineLevel="0" collapsed="false">
      <c r="A20" s="19" t="s">
        <v>332</v>
      </c>
      <c r="B20" s="23" t="s">
        <v>299</v>
      </c>
      <c r="C20" s="56" t="n">
        <f aca="false">SUM('04_GENERATION'!$E$20:$AR$20)</f>
        <v>7268.16224423197</v>
      </c>
      <c r="E20" s="64" t="n">
        <f aca="false">MIN('04_GENERATION'!E18,'10_DEMAND'!E33)</f>
        <v>0</v>
      </c>
      <c r="F20" s="64" t="n">
        <f aca="false">MIN('04_GENERATION'!F18,'10_DEMAND'!F33)</f>
        <v>0</v>
      </c>
      <c r="G20" s="64" t="n">
        <f aca="false">MIN('04_GENERATION'!G18,'10_DEMAND'!G33)</f>
        <v>0</v>
      </c>
      <c r="H20" s="64" t="n">
        <f aca="false">MIN('04_GENERATION'!H18,'10_DEMAND'!H33)</f>
        <v>248.609171331878</v>
      </c>
      <c r="I20" s="64" t="n">
        <f aca="false">MIN('04_GENERATION'!I18,'10_DEMAND'!I33)</f>
        <v>292.481378037504</v>
      </c>
      <c r="J20" s="64" t="n">
        <f aca="false">MIN('04_GENERATION'!J18,'10_DEMAND'!J33)</f>
        <v>292.481378037504</v>
      </c>
      <c r="K20" s="64" t="n">
        <f aca="false">MIN('04_GENERATION'!K18,'10_DEMAND'!K33)</f>
        <v>292.481378037504</v>
      </c>
      <c r="L20" s="64" t="n">
        <f aca="false">MIN('04_GENERATION'!L18,'10_DEMAND'!L33)</f>
        <v>292.481378037504</v>
      </c>
      <c r="M20" s="64" t="n">
        <f aca="false">MIN('04_GENERATION'!M18,'10_DEMAND'!M33)</f>
        <v>292.481378037504</v>
      </c>
      <c r="N20" s="64" t="n">
        <f aca="false">MIN('04_GENERATION'!N18,'10_DEMAND'!N33)</f>
        <v>292.481378037504</v>
      </c>
      <c r="O20" s="64" t="n">
        <f aca="false">MIN('04_GENERATION'!O18,'10_DEMAND'!O33)</f>
        <v>292.481378037504</v>
      </c>
      <c r="P20" s="64" t="n">
        <f aca="false">MIN('04_GENERATION'!P18,'10_DEMAND'!P33)</f>
        <v>292.481378037504</v>
      </c>
      <c r="Q20" s="64" t="n">
        <f aca="false">MIN('04_GENERATION'!Q18,'10_DEMAND'!Q33)</f>
        <v>292.481378037504</v>
      </c>
      <c r="R20" s="64" t="n">
        <f aca="false">MIN('04_GENERATION'!R18,'10_DEMAND'!R33)</f>
        <v>292.481378037504</v>
      </c>
      <c r="S20" s="64" t="n">
        <f aca="false">MIN('04_GENERATION'!S18,'10_DEMAND'!S33)</f>
        <v>292.481378037504</v>
      </c>
      <c r="T20" s="64" t="n">
        <f aca="false">MIN('04_GENERATION'!T18,'10_DEMAND'!T33)</f>
        <v>292.481378037504</v>
      </c>
      <c r="U20" s="64" t="n">
        <f aca="false">MIN('04_GENERATION'!U18,'10_DEMAND'!U33)</f>
        <v>292.481378037504</v>
      </c>
      <c r="V20" s="64" t="n">
        <f aca="false">MIN('04_GENERATION'!V18,'10_DEMAND'!V33)</f>
        <v>292.481378037504</v>
      </c>
      <c r="W20" s="64" t="n">
        <f aca="false">MIN('04_GENERATION'!W18,'10_DEMAND'!W33)</f>
        <v>292.481378037504</v>
      </c>
      <c r="X20" s="64" t="n">
        <f aca="false">MIN('04_GENERATION'!X18,'10_DEMAND'!X33)</f>
        <v>292.481378037504</v>
      </c>
      <c r="Y20" s="64" t="n">
        <f aca="false">MIN('04_GENERATION'!Y18,'10_DEMAND'!Y33)</f>
        <v>292.481378037504</v>
      </c>
      <c r="Z20" s="64" t="n">
        <f aca="false">MIN('04_GENERATION'!Z18,'10_DEMAND'!Z33)</f>
        <v>292.481378037504</v>
      </c>
      <c r="AA20" s="64" t="n">
        <f aca="false">MIN('04_GENERATION'!AA18,'10_DEMAND'!AA33)</f>
        <v>292.481378037504</v>
      </c>
      <c r="AB20" s="64" t="n">
        <f aca="false">MIN('04_GENERATION'!AB18,'10_DEMAND'!AB33)</f>
        <v>292.481378037504</v>
      </c>
      <c r="AC20" s="64" t="n">
        <f aca="false">MIN('04_GENERATION'!AC18,'10_DEMAND'!AC33)</f>
        <v>292.481378037504</v>
      </c>
      <c r="AD20" s="64" t="n">
        <f aca="false">MIN('04_GENERATION'!AD18,'10_DEMAND'!AD33)</f>
        <v>292.481378037504</v>
      </c>
      <c r="AE20" s="64" t="n">
        <f aca="false">MIN('04_GENERATION'!AE18,'10_DEMAND'!AE33)</f>
        <v>292.481378037504</v>
      </c>
      <c r="AF20" s="64" t="n">
        <f aca="false">MIN('04_GENERATION'!AF18,'10_DEMAND'!AF33)</f>
        <v>292.481378037504</v>
      </c>
      <c r="AG20" s="64" t="n">
        <f aca="false">MIN('04_GENERATION'!AG18,'10_DEMAND'!AG33)</f>
        <v>0</v>
      </c>
      <c r="AH20" s="64" t="n">
        <f aca="false">MIN('04_GENERATION'!AH18,'10_DEMAND'!AH33)</f>
        <v>0</v>
      </c>
      <c r="AI20" s="64" t="n">
        <f aca="false">MIN('04_GENERATION'!AI18,'10_DEMAND'!AI33)</f>
        <v>0</v>
      </c>
      <c r="AJ20" s="64" t="n">
        <f aca="false">MIN('04_GENERATION'!AJ18,'10_DEMAND'!AJ33)</f>
        <v>0</v>
      </c>
      <c r="AK20" s="64" t="n">
        <f aca="false">MIN('04_GENERATION'!AK18,'10_DEMAND'!AK33)</f>
        <v>0</v>
      </c>
      <c r="AL20" s="64" t="n">
        <f aca="false">MIN('04_GENERATION'!AL18,'10_DEMAND'!AL33)</f>
        <v>0</v>
      </c>
      <c r="AM20" s="64" t="n">
        <f aca="false">MIN('04_GENERATION'!AM18,'10_DEMAND'!AM33)</f>
        <v>0</v>
      </c>
      <c r="AN20" s="64" t="n">
        <f aca="false">MIN('04_GENERATION'!AN18,'10_DEMAND'!AN33)</f>
        <v>0</v>
      </c>
      <c r="AO20" s="64" t="n">
        <f aca="false">MIN('04_GENERATION'!AO18,'10_DEMAND'!AO33)</f>
        <v>0</v>
      </c>
      <c r="AP20" s="64" t="n">
        <f aca="false">MIN('04_GENERATION'!AP18,'10_DEMAND'!AP33)</f>
        <v>0</v>
      </c>
      <c r="AQ20" s="64" t="n">
        <f aca="false">MIN('04_GENERATION'!AQ18,'10_DEMAND'!AQ33)</f>
        <v>0</v>
      </c>
      <c r="AR20" s="64" t="n">
        <f aca="false">MIN('04_GENERATION'!AR18,'10_DEMAND'!AR33)</f>
        <v>0</v>
      </c>
    </row>
    <row r="21" customFormat="false" ht="15" hidden="false" customHeight="true" outlineLevel="0" collapsed="false">
      <c r="A21" s="23" t="s">
        <v>333</v>
      </c>
      <c r="B21" s="23" t="s">
        <v>299</v>
      </c>
      <c r="C21" s="56" t="n">
        <f aca="false">SUM('04_GENERATION'!$E$21:$AR$21)</f>
        <v>0</v>
      </c>
      <c r="E21" s="56" t="n">
        <f aca="false">'04_GENERATION'!E18-'04_GENERATION'!E20</f>
        <v>0</v>
      </c>
      <c r="F21" s="56" t="n">
        <f aca="false">'04_GENERATION'!F18-'04_GENERATION'!F20</f>
        <v>0</v>
      </c>
      <c r="G21" s="56" t="n">
        <f aca="false">'04_GENERATION'!G18-'04_GENERATION'!G20</f>
        <v>0</v>
      </c>
      <c r="H21" s="56" t="n">
        <f aca="false">'04_GENERATION'!H18-'04_GENERATION'!H20</f>
        <v>0</v>
      </c>
      <c r="I21" s="56" t="n">
        <f aca="false">'04_GENERATION'!I18-'04_GENERATION'!I20</f>
        <v>0</v>
      </c>
      <c r="J21" s="56" t="n">
        <f aca="false">'04_GENERATION'!J18-'04_GENERATION'!J20</f>
        <v>0</v>
      </c>
      <c r="K21" s="56" t="n">
        <f aca="false">'04_GENERATION'!K18-'04_GENERATION'!K20</f>
        <v>0</v>
      </c>
      <c r="L21" s="56" t="n">
        <f aca="false">'04_GENERATION'!L18-'04_GENERATION'!L20</f>
        <v>0</v>
      </c>
      <c r="M21" s="56" t="n">
        <f aca="false">'04_GENERATION'!M18-'04_GENERATION'!M20</f>
        <v>0</v>
      </c>
      <c r="N21" s="56" t="n">
        <f aca="false">'04_GENERATION'!N18-'04_GENERATION'!N20</f>
        <v>0</v>
      </c>
      <c r="O21" s="56" t="n">
        <f aca="false">'04_GENERATION'!O18-'04_GENERATION'!O20</f>
        <v>0</v>
      </c>
      <c r="P21" s="56" t="n">
        <f aca="false">'04_GENERATION'!P18-'04_GENERATION'!P20</f>
        <v>0</v>
      </c>
      <c r="Q21" s="56" t="n">
        <f aca="false">'04_GENERATION'!Q18-'04_GENERATION'!Q20</f>
        <v>0</v>
      </c>
      <c r="R21" s="56" t="n">
        <f aca="false">'04_GENERATION'!R18-'04_GENERATION'!R20</f>
        <v>0</v>
      </c>
      <c r="S21" s="56" t="n">
        <f aca="false">'04_GENERATION'!S18-'04_GENERATION'!S20</f>
        <v>0</v>
      </c>
      <c r="T21" s="56" t="n">
        <f aca="false">'04_GENERATION'!T18-'04_GENERATION'!T20</f>
        <v>0</v>
      </c>
      <c r="U21" s="56" t="n">
        <f aca="false">'04_GENERATION'!U18-'04_GENERATION'!U20</f>
        <v>0</v>
      </c>
      <c r="V21" s="56" t="n">
        <f aca="false">'04_GENERATION'!V18-'04_GENERATION'!V20</f>
        <v>0</v>
      </c>
      <c r="W21" s="56" t="n">
        <f aca="false">'04_GENERATION'!W18-'04_GENERATION'!W20</f>
        <v>0</v>
      </c>
      <c r="X21" s="56" t="n">
        <f aca="false">'04_GENERATION'!X18-'04_GENERATION'!X20</f>
        <v>0</v>
      </c>
      <c r="Y21" s="56" t="n">
        <f aca="false">'04_GENERATION'!Y18-'04_GENERATION'!Y20</f>
        <v>0</v>
      </c>
      <c r="Z21" s="56" t="n">
        <f aca="false">'04_GENERATION'!Z18-'04_GENERATION'!Z20</f>
        <v>0</v>
      </c>
      <c r="AA21" s="56" t="n">
        <f aca="false">'04_GENERATION'!AA18-'04_GENERATION'!AA20</f>
        <v>0</v>
      </c>
      <c r="AB21" s="56" t="n">
        <f aca="false">'04_GENERATION'!AB18-'04_GENERATION'!AB20</f>
        <v>0</v>
      </c>
      <c r="AC21" s="56" t="n">
        <f aca="false">'04_GENERATION'!AC18-'04_GENERATION'!AC20</f>
        <v>0</v>
      </c>
      <c r="AD21" s="56" t="n">
        <f aca="false">'04_GENERATION'!AD18-'04_GENERATION'!AD20</f>
        <v>0</v>
      </c>
      <c r="AE21" s="56" t="n">
        <f aca="false">'04_GENERATION'!AE18-'04_GENERATION'!AE20</f>
        <v>0</v>
      </c>
      <c r="AF21" s="56" t="n">
        <f aca="false">'04_GENERATION'!AF18-'04_GENERATION'!AF20</f>
        <v>0</v>
      </c>
      <c r="AG21" s="56" t="n">
        <f aca="false">'04_GENERATION'!AG18-'04_GENERATION'!AG20</f>
        <v>0</v>
      </c>
      <c r="AH21" s="56" t="n">
        <f aca="false">'04_GENERATION'!AH18-'04_GENERATION'!AH20</f>
        <v>0</v>
      </c>
      <c r="AI21" s="56" t="n">
        <f aca="false">'04_GENERATION'!AI18-'04_GENERATION'!AI20</f>
        <v>0</v>
      </c>
      <c r="AJ21" s="56" t="n">
        <f aca="false">'04_GENERATION'!AJ18-'04_GENERATION'!AJ20</f>
        <v>0</v>
      </c>
      <c r="AK21" s="56" t="n">
        <f aca="false">'04_GENERATION'!AK18-'04_GENERATION'!AK20</f>
        <v>0</v>
      </c>
      <c r="AL21" s="56" t="n">
        <f aca="false">'04_GENERATION'!AL18-'04_GENERATION'!AL20</f>
        <v>0</v>
      </c>
      <c r="AM21" s="56" t="n">
        <f aca="false">'04_GENERATION'!AM18-'04_GENERATION'!AM20</f>
        <v>0</v>
      </c>
      <c r="AN21" s="56" t="n">
        <f aca="false">'04_GENERATION'!AN18-'04_GENERATION'!AN20</f>
        <v>0</v>
      </c>
      <c r="AO21" s="56" t="n">
        <f aca="false">'04_GENERATION'!AO18-'04_GENERATION'!AO20</f>
        <v>0</v>
      </c>
      <c r="AP21" s="56" t="n">
        <f aca="false">'04_GENERATION'!AP18-'04_GENERATION'!AP20</f>
        <v>0</v>
      </c>
      <c r="AQ21" s="56" t="n">
        <f aca="false">'04_GENERATION'!AQ18-'04_GENERATION'!AQ20</f>
        <v>0</v>
      </c>
      <c r="AR21" s="56" t="n">
        <f aca="false">'04_GENERATION'!AR18-'04_GENERATION'!AR20</f>
        <v>0</v>
      </c>
    </row>
    <row r="22" customFormat="false" ht="15" hidden="false" customHeight="true" outlineLevel="0" collapsed="false">
      <c r="A22" s="23" t="s">
        <v>334</v>
      </c>
      <c r="B22" s="23" t="s">
        <v>299</v>
      </c>
      <c r="C22" s="56" t="n">
        <f aca="false">SUM('04_GENERATION'!$E$22:$AR$22)</f>
        <v>7268.16224423197</v>
      </c>
      <c r="E22" s="56" t="n">
        <f aca="false">'04_GENERATION'!E16</f>
        <v>0</v>
      </c>
      <c r="F22" s="56" t="n">
        <f aca="false">'04_GENERATION'!F16</f>
        <v>0</v>
      </c>
      <c r="G22" s="56" t="n">
        <f aca="false">'04_GENERATION'!G16</f>
        <v>0</v>
      </c>
      <c r="H22" s="56" t="n">
        <f aca="false">'04_GENERATION'!H16</f>
        <v>248.609171331878</v>
      </c>
      <c r="I22" s="56" t="n">
        <f aca="false">'04_GENERATION'!I16</f>
        <v>292.481378037504</v>
      </c>
      <c r="J22" s="56" t="n">
        <f aca="false">'04_GENERATION'!J16</f>
        <v>292.481378037504</v>
      </c>
      <c r="K22" s="56" t="n">
        <f aca="false">'04_GENERATION'!K16</f>
        <v>292.481378037504</v>
      </c>
      <c r="L22" s="56" t="n">
        <f aca="false">'04_GENERATION'!L16</f>
        <v>292.481378037504</v>
      </c>
      <c r="M22" s="56" t="n">
        <f aca="false">'04_GENERATION'!M16</f>
        <v>292.481378037504</v>
      </c>
      <c r="N22" s="56" t="n">
        <f aca="false">'04_GENERATION'!N16</f>
        <v>292.481378037504</v>
      </c>
      <c r="O22" s="56" t="n">
        <f aca="false">'04_GENERATION'!O16</f>
        <v>292.481378037504</v>
      </c>
      <c r="P22" s="56" t="n">
        <f aca="false">'04_GENERATION'!P16</f>
        <v>292.481378037504</v>
      </c>
      <c r="Q22" s="56" t="n">
        <f aca="false">'04_GENERATION'!Q16</f>
        <v>292.481378037504</v>
      </c>
      <c r="R22" s="56" t="n">
        <f aca="false">'04_GENERATION'!R16</f>
        <v>292.481378037504</v>
      </c>
      <c r="S22" s="56" t="n">
        <f aca="false">'04_GENERATION'!S16</f>
        <v>292.481378037504</v>
      </c>
      <c r="T22" s="56" t="n">
        <f aca="false">'04_GENERATION'!T16</f>
        <v>292.481378037504</v>
      </c>
      <c r="U22" s="56" t="n">
        <f aca="false">'04_GENERATION'!U16</f>
        <v>292.481378037504</v>
      </c>
      <c r="V22" s="56" t="n">
        <f aca="false">'04_GENERATION'!V16</f>
        <v>292.481378037504</v>
      </c>
      <c r="W22" s="56" t="n">
        <f aca="false">'04_GENERATION'!W16</f>
        <v>292.481378037504</v>
      </c>
      <c r="X22" s="56" t="n">
        <f aca="false">'04_GENERATION'!X16</f>
        <v>292.481378037504</v>
      </c>
      <c r="Y22" s="56" t="n">
        <f aca="false">'04_GENERATION'!Y16</f>
        <v>292.481378037504</v>
      </c>
      <c r="Z22" s="56" t="n">
        <f aca="false">'04_GENERATION'!Z16</f>
        <v>292.481378037504</v>
      </c>
      <c r="AA22" s="56" t="n">
        <f aca="false">'04_GENERATION'!AA16</f>
        <v>292.481378037504</v>
      </c>
      <c r="AB22" s="56" t="n">
        <f aca="false">'04_GENERATION'!AB16</f>
        <v>292.481378037504</v>
      </c>
      <c r="AC22" s="56" t="n">
        <f aca="false">'04_GENERATION'!AC16</f>
        <v>292.481378037504</v>
      </c>
      <c r="AD22" s="56" t="n">
        <f aca="false">'04_GENERATION'!AD16</f>
        <v>292.481378037504</v>
      </c>
      <c r="AE22" s="56" t="n">
        <f aca="false">'04_GENERATION'!AE16</f>
        <v>292.481378037504</v>
      </c>
      <c r="AF22" s="56" t="n">
        <f aca="false">'04_GENERATION'!AF16</f>
        <v>292.481378037504</v>
      </c>
      <c r="AG22" s="56" t="n">
        <f aca="false">'04_GENERATION'!AG16</f>
        <v>0</v>
      </c>
      <c r="AH22" s="56" t="n">
        <f aca="false">'04_GENERATION'!AH16</f>
        <v>0</v>
      </c>
      <c r="AI22" s="56" t="n">
        <f aca="false">'04_GENERATION'!AI16</f>
        <v>0</v>
      </c>
      <c r="AJ22" s="56" t="n">
        <f aca="false">'04_GENERATION'!AJ16</f>
        <v>0</v>
      </c>
      <c r="AK22" s="56" t="n">
        <f aca="false">'04_GENERATION'!AK16</f>
        <v>0</v>
      </c>
      <c r="AL22" s="56" t="n">
        <f aca="false">'04_GENERATION'!AL16</f>
        <v>0</v>
      </c>
      <c r="AM22" s="56" t="n">
        <f aca="false">'04_GENERATION'!AM16</f>
        <v>0</v>
      </c>
      <c r="AN22" s="56" t="n">
        <f aca="false">'04_GENERATION'!AN16</f>
        <v>0</v>
      </c>
      <c r="AO22" s="56" t="n">
        <f aca="false">'04_GENERATION'!AO16</f>
        <v>0</v>
      </c>
      <c r="AP22" s="56" t="n">
        <f aca="false">'04_GENERATION'!AP16</f>
        <v>0</v>
      </c>
      <c r="AQ22" s="56" t="n">
        <f aca="false">'04_GENERATION'!AQ16</f>
        <v>0</v>
      </c>
      <c r="AR22" s="56" t="n">
        <f aca="false">'04_GENERATION'!AR16</f>
        <v>0</v>
      </c>
    </row>
    <row r="23" customFormat="false" ht="15" hidden="false" customHeight="true" outlineLevel="0" collapsed="false">
      <c r="A23" s="23" t="s">
        <v>335</v>
      </c>
      <c r="B23" s="23" t="s">
        <v>299</v>
      </c>
      <c r="C23" s="56" t="n">
        <f aca="false">SUM('04_GENERATION'!$E$23:$AR$23)</f>
        <v>6666.03118829285</v>
      </c>
      <c r="E23" s="56" t="n">
        <f aca="false">'06_CONSTRUCTION'!E14*'04_GENERATION'!$C$7*'27_SCENARIOS'!$C$26*'04_GENERATION'!E13*'04_GENERATION'!E14</f>
        <v>0</v>
      </c>
      <c r="F23" s="56" t="n">
        <f aca="false">'06_CONSTRUCTION'!F14*'04_GENERATION'!$C$7*'27_SCENARIOS'!$C$26*'04_GENERATION'!F13*'04_GENERATION'!F14</f>
        <v>0</v>
      </c>
      <c r="G23" s="56" t="n">
        <f aca="false">'06_CONSTRUCTION'!G14*'04_GENERATION'!$C$7*'27_SCENARIOS'!$C$26*'04_GENERATION'!G13*'04_GENERATION'!G14</f>
        <v>0</v>
      </c>
      <c r="H23" s="56" t="n">
        <f aca="false">'06_CONSTRUCTION'!H14*'04_GENERATION'!$C$7*'27_SCENARIOS'!$C$26*'04_GENERATION'!H13*'04_GENERATION'!H14</f>
        <v>228.013139237381</v>
      </c>
      <c r="I23" s="56" t="n">
        <f aca="false">'06_CONSTRUCTION'!I14*'04_GENERATION'!$C$7*'27_SCENARIOS'!$C$26*'04_GENERATION'!I13*'04_GENERATION'!I14</f>
        <v>268.250752043978</v>
      </c>
      <c r="J23" s="56" t="n">
        <f aca="false">'06_CONSTRUCTION'!J14*'04_GENERATION'!$C$7*'27_SCENARIOS'!$C$26*'04_GENERATION'!J13*'04_GENERATION'!J14</f>
        <v>268.250752043978</v>
      </c>
      <c r="K23" s="56" t="n">
        <f aca="false">'06_CONSTRUCTION'!K14*'04_GENERATION'!$C$7*'27_SCENARIOS'!$C$26*'04_GENERATION'!K13*'04_GENERATION'!K14</f>
        <v>268.250752043978</v>
      </c>
      <c r="L23" s="56" t="n">
        <f aca="false">'06_CONSTRUCTION'!L14*'04_GENERATION'!$C$7*'27_SCENARIOS'!$C$26*'04_GENERATION'!L13*'04_GENERATION'!L14</f>
        <v>268.250752043978</v>
      </c>
      <c r="M23" s="56" t="n">
        <f aca="false">'06_CONSTRUCTION'!M14*'04_GENERATION'!$C$7*'27_SCENARIOS'!$C$26*'04_GENERATION'!M13*'04_GENERATION'!M14</f>
        <v>268.250752043978</v>
      </c>
      <c r="N23" s="56" t="n">
        <f aca="false">'06_CONSTRUCTION'!N14*'04_GENERATION'!$C$7*'27_SCENARIOS'!$C$26*'04_GENERATION'!N13*'04_GENERATION'!N14</f>
        <v>268.250752043978</v>
      </c>
      <c r="O23" s="56" t="n">
        <f aca="false">'06_CONSTRUCTION'!O14*'04_GENERATION'!$C$7*'27_SCENARIOS'!$C$26*'04_GENERATION'!O13*'04_GENERATION'!O14</f>
        <v>268.250752043978</v>
      </c>
      <c r="P23" s="56" t="n">
        <f aca="false">'06_CONSTRUCTION'!P14*'04_GENERATION'!$C$7*'27_SCENARIOS'!$C$26*'04_GENERATION'!P13*'04_GENERATION'!P14</f>
        <v>268.250752043978</v>
      </c>
      <c r="Q23" s="56" t="n">
        <f aca="false">'06_CONSTRUCTION'!Q14*'04_GENERATION'!$C$7*'27_SCENARIOS'!$C$26*'04_GENERATION'!Q13*'04_GENERATION'!Q14</f>
        <v>268.250752043978</v>
      </c>
      <c r="R23" s="56" t="n">
        <f aca="false">'06_CONSTRUCTION'!R14*'04_GENERATION'!$C$7*'27_SCENARIOS'!$C$26*'04_GENERATION'!R13*'04_GENERATION'!R14</f>
        <v>268.250752043978</v>
      </c>
      <c r="S23" s="56" t="n">
        <f aca="false">'06_CONSTRUCTION'!S14*'04_GENERATION'!$C$7*'27_SCENARIOS'!$C$26*'04_GENERATION'!S13*'04_GENERATION'!S14</f>
        <v>268.250752043978</v>
      </c>
      <c r="T23" s="56" t="n">
        <f aca="false">'06_CONSTRUCTION'!T14*'04_GENERATION'!$C$7*'27_SCENARIOS'!$C$26*'04_GENERATION'!T13*'04_GENERATION'!T14</f>
        <v>268.250752043978</v>
      </c>
      <c r="U23" s="56" t="n">
        <f aca="false">'06_CONSTRUCTION'!U14*'04_GENERATION'!$C$7*'27_SCENARIOS'!$C$26*'04_GENERATION'!U13*'04_GENERATION'!U14</f>
        <v>268.250752043978</v>
      </c>
      <c r="V23" s="56" t="n">
        <f aca="false">'06_CONSTRUCTION'!V14*'04_GENERATION'!$C$7*'27_SCENARIOS'!$C$26*'04_GENERATION'!V13*'04_GENERATION'!V14</f>
        <v>268.250752043978</v>
      </c>
      <c r="W23" s="56" t="n">
        <f aca="false">'06_CONSTRUCTION'!W14*'04_GENERATION'!$C$7*'27_SCENARIOS'!$C$26*'04_GENERATION'!W13*'04_GENERATION'!W14</f>
        <v>268.250752043978</v>
      </c>
      <c r="X23" s="56" t="n">
        <f aca="false">'06_CONSTRUCTION'!X14*'04_GENERATION'!$C$7*'27_SCENARIOS'!$C$26*'04_GENERATION'!X13*'04_GENERATION'!X14</f>
        <v>268.250752043978</v>
      </c>
      <c r="Y23" s="56" t="n">
        <f aca="false">'06_CONSTRUCTION'!Y14*'04_GENERATION'!$C$7*'27_SCENARIOS'!$C$26*'04_GENERATION'!Y13*'04_GENERATION'!Y14</f>
        <v>268.250752043978</v>
      </c>
      <c r="Z23" s="56" t="n">
        <f aca="false">'06_CONSTRUCTION'!Z14*'04_GENERATION'!$C$7*'27_SCENARIOS'!$C$26*'04_GENERATION'!Z13*'04_GENERATION'!Z14</f>
        <v>268.250752043978</v>
      </c>
      <c r="AA23" s="56" t="n">
        <f aca="false">'06_CONSTRUCTION'!AA14*'04_GENERATION'!$C$7*'27_SCENARIOS'!$C$26*'04_GENERATION'!AA13*'04_GENERATION'!AA14</f>
        <v>268.250752043978</v>
      </c>
      <c r="AB23" s="56" t="n">
        <f aca="false">'06_CONSTRUCTION'!AB14*'04_GENERATION'!$C$7*'27_SCENARIOS'!$C$26*'04_GENERATION'!AB13*'04_GENERATION'!AB14</f>
        <v>268.250752043978</v>
      </c>
      <c r="AC23" s="56" t="n">
        <f aca="false">'06_CONSTRUCTION'!AC14*'04_GENERATION'!$C$7*'27_SCENARIOS'!$C$26*'04_GENERATION'!AC13*'04_GENERATION'!AC14</f>
        <v>268.250752043978</v>
      </c>
      <c r="AD23" s="56" t="n">
        <f aca="false">'06_CONSTRUCTION'!AD14*'04_GENERATION'!$C$7*'27_SCENARIOS'!$C$26*'04_GENERATION'!AD13*'04_GENERATION'!AD14</f>
        <v>268.250752043978</v>
      </c>
      <c r="AE23" s="56" t="n">
        <f aca="false">'06_CONSTRUCTION'!AE14*'04_GENERATION'!$C$7*'27_SCENARIOS'!$C$26*'04_GENERATION'!AE13*'04_GENERATION'!AE14</f>
        <v>268.250752043978</v>
      </c>
      <c r="AF23" s="56" t="n">
        <f aca="false">'06_CONSTRUCTION'!AF14*'04_GENERATION'!$C$7*'27_SCENARIOS'!$C$26*'04_GENERATION'!AF13*'04_GENERATION'!AF14</f>
        <v>268.250752043978</v>
      </c>
      <c r="AG23" s="56" t="n">
        <f aca="false">'06_CONSTRUCTION'!AG14*'04_GENERATION'!$C$7*'27_SCENARIOS'!$C$26*'04_GENERATION'!AG13*'04_GENERATION'!AG14</f>
        <v>0</v>
      </c>
      <c r="AH23" s="56" t="n">
        <f aca="false">'06_CONSTRUCTION'!AH14*'04_GENERATION'!$C$7*'27_SCENARIOS'!$C$26*'04_GENERATION'!AH13*'04_GENERATION'!AH14</f>
        <v>0</v>
      </c>
      <c r="AI23" s="56" t="n">
        <f aca="false">'06_CONSTRUCTION'!AI14*'04_GENERATION'!$C$7*'27_SCENARIOS'!$C$26*'04_GENERATION'!AI13*'04_GENERATION'!AI14</f>
        <v>0</v>
      </c>
      <c r="AJ23" s="56" t="n">
        <f aca="false">'06_CONSTRUCTION'!AJ14*'04_GENERATION'!$C$7*'27_SCENARIOS'!$C$26*'04_GENERATION'!AJ13*'04_GENERATION'!AJ14</f>
        <v>0</v>
      </c>
      <c r="AK23" s="56" t="n">
        <f aca="false">'06_CONSTRUCTION'!AK14*'04_GENERATION'!$C$7*'27_SCENARIOS'!$C$26*'04_GENERATION'!AK13*'04_GENERATION'!AK14</f>
        <v>0</v>
      </c>
      <c r="AL23" s="56" t="n">
        <f aca="false">'06_CONSTRUCTION'!AL14*'04_GENERATION'!$C$7*'27_SCENARIOS'!$C$26*'04_GENERATION'!AL13*'04_GENERATION'!AL14</f>
        <v>0</v>
      </c>
      <c r="AM23" s="56" t="n">
        <f aca="false">'06_CONSTRUCTION'!AM14*'04_GENERATION'!$C$7*'27_SCENARIOS'!$C$26*'04_GENERATION'!AM13*'04_GENERATION'!AM14</f>
        <v>0</v>
      </c>
      <c r="AN23" s="56" t="n">
        <f aca="false">'06_CONSTRUCTION'!AN14*'04_GENERATION'!$C$7*'27_SCENARIOS'!$C$26*'04_GENERATION'!AN13*'04_GENERATION'!AN14</f>
        <v>0</v>
      </c>
      <c r="AO23" s="56" t="n">
        <f aca="false">'06_CONSTRUCTION'!AO14*'04_GENERATION'!$C$7*'27_SCENARIOS'!$C$26*'04_GENERATION'!AO13*'04_GENERATION'!AO14</f>
        <v>0</v>
      </c>
      <c r="AP23" s="56" t="n">
        <f aca="false">'06_CONSTRUCTION'!AP14*'04_GENERATION'!$C$7*'27_SCENARIOS'!$C$26*'04_GENERATION'!AP13*'04_GENERATION'!AP14</f>
        <v>0</v>
      </c>
      <c r="AQ23" s="56" t="n">
        <f aca="false">'06_CONSTRUCTION'!AQ14*'04_GENERATION'!$C$7*'27_SCENARIOS'!$C$26*'04_GENERATION'!AQ13*'04_GENERATION'!AQ14</f>
        <v>0</v>
      </c>
      <c r="AR23" s="56" t="n">
        <f aca="false">'06_CONSTRUCTION'!AR14*'04_GENERATION'!$C$7*'27_SCENARIOS'!$C$26*'04_GENERATION'!AR13*'04_GENERATION'!AR14</f>
        <v>0</v>
      </c>
    </row>
    <row r="24" customFormat="false" ht="15" hidden="false" customHeight="true" outlineLevel="0" collapsed="false">
      <c r="A24" s="23" t="s">
        <v>336</v>
      </c>
      <c r="B24" s="23" t="s">
        <v>93</v>
      </c>
      <c r="E24" s="43" t="n">
        <f aca="false">IF('06_CONSTRUCTION'!E14=1,'04_GENERATION'!E17/('02_PROJECT_INPUTS'!$C$15*8.76),0)</f>
        <v>0</v>
      </c>
      <c r="F24" s="43" t="n">
        <f aca="false">IF('06_CONSTRUCTION'!F14=1,'04_GENERATION'!F17/('02_PROJECT_INPUTS'!$C$15*8.76),0)</f>
        <v>0</v>
      </c>
      <c r="G24" s="43" t="n">
        <f aca="false">IF('06_CONSTRUCTION'!G14=1,'04_GENERATION'!G17/('02_PROJECT_INPUTS'!$C$15*8.76),0)</f>
        <v>0</v>
      </c>
      <c r="H24" s="43" t="n">
        <f aca="false">IF('06_CONSTRUCTION'!H14=1,'04_GENERATION'!H17/('02_PROJECT_INPUTS'!$C$15*8.76),0)</f>
        <v>0.473000706491397</v>
      </c>
      <c r="I24" s="43" t="n">
        <f aca="false">IF('06_CONSTRUCTION'!I14=1,'04_GENERATION'!I17/('02_PROJECT_INPUTS'!$C$15*8.76),0)</f>
        <v>0.556471419401644</v>
      </c>
      <c r="J24" s="43" t="n">
        <f aca="false">IF('06_CONSTRUCTION'!J14=1,'04_GENERATION'!J17/('02_PROJECT_INPUTS'!$C$15*8.76),0)</f>
        <v>0.556471419401644</v>
      </c>
      <c r="K24" s="43" t="n">
        <f aca="false">IF('06_CONSTRUCTION'!K14=1,'04_GENERATION'!K17/('02_PROJECT_INPUTS'!$C$15*8.76),0)</f>
        <v>0.556471419401644</v>
      </c>
      <c r="L24" s="43" t="n">
        <f aca="false">IF('06_CONSTRUCTION'!L14=1,'04_GENERATION'!L17/('02_PROJECT_INPUTS'!$C$15*8.76),0)</f>
        <v>0.556471419401644</v>
      </c>
      <c r="M24" s="43" t="n">
        <f aca="false">IF('06_CONSTRUCTION'!M14=1,'04_GENERATION'!M17/('02_PROJECT_INPUTS'!$C$15*8.76),0)</f>
        <v>0.556471419401644</v>
      </c>
      <c r="N24" s="43" t="n">
        <f aca="false">IF('06_CONSTRUCTION'!N14=1,'04_GENERATION'!N17/('02_PROJECT_INPUTS'!$C$15*8.76),0)</f>
        <v>0.556471419401644</v>
      </c>
      <c r="O24" s="43" t="n">
        <f aca="false">IF('06_CONSTRUCTION'!O14=1,'04_GENERATION'!O17/('02_PROJECT_INPUTS'!$C$15*8.76),0)</f>
        <v>0.556471419401644</v>
      </c>
      <c r="P24" s="43" t="n">
        <f aca="false">IF('06_CONSTRUCTION'!P14=1,'04_GENERATION'!P17/('02_PROJECT_INPUTS'!$C$15*8.76),0)</f>
        <v>0.556471419401644</v>
      </c>
      <c r="Q24" s="43" t="n">
        <f aca="false">IF('06_CONSTRUCTION'!Q14=1,'04_GENERATION'!Q17/('02_PROJECT_INPUTS'!$C$15*8.76),0)</f>
        <v>0.556471419401644</v>
      </c>
      <c r="R24" s="43" t="n">
        <f aca="false">IF('06_CONSTRUCTION'!R14=1,'04_GENERATION'!R17/('02_PROJECT_INPUTS'!$C$15*8.76),0)</f>
        <v>0.556471419401644</v>
      </c>
      <c r="S24" s="43" t="n">
        <f aca="false">IF('06_CONSTRUCTION'!S14=1,'04_GENERATION'!S17/('02_PROJECT_INPUTS'!$C$15*8.76),0)</f>
        <v>0.556471419401644</v>
      </c>
      <c r="T24" s="43" t="n">
        <f aca="false">IF('06_CONSTRUCTION'!T14=1,'04_GENERATION'!T17/('02_PROJECT_INPUTS'!$C$15*8.76),0)</f>
        <v>0.556471419401644</v>
      </c>
      <c r="U24" s="43" t="n">
        <f aca="false">IF('06_CONSTRUCTION'!U14=1,'04_GENERATION'!U17/('02_PROJECT_INPUTS'!$C$15*8.76),0)</f>
        <v>0.556471419401644</v>
      </c>
      <c r="V24" s="43" t="n">
        <f aca="false">IF('06_CONSTRUCTION'!V14=1,'04_GENERATION'!V17/('02_PROJECT_INPUTS'!$C$15*8.76),0)</f>
        <v>0.556471419401644</v>
      </c>
      <c r="W24" s="43" t="n">
        <f aca="false">IF('06_CONSTRUCTION'!W14=1,'04_GENERATION'!W17/('02_PROJECT_INPUTS'!$C$15*8.76),0)</f>
        <v>0.556471419401644</v>
      </c>
      <c r="X24" s="43" t="n">
        <f aca="false">IF('06_CONSTRUCTION'!X14=1,'04_GENERATION'!X17/('02_PROJECT_INPUTS'!$C$15*8.76),0)</f>
        <v>0.556471419401644</v>
      </c>
      <c r="Y24" s="43" t="n">
        <f aca="false">IF('06_CONSTRUCTION'!Y14=1,'04_GENERATION'!Y17/('02_PROJECT_INPUTS'!$C$15*8.76),0)</f>
        <v>0.556471419401644</v>
      </c>
      <c r="Z24" s="43" t="n">
        <f aca="false">IF('06_CONSTRUCTION'!Z14=1,'04_GENERATION'!Z17/('02_PROJECT_INPUTS'!$C$15*8.76),0)</f>
        <v>0.556471419401644</v>
      </c>
      <c r="AA24" s="43" t="n">
        <f aca="false">IF('06_CONSTRUCTION'!AA14=1,'04_GENERATION'!AA17/('02_PROJECT_INPUTS'!$C$15*8.76),0)</f>
        <v>0.556471419401644</v>
      </c>
      <c r="AB24" s="43" t="n">
        <f aca="false">IF('06_CONSTRUCTION'!AB14=1,'04_GENERATION'!AB17/('02_PROJECT_INPUTS'!$C$15*8.76),0)</f>
        <v>0.556471419401644</v>
      </c>
      <c r="AC24" s="43" t="n">
        <f aca="false">IF('06_CONSTRUCTION'!AC14=1,'04_GENERATION'!AC17/('02_PROJECT_INPUTS'!$C$15*8.76),0)</f>
        <v>0.556471419401644</v>
      </c>
      <c r="AD24" s="43" t="n">
        <f aca="false">IF('06_CONSTRUCTION'!AD14=1,'04_GENERATION'!AD17/('02_PROJECT_INPUTS'!$C$15*8.76),0)</f>
        <v>0.556471419401644</v>
      </c>
      <c r="AE24" s="43" t="n">
        <f aca="false">IF('06_CONSTRUCTION'!AE14=1,'04_GENERATION'!AE17/('02_PROJECT_INPUTS'!$C$15*8.76),0)</f>
        <v>0.556471419401644</v>
      </c>
      <c r="AF24" s="43" t="n">
        <f aca="false">IF('06_CONSTRUCTION'!AF14=1,'04_GENERATION'!AF17/('02_PROJECT_INPUTS'!$C$15*8.76),0)</f>
        <v>0.556471419401644</v>
      </c>
      <c r="AG24" s="43" t="n">
        <f aca="false">IF('06_CONSTRUCTION'!AG14=1,'04_GENERATION'!AG17/('02_PROJECT_INPUTS'!$C$15*8.76),0)</f>
        <v>0</v>
      </c>
      <c r="AH24" s="43" t="n">
        <f aca="false">IF('06_CONSTRUCTION'!AH14=1,'04_GENERATION'!AH17/('02_PROJECT_INPUTS'!$C$15*8.76),0)</f>
        <v>0</v>
      </c>
      <c r="AI24" s="43" t="n">
        <f aca="false">IF('06_CONSTRUCTION'!AI14=1,'04_GENERATION'!AI17/('02_PROJECT_INPUTS'!$C$15*8.76),0)</f>
        <v>0</v>
      </c>
      <c r="AJ24" s="43" t="n">
        <f aca="false">IF('06_CONSTRUCTION'!AJ14=1,'04_GENERATION'!AJ17/('02_PROJECT_INPUTS'!$C$15*8.76),0)</f>
        <v>0</v>
      </c>
      <c r="AK24" s="43" t="n">
        <f aca="false">IF('06_CONSTRUCTION'!AK14=1,'04_GENERATION'!AK17/('02_PROJECT_INPUTS'!$C$15*8.76),0)</f>
        <v>0</v>
      </c>
      <c r="AL24" s="43" t="n">
        <f aca="false">IF('06_CONSTRUCTION'!AL14=1,'04_GENERATION'!AL17/('02_PROJECT_INPUTS'!$C$15*8.76),0)</f>
        <v>0</v>
      </c>
      <c r="AM24" s="43" t="n">
        <f aca="false">IF('06_CONSTRUCTION'!AM14=1,'04_GENERATION'!AM17/('02_PROJECT_INPUTS'!$C$15*8.76),0)</f>
        <v>0</v>
      </c>
      <c r="AN24" s="43" t="n">
        <f aca="false">IF('06_CONSTRUCTION'!AN14=1,'04_GENERATION'!AN17/('02_PROJECT_INPUTS'!$C$15*8.76),0)</f>
        <v>0</v>
      </c>
      <c r="AO24" s="43" t="n">
        <f aca="false">IF('06_CONSTRUCTION'!AO14=1,'04_GENERATION'!AO17/('02_PROJECT_INPUTS'!$C$15*8.76),0)</f>
        <v>0</v>
      </c>
      <c r="AP24" s="43" t="n">
        <f aca="false">IF('06_CONSTRUCTION'!AP14=1,'04_GENERATION'!AP17/('02_PROJECT_INPUTS'!$C$15*8.76),0)</f>
        <v>0</v>
      </c>
      <c r="AQ24" s="43" t="n">
        <f aca="false">IF('06_CONSTRUCTION'!AQ14=1,'04_GENERATION'!AQ17/('02_PROJECT_INPUTS'!$C$15*8.76),0)</f>
        <v>0</v>
      </c>
      <c r="AR24" s="43" t="n">
        <f aca="false">IF('06_CONSTRUCTION'!AR14=1,'04_GENERATION'!AR17/('02_PROJECT_INPUTS'!$C$15*8.76),0)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337</v>
      </c>
      <c r="B1" s="17"/>
      <c r="C1" s="17"/>
      <c r="D1" s="17"/>
      <c r="E1" s="17"/>
      <c r="F1" s="17"/>
      <c r="G1" s="17"/>
      <c r="H1" s="17"/>
      <c r="I1" s="17"/>
      <c r="J1" s="17"/>
    </row>
    <row r="2" customFormat="false" ht="15" hidden="false" customHeight="true" outlineLevel="0" collapsed="false">
      <c r="A2" s="18" t="s">
        <v>338</v>
      </c>
      <c r="B2" s="17"/>
      <c r="C2" s="17"/>
      <c r="D2" s="17"/>
      <c r="E2" s="17"/>
      <c r="F2" s="17"/>
      <c r="G2" s="17"/>
      <c r="H2" s="17"/>
      <c r="I2" s="17"/>
      <c r="J2" s="17"/>
    </row>
    <row r="4" customFormat="false" ht="15" hidden="false" customHeight="true" outlineLevel="0" collapsed="false">
      <c r="A4" s="21" t="s">
        <v>339</v>
      </c>
      <c r="B4" s="22"/>
      <c r="C4" s="22"/>
      <c r="D4" s="22"/>
      <c r="E4" s="22"/>
      <c r="F4" s="22"/>
      <c r="G4" s="22"/>
      <c r="H4" s="22"/>
      <c r="I4" s="22"/>
      <c r="J4" s="22"/>
    </row>
    <row r="5" customFormat="false" ht="15" hidden="false" customHeight="true" outlineLevel="0" collapsed="false">
      <c r="A5" s="23" t="s">
        <v>340</v>
      </c>
      <c r="B5" s="23" t="s">
        <v>121</v>
      </c>
      <c r="C5" s="65" t="n">
        <v>68</v>
      </c>
      <c r="D5" s="25" t="s">
        <v>241</v>
      </c>
    </row>
    <row r="6" customFormat="false" ht="15" hidden="false" customHeight="true" outlineLevel="0" collapsed="false">
      <c r="A6" s="23" t="s">
        <v>341</v>
      </c>
      <c r="B6" s="23" t="s">
        <v>121</v>
      </c>
      <c r="C6" s="65" t="n">
        <v>9</v>
      </c>
      <c r="D6" s="25" t="s">
        <v>241</v>
      </c>
    </row>
    <row r="7" customFormat="false" ht="15" hidden="false" customHeight="true" outlineLevel="0" collapsed="false">
      <c r="A7" s="23" t="s">
        <v>342</v>
      </c>
      <c r="B7" s="23" t="s">
        <v>121</v>
      </c>
      <c r="C7" s="65" t="n">
        <v>33</v>
      </c>
      <c r="D7" s="25" t="s">
        <v>241</v>
      </c>
    </row>
    <row r="8" customFormat="false" ht="15" hidden="false" customHeight="true" outlineLevel="0" collapsed="false">
      <c r="A8" s="23" t="s">
        <v>343</v>
      </c>
      <c r="B8" s="23" t="s">
        <v>121</v>
      </c>
      <c r="C8" s="65" t="n">
        <v>5</v>
      </c>
      <c r="D8" s="25" t="s">
        <v>241</v>
      </c>
    </row>
    <row r="9" customFormat="false" ht="15" hidden="false" customHeight="true" outlineLevel="0" collapsed="false">
      <c r="A9" s="23" t="s">
        <v>344</v>
      </c>
      <c r="B9" s="23" t="s">
        <v>121</v>
      </c>
      <c r="C9" s="65" t="n">
        <v>8</v>
      </c>
      <c r="D9" s="25" t="s">
        <v>241</v>
      </c>
    </row>
    <row r="10" customFormat="false" ht="15" hidden="false" customHeight="true" outlineLevel="0" collapsed="false">
      <c r="A10" s="23" t="s">
        <v>345</v>
      </c>
      <c r="B10" s="23" t="s">
        <v>121</v>
      </c>
      <c r="C10" s="65" t="n">
        <v>4</v>
      </c>
      <c r="D10" s="25" t="s">
        <v>241</v>
      </c>
    </row>
    <row r="11" customFormat="false" ht="15" hidden="false" customHeight="true" outlineLevel="0" collapsed="false">
      <c r="A11" s="23" t="s">
        <v>346</v>
      </c>
      <c r="B11" s="23" t="s">
        <v>121</v>
      </c>
      <c r="C11" s="66" t="n">
        <f aca="false">'01A_DEVELOPMENT'!$C$12</f>
        <v>9</v>
      </c>
    </row>
    <row r="12" customFormat="false" ht="15" hidden="false" customHeight="true" outlineLevel="0" collapsed="false">
      <c r="A12" s="23" t="s">
        <v>347</v>
      </c>
      <c r="B12" s="23" t="s">
        <v>121</v>
      </c>
      <c r="C12" s="60" t="n">
        <f aca="false">('05_PLANT_CAPEX'!$C$5+'05_PLANT_CAPEX'!$C$6+'05_PLANT_CAPEX'!$C$7)*'05A_CONTRACTING'!$C$7</f>
        <v>6.6</v>
      </c>
    </row>
    <row r="13" customFormat="false" ht="15" hidden="false" customHeight="true" outlineLevel="0" collapsed="false">
      <c r="A13" s="23" t="s">
        <v>348</v>
      </c>
      <c r="B13" s="23" t="s">
        <v>121</v>
      </c>
      <c r="C13" s="60" t="n">
        <f aca="false">SUM(C5:C12)</f>
        <v>142.6</v>
      </c>
    </row>
    <row r="14" customFormat="false" ht="15" hidden="false" customHeight="true" outlineLevel="0" collapsed="false">
      <c r="A14" s="23" t="s">
        <v>349</v>
      </c>
      <c r="B14" s="23" t="s">
        <v>93</v>
      </c>
      <c r="C14" s="39" t="n">
        <v>0.1</v>
      </c>
      <c r="D14" s="25" t="s">
        <v>350</v>
      </c>
    </row>
    <row r="15" customFormat="false" ht="15" hidden="false" customHeight="true" outlineLevel="0" collapsed="false">
      <c r="A15" s="19" t="s">
        <v>351</v>
      </c>
      <c r="B15" s="23" t="s">
        <v>121</v>
      </c>
      <c r="C15" s="67" t="n">
        <f aca="false">'05_PLANT_CAPEX'!$C$13*(1+'05_PLANT_CAPEX'!$C$14)</f>
        <v>156.86</v>
      </c>
    </row>
    <row r="16" customFormat="false" ht="15" hidden="false" customHeight="true" outlineLevel="0" collapsed="false">
      <c r="A16" s="19" t="s">
        <v>352</v>
      </c>
      <c r="B16" s="23" t="s">
        <v>353</v>
      </c>
      <c r="C16" s="59" t="n">
        <f aca="false">'05_PLANT_CAPEX'!$C$15/'02_PROJECT_INPUTS'!$C$15*1000</f>
        <v>2614.33333333333</v>
      </c>
    </row>
    <row r="17" customFormat="false" ht="15" hidden="false" customHeight="true" outlineLevel="0" collapsed="false">
      <c r="A17" s="23" t="s">
        <v>354</v>
      </c>
      <c r="B17" s="23" t="s">
        <v>355</v>
      </c>
      <c r="C17" s="27" t="n">
        <v>0.04</v>
      </c>
      <c r="D17" s="25" t="s">
        <v>159</v>
      </c>
    </row>
    <row r="18" customFormat="false" ht="15" hidden="false" customHeight="true" outlineLevel="0" collapsed="false">
      <c r="A18" s="23" t="s">
        <v>356</v>
      </c>
      <c r="B18" s="23" t="s">
        <v>74</v>
      </c>
      <c r="C18" s="24" t="n">
        <v>2</v>
      </c>
      <c r="D18" s="25" t="s">
        <v>357</v>
      </c>
    </row>
    <row r="19" customFormat="false" ht="15" hidden="false" customHeight="true" outlineLevel="0" collapsed="false">
      <c r="A19" s="21" t="s">
        <v>358</v>
      </c>
      <c r="B19" s="22"/>
      <c r="C19" s="22"/>
      <c r="D19" s="22"/>
      <c r="E19" s="22"/>
      <c r="F19" s="22"/>
      <c r="G19" s="22"/>
      <c r="H19" s="22"/>
      <c r="I19" s="22"/>
      <c r="J19" s="22"/>
    </row>
    <row r="20" customFormat="false" ht="15" hidden="false" customHeight="true" outlineLevel="0" collapsed="false">
      <c r="A20" s="23" t="s">
        <v>359</v>
      </c>
      <c r="B20" s="23" t="s">
        <v>353</v>
      </c>
      <c r="C20" s="51" t="n">
        <v>2515</v>
      </c>
      <c r="D20" s="25" t="s">
        <v>360</v>
      </c>
    </row>
    <row r="21" customFormat="false" ht="15" hidden="false" customHeight="true" outlineLevel="0" collapsed="false">
      <c r="A21" s="23" t="s">
        <v>361</v>
      </c>
      <c r="B21" s="23" t="s">
        <v>119</v>
      </c>
      <c r="C21" s="68" t="n">
        <f aca="false">'05_PLANT_CAPEX'!$C$16/'05_PLANT_CAPEX'!$C$20</f>
        <v>1.03949635520212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J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14"/>
    <col collapsed="false" customWidth="true" hidden="false" outlineLevel="0" max="7" min="5" style="1" width="16"/>
  </cols>
  <sheetData>
    <row r="1" customFormat="false" ht="17.25" hidden="false" customHeight="true" outlineLevel="0" collapsed="false">
      <c r="A1" s="16" t="s">
        <v>362</v>
      </c>
      <c r="B1" s="17"/>
      <c r="C1" s="17"/>
      <c r="D1" s="17"/>
      <c r="E1" s="17"/>
      <c r="F1" s="17"/>
      <c r="G1" s="17"/>
      <c r="H1" s="17"/>
      <c r="I1" s="17"/>
      <c r="J1" s="17"/>
    </row>
    <row r="2" customFormat="false" ht="15" hidden="false" customHeight="true" outlineLevel="0" collapsed="false">
      <c r="A2" s="18" t="s">
        <v>363</v>
      </c>
      <c r="B2" s="17"/>
      <c r="C2" s="17"/>
      <c r="D2" s="17"/>
      <c r="E2" s="17"/>
      <c r="F2" s="17"/>
      <c r="G2" s="17"/>
      <c r="H2" s="17"/>
      <c r="I2" s="17"/>
      <c r="J2" s="17"/>
    </row>
    <row r="4" customFormat="false" ht="15" hidden="false" customHeight="true" outlineLevel="0" collapsed="false">
      <c r="A4" s="23" t="s">
        <v>364</v>
      </c>
      <c r="B4" s="23" t="s">
        <v>74</v>
      </c>
      <c r="C4" s="24" t="n">
        <v>2</v>
      </c>
    </row>
    <row r="6" customFormat="false" ht="15" hidden="false" customHeight="true" outlineLevel="0" collapsed="false">
      <c r="A6" s="34" t="s">
        <v>365</v>
      </c>
      <c r="B6" s="34" t="s">
        <v>366</v>
      </c>
      <c r="C6" s="34" t="s">
        <v>367</v>
      </c>
      <c r="D6" s="34"/>
      <c r="E6" s="34" t="s">
        <v>368</v>
      </c>
      <c r="F6" s="34" t="s">
        <v>369</v>
      </c>
      <c r="G6" s="34" t="s">
        <v>370</v>
      </c>
    </row>
    <row r="7" customFormat="false" ht="15" hidden="false" customHeight="true" outlineLevel="0" collapsed="false">
      <c r="A7" s="23" t="s">
        <v>371</v>
      </c>
      <c r="B7" s="23" t="s">
        <v>93</v>
      </c>
      <c r="C7" s="43" t="n">
        <f aca="false">INDEX(E7:G7,'05A_CONTRACTING'!$C$4)</f>
        <v>0.06</v>
      </c>
      <c r="E7" s="27" t="n">
        <v>0.12</v>
      </c>
      <c r="F7" s="27" t="n">
        <v>0.06</v>
      </c>
      <c r="G7" s="27" t="n">
        <v>0</v>
      </c>
    </row>
    <row r="8" customFormat="false" ht="15" hidden="false" customHeight="true" outlineLevel="0" collapsed="false">
      <c r="A8" s="23" t="s">
        <v>372</v>
      </c>
      <c r="B8" s="23" t="s">
        <v>93</v>
      </c>
      <c r="C8" s="43" t="n">
        <f aca="false">INDEX(E8:G8,'05A_CONTRACTING'!$C$4)</f>
        <v>0.55</v>
      </c>
      <c r="E8" s="27" t="n">
        <v>0.3</v>
      </c>
      <c r="F8" s="27" t="n">
        <v>0.55</v>
      </c>
      <c r="G8" s="27" t="n">
        <v>0.9</v>
      </c>
    </row>
    <row r="9" customFormat="false" ht="15" hidden="false" customHeight="true" outlineLevel="0" collapsed="false">
      <c r="A9" s="23" t="s">
        <v>373</v>
      </c>
      <c r="B9" s="23" t="s">
        <v>93</v>
      </c>
      <c r="C9" s="43" t="n">
        <f aca="false">INDEX(E9:G9,'05A_CONTRACTING'!$C$4)</f>
        <v>0.6</v>
      </c>
      <c r="E9" s="27" t="n">
        <v>0.35</v>
      </c>
      <c r="F9" s="27" t="n">
        <v>0.6</v>
      </c>
      <c r="G9" s="27" t="n">
        <v>0.9</v>
      </c>
    </row>
    <row r="10" customFormat="false" ht="15" hidden="false" customHeight="true" outlineLevel="0" collapsed="false">
      <c r="A10" s="23" t="s">
        <v>374</v>
      </c>
      <c r="B10" s="23" t="s">
        <v>74</v>
      </c>
      <c r="C10" s="69" t="n">
        <f aca="false">INDEX(E10:G10,'05A_CONTRACTING'!$C$4)</f>
        <v>2</v>
      </c>
      <c r="E10" s="35" t="n">
        <v>1</v>
      </c>
      <c r="F10" s="35" t="n">
        <v>2</v>
      </c>
      <c r="G10" s="35" t="n">
        <v>3</v>
      </c>
    </row>
    <row r="12" customFormat="false" ht="15" hidden="false" customHeight="true" outlineLevel="0" collapsed="false">
      <c r="A12" s="25"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R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376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377</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4" customFormat="false" ht="15" hidden="false" customHeight="true" outlineLevel="0" collapsed="false">
      <c r="A4" s="23" t="s">
        <v>378</v>
      </c>
      <c r="B4" s="23"/>
      <c r="E4" s="70" t="n">
        <f aca="false">'02_PROJECT_INPUTS'!$C$10+1-1</f>
        <v>2027</v>
      </c>
      <c r="F4" s="70" t="n">
        <f aca="false">'02_PROJECT_INPUTS'!$C$10+2-1</f>
        <v>2028</v>
      </c>
      <c r="G4" s="70" t="n">
        <f aca="false">'02_PROJECT_INPUTS'!$C$10+3-1</f>
        <v>2029</v>
      </c>
      <c r="H4" s="70" t="n">
        <f aca="false">'02_PROJECT_INPUTS'!$C$10+4-1</f>
        <v>2030</v>
      </c>
      <c r="I4" s="70" t="n">
        <f aca="false">'02_PROJECT_INPUTS'!$C$10+5-1</f>
        <v>2031</v>
      </c>
      <c r="J4" s="70" t="n">
        <f aca="false">'02_PROJECT_INPUTS'!$C$10+6-1</f>
        <v>2032</v>
      </c>
      <c r="K4" s="70" t="n">
        <f aca="false">'02_PROJECT_INPUTS'!$C$10+7-1</f>
        <v>2033</v>
      </c>
      <c r="L4" s="70" t="n">
        <f aca="false">'02_PROJECT_INPUTS'!$C$10+8-1</f>
        <v>2034</v>
      </c>
      <c r="M4" s="70" t="n">
        <f aca="false">'02_PROJECT_INPUTS'!$C$10+9-1</f>
        <v>2035</v>
      </c>
      <c r="N4" s="70" t="n">
        <f aca="false">'02_PROJECT_INPUTS'!$C$10+10-1</f>
        <v>2036</v>
      </c>
      <c r="O4" s="70" t="n">
        <f aca="false">'02_PROJECT_INPUTS'!$C$10+11-1</f>
        <v>2037</v>
      </c>
      <c r="P4" s="70" t="n">
        <f aca="false">'02_PROJECT_INPUTS'!$C$10+12-1</f>
        <v>2038</v>
      </c>
      <c r="Q4" s="70" t="n">
        <f aca="false">'02_PROJECT_INPUTS'!$C$10+13-1</f>
        <v>2039</v>
      </c>
      <c r="R4" s="70" t="n">
        <f aca="false">'02_PROJECT_INPUTS'!$C$10+14-1</f>
        <v>2040</v>
      </c>
      <c r="S4" s="70" t="n">
        <f aca="false">'02_PROJECT_INPUTS'!$C$10+15-1</f>
        <v>2041</v>
      </c>
      <c r="T4" s="70" t="n">
        <f aca="false">'02_PROJECT_INPUTS'!$C$10+16-1</f>
        <v>2042</v>
      </c>
      <c r="U4" s="70" t="n">
        <f aca="false">'02_PROJECT_INPUTS'!$C$10+17-1</f>
        <v>2043</v>
      </c>
      <c r="V4" s="70" t="n">
        <f aca="false">'02_PROJECT_INPUTS'!$C$10+18-1</f>
        <v>2044</v>
      </c>
      <c r="W4" s="70" t="n">
        <f aca="false">'02_PROJECT_INPUTS'!$C$10+19-1</f>
        <v>2045</v>
      </c>
      <c r="X4" s="70" t="n">
        <f aca="false">'02_PROJECT_INPUTS'!$C$10+20-1</f>
        <v>2046</v>
      </c>
      <c r="Y4" s="70" t="n">
        <f aca="false">'02_PROJECT_INPUTS'!$C$10+21-1</f>
        <v>2047</v>
      </c>
      <c r="Z4" s="70" t="n">
        <f aca="false">'02_PROJECT_INPUTS'!$C$10+22-1</f>
        <v>2048</v>
      </c>
      <c r="AA4" s="70" t="n">
        <f aca="false">'02_PROJECT_INPUTS'!$C$10+23-1</f>
        <v>2049</v>
      </c>
      <c r="AB4" s="70" t="n">
        <f aca="false">'02_PROJECT_INPUTS'!$C$10+24-1</f>
        <v>2050</v>
      </c>
      <c r="AC4" s="70" t="n">
        <f aca="false">'02_PROJECT_INPUTS'!$C$10+25-1</f>
        <v>2051</v>
      </c>
      <c r="AD4" s="70" t="n">
        <f aca="false">'02_PROJECT_INPUTS'!$C$10+26-1</f>
        <v>2052</v>
      </c>
      <c r="AE4" s="70" t="n">
        <f aca="false">'02_PROJECT_INPUTS'!$C$10+27-1</f>
        <v>2053</v>
      </c>
      <c r="AF4" s="70" t="n">
        <f aca="false">'02_PROJECT_INPUTS'!$C$10+28-1</f>
        <v>2054</v>
      </c>
      <c r="AG4" s="70" t="n">
        <f aca="false">'02_PROJECT_INPUTS'!$C$10+29-1</f>
        <v>2055</v>
      </c>
      <c r="AH4" s="70" t="n">
        <f aca="false">'02_PROJECT_INPUTS'!$C$10+30-1</f>
        <v>2056</v>
      </c>
      <c r="AI4" s="70" t="n">
        <f aca="false">'02_PROJECT_INPUTS'!$C$10+31-1</f>
        <v>2057</v>
      </c>
      <c r="AJ4" s="70" t="n">
        <f aca="false">'02_PROJECT_INPUTS'!$C$10+32-1</f>
        <v>2058</v>
      </c>
      <c r="AK4" s="70" t="n">
        <f aca="false">'02_PROJECT_INPUTS'!$C$10+33-1</f>
        <v>2059</v>
      </c>
      <c r="AL4" s="70" t="n">
        <f aca="false">'02_PROJECT_INPUTS'!$C$10+34-1</f>
        <v>2060</v>
      </c>
      <c r="AM4" s="70" t="n">
        <f aca="false">'02_PROJECT_INPUTS'!$C$10+35-1</f>
        <v>2061</v>
      </c>
      <c r="AN4" s="70" t="n">
        <f aca="false">'02_PROJECT_INPUTS'!$C$10+36-1</f>
        <v>2062</v>
      </c>
      <c r="AO4" s="70" t="n">
        <f aca="false">'02_PROJECT_INPUTS'!$C$10+37-1</f>
        <v>2063</v>
      </c>
      <c r="AP4" s="70" t="n">
        <f aca="false">'02_PROJECT_INPUTS'!$C$10+38-1</f>
        <v>2064</v>
      </c>
      <c r="AQ4" s="70" t="n">
        <f aca="false">'02_PROJECT_INPUTS'!$C$10+39-1</f>
        <v>2065</v>
      </c>
      <c r="AR4" s="70" t="n">
        <f aca="false">'02_PROJECT_INPUTS'!$C$10+40-1</f>
        <v>2066</v>
      </c>
    </row>
    <row r="5" customFormat="false" ht="15" hidden="false" customHeight="true" outlineLevel="0" collapsed="false">
      <c r="A5" s="23" t="s">
        <v>379</v>
      </c>
      <c r="B5" s="23" t="s">
        <v>115</v>
      </c>
      <c r="E5" s="69" t="n">
        <f aca="false">IF('06_CONSTRUCTION'!E14=1,1-'06_CONSTRUCTION'!$C$7,0)</f>
        <v>0</v>
      </c>
      <c r="F5" s="69" t="n">
        <f aca="false">IF('06_CONSTRUCTION'!F14=1,2-'06_CONSTRUCTION'!$C$7,0)</f>
        <v>0</v>
      </c>
      <c r="G5" s="69" t="n">
        <f aca="false">IF('06_CONSTRUCTION'!G14=1,3-'06_CONSTRUCTION'!$C$7,0)</f>
        <v>0</v>
      </c>
      <c r="H5" s="69" t="n">
        <f aca="false">IF('06_CONSTRUCTION'!H14=1,4-'06_CONSTRUCTION'!$C$7,0)</f>
        <v>1</v>
      </c>
      <c r="I5" s="69" t="n">
        <f aca="false">IF('06_CONSTRUCTION'!I14=1,5-'06_CONSTRUCTION'!$C$7,0)</f>
        <v>2</v>
      </c>
      <c r="J5" s="69" t="n">
        <f aca="false">IF('06_CONSTRUCTION'!J14=1,6-'06_CONSTRUCTION'!$C$7,0)</f>
        <v>3</v>
      </c>
      <c r="K5" s="69" t="n">
        <f aca="false">IF('06_CONSTRUCTION'!K14=1,7-'06_CONSTRUCTION'!$C$7,0)</f>
        <v>4</v>
      </c>
      <c r="L5" s="69" t="n">
        <f aca="false">IF('06_CONSTRUCTION'!L14=1,8-'06_CONSTRUCTION'!$C$7,0)</f>
        <v>5</v>
      </c>
      <c r="M5" s="69" t="n">
        <f aca="false">IF('06_CONSTRUCTION'!M14=1,9-'06_CONSTRUCTION'!$C$7,0)</f>
        <v>6</v>
      </c>
      <c r="N5" s="69" t="n">
        <f aca="false">IF('06_CONSTRUCTION'!N14=1,10-'06_CONSTRUCTION'!$C$7,0)</f>
        <v>7</v>
      </c>
      <c r="O5" s="69" t="n">
        <f aca="false">IF('06_CONSTRUCTION'!O14=1,11-'06_CONSTRUCTION'!$C$7,0)</f>
        <v>8</v>
      </c>
      <c r="P5" s="69" t="n">
        <f aca="false">IF('06_CONSTRUCTION'!P14=1,12-'06_CONSTRUCTION'!$C$7,0)</f>
        <v>9</v>
      </c>
      <c r="Q5" s="69" t="n">
        <f aca="false">IF('06_CONSTRUCTION'!Q14=1,13-'06_CONSTRUCTION'!$C$7,0)</f>
        <v>10</v>
      </c>
      <c r="R5" s="69" t="n">
        <f aca="false">IF('06_CONSTRUCTION'!R14=1,14-'06_CONSTRUCTION'!$C$7,0)</f>
        <v>11</v>
      </c>
      <c r="S5" s="69" t="n">
        <f aca="false">IF('06_CONSTRUCTION'!S14=1,15-'06_CONSTRUCTION'!$C$7,0)</f>
        <v>12</v>
      </c>
      <c r="T5" s="69" t="n">
        <f aca="false">IF('06_CONSTRUCTION'!T14=1,16-'06_CONSTRUCTION'!$C$7,0)</f>
        <v>13</v>
      </c>
      <c r="U5" s="69" t="n">
        <f aca="false">IF('06_CONSTRUCTION'!U14=1,17-'06_CONSTRUCTION'!$C$7,0)</f>
        <v>14</v>
      </c>
      <c r="V5" s="69" t="n">
        <f aca="false">IF('06_CONSTRUCTION'!V14=1,18-'06_CONSTRUCTION'!$C$7,0)</f>
        <v>15</v>
      </c>
      <c r="W5" s="69" t="n">
        <f aca="false">IF('06_CONSTRUCTION'!W14=1,19-'06_CONSTRUCTION'!$C$7,0)</f>
        <v>16</v>
      </c>
      <c r="X5" s="69" t="n">
        <f aca="false">IF('06_CONSTRUCTION'!X14=1,20-'06_CONSTRUCTION'!$C$7,0)</f>
        <v>17</v>
      </c>
      <c r="Y5" s="69" t="n">
        <f aca="false">IF('06_CONSTRUCTION'!Y14=1,21-'06_CONSTRUCTION'!$C$7,0)</f>
        <v>18</v>
      </c>
      <c r="Z5" s="69" t="n">
        <f aca="false">IF('06_CONSTRUCTION'!Z14=1,22-'06_CONSTRUCTION'!$C$7,0)</f>
        <v>19</v>
      </c>
      <c r="AA5" s="69" t="n">
        <f aca="false">IF('06_CONSTRUCTION'!AA14=1,23-'06_CONSTRUCTION'!$C$7,0)</f>
        <v>20</v>
      </c>
      <c r="AB5" s="69" t="n">
        <f aca="false">IF('06_CONSTRUCTION'!AB14=1,24-'06_CONSTRUCTION'!$C$7,0)</f>
        <v>21</v>
      </c>
      <c r="AC5" s="69" t="n">
        <f aca="false">IF('06_CONSTRUCTION'!AC14=1,25-'06_CONSTRUCTION'!$C$7,0)</f>
        <v>22</v>
      </c>
      <c r="AD5" s="69" t="n">
        <f aca="false">IF('06_CONSTRUCTION'!AD14=1,26-'06_CONSTRUCTION'!$C$7,0)</f>
        <v>23</v>
      </c>
      <c r="AE5" s="69" t="n">
        <f aca="false">IF('06_CONSTRUCTION'!AE14=1,27-'06_CONSTRUCTION'!$C$7,0)</f>
        <v>24</v>
      </c>
      <c r="AF5" s="69" t="n">
        <f aca="false">IF('06_CONSTRUCTION'!AF14=1,28-'06_CONSTRUCTION'!$C$7,0)</f>
        <v>25</v>
      </c>
      <c r="AG5" s="69" t="n">
        <f aca="false">IF('06_CONSTRUCTION'!AG14=1,29-'06_CONSTRUCTION'!$C$7,0)</f>
        <v>0</v>
      </c>
      <c r="AH5" s="69" t="n">
        <f aca="false">IF('06_CONSTRUCTION'!AH14=1,30-'06_CONSTRUCTION'!$C$7,0)</f>
        <v>0</v>
      </c>
      <c r="AI5" s="69" t="n">
        <f aca="false">IF('06_CONSTRUCTION'!AI14=1,31-'06_CONSTRUCTION'!$C$7,0)</f>
        <v>0</v>
      </c>
      <c r="AJ5" s="69" t="n">
        <f aca="false">IF('06_CONSTRUCTION'!AJ14=1,32-'06_CONSTRUCTION'!$C$7,0)</f>
        <v>0</v>
      </c>
      <c r="AK5" s="69" t="n">
        <f aca="false">IF('06_CONSTRUCTION'!AK14=1,33-'06_CONSTRUCTION'!$C$7,0)</f>
        <v>0</v>
      </c>
      <c r="AL5" s="69" t="n">
        <f aca="false">IF('06_CONSTRUCTION'!AL14=1,34-'06_CONSTRUCTION'!$C$7,0)</f>
        <v>0</v>
      </c>
      <c r="AM5" s="69" t="n">
        <f aca="false">IF('06_CONSTRUCTION'!AM14=1,35-'06_CONSTRUCTION'!$C$7,0)</f>
        <v>0</v>
      </c>
      <c r="AN5" s="69" t="n">
        <f aca="false">IF('06_CONSTRUCTION'!AN14=1,36-'06_CONSTRUCTION'!$C$7,0)</f>
        <v>0</v>
      </c>
      <c r="AO5" s="69" t="n">
        <f aca="false">IF('06_CONSTRUCTION'!AO14=1,37-'06_CONSTRUCTION'!$C$7,0)</f>
        <v>0</v>
      </c>
      <c r="AP5" s="69" t="n">
        <f aca="false">IF('06_CONSTRUCTION'!AP14=1,38-'06_CONSTRUCTION'!$C$7,0)</f>
        <v>0</v>
      </c>
      <c r="AQ5" s="69" t="n">
        <f aca="false">IF('06_CONSTRUCTION'!AQ14=1,39-'06_CONSTRUCTION'!$C$7,0)</f>
        <v>0</v>
      </c>
      <c r="AR5" s="69" t="n">
        <f aca="false">IF('06_CONSTRUCTION'!AR14=1,40-'06_CONSTRUCTION'!$C$7,0)</f>
        <v>0</v>
      </c>
    </row>
    <row r="7" customFormat="false" ht="15" hidden="false" customHeight="true" outlineLevel="0" collapsed="false">
      <c r="A7" s="23" t="s">
        <v>380</v>
      </c>
      <c r="B7" s="23" t="s">
        <v>147</v>
      </c>
      <c r="C7" s="29" t="n">
        <f aca="false">'02_PROJECT_INPUTS'!$C$12+'27_SCENARIOS'!$C$28</f>
        <v>3</v>
      </c>
    </row>
    <row r="8" customFormat="false" ht="15" hidden="false" customHeight="true" outlineLevel="0" collapsed="false">
      <c r="A8" s="19" t="s">
        <v>381</v>
      </c>
      <c r="B8" s="23" t="s">
        <v>223</v>
      </c>
      <c r="C8" s="71" t="n">
        <f aca="false">'02_PROJECT_INPUTS'!$C$10+'06_CONSTRUCTION'!$C$7</f>
        <v>2030</v>
      </c>
    </row>
    <row r="9" customFormat="false" ht="15" hidden="false" customHeight="true" outlineLevel="0" collapsed="false">
      <c r="A9" s="19" t="s">
        <v>382</v>
      </c>
      <c r="B9" s="23" t="s">
        <v>121</v>
      </c>
      <c r="C9" s="67" t="n">
        <f aca="false">'05_PLANT_CAPEX'!$C$15*'27_SCENARIOS'!$C$27*(1+'05_PLANT_CAPEX'!$C$17*'27_SCENARIOS'!$C$28*'05A_CONTRACTING'!$C$9)</f>
        <v>156.86</v>
      </c>
    </row>
    <row r="11" customFormat="false" ht="15" hidden="false" customHeight="true" outlineLevel="0" collapsed="false">
      <c r="A11" s="21" t="s">
        <v>383</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row>
    <row r="12" customFormat="false" ht="15" hidden="false" customHeight="true" outlineLevel="0" collapsed="false">
      <c r="A12" s="23" t="s">
        <v>384</v>
      </c>
      <c r="B12" s="23" t="s">
        <v>115</v>
      </c>
      <c r="E12" s="69" t="n">
        <f aca="false">1</f>
        <v>1</v>
      </c>
      <c r="F12" s="69" t="n">
        <f aca="false">2</f>
        <v>2</v>
      </c>
      <c r="G12" s="69" t="n">
        <f aca="false">3</f>
        <v>3</v>
      </c>
      <c r="H12" s="69" t="n">
        <f aca="false">4</f>
        <v>4</v>
      </c>
      <c r="I12" s="69" t="n">
        <f aca="false">5</f>
        <v>5</v>
      </c>
      <c r="J12" s="69" t="n">
        <f aca="false">6</f>
        <v>6</v>
      </c>
      <c r="K12" s="69" t="n">
        <f aca="false">7</f>
        <v>7</v>
      </c>
      <c r="L12" s="69" t="n">
        <f aca="false">8</f>
        <v>8</v>
      </c>
      <c r="M12" s="69" t="n">
        <f aca="false">9</f>
        <v>9</v>
      </c>
      <c r="N12" s="69" t="n">
        <f aca="false">10</f>
        <v>10</v>
      </c>
      <c r="O12" s="69" t="n">
        <f aca="false">11</f>
        <v>11</v>
      </c>
      <c r="P12" s="69" t="n">
        <f aca="false">12</f>
        <v>12</v>
      </c>
      <c r="Q12" s="69" t="n">
        <f aca="false">13</f>
        <v>13</v>
      </c>
      <c r="R12" s="69" t="n">
        <f aca="false">14</f>
        <v>14</v>
      </c>
      <c r="S12" s="69" t="n">
        <f aca="false">15</f>
        <v>15</v>
      </c>
      <c r="T12" s="69" t="n">
        <f aca="false">16</f>
        <v>16</v>
      </c>
      <c r="U12" s="69" t="n">
        <f aca="false">17</f>
        <v>17</v>
      </c>
      <c r="V12" s="69" t="n">
        <f aca="false">18</f>
        <v>18</v>
      </c>
      <c r="W12" s="69" t="n">
        <f aca="false">19</f>
        <v>19</v>
      </c>
      <c r="X12" s="69" t="n">
        <f aca="false">20</f>
        <v>20</v>
      </c>
      <c r="Y12" s="69" t="n">
        <f aca="false">21</f>
        <v>21</v>
      </c>
      <c r="Z12" s="69" t="n">
        <f aca="false">22</f>
        <v>22</v>
      </c>
      <c r="AA12" s="69" t="n">
        <f aca="false">23</f>
        <v>23</v>
      </c>
      <c r="AB12" s="69" t="n">
        <f aca="false">24</f>
        <v>24</v>
      </c>
      <c r="AC12" s="69" t="n">
        <f aca="false">25</f>
        <v>25</v>
      </c>
      <c r="AD12" s="69" t="n">
        <f aca="false">26</f>
        <v>26</v>
      </c>
      <c r="AE12" s="69" t="n">
        <f aca="false">27</f>
        <v>27</v>
      </c>
      <c r="AF12" s="69" t="n">
        <f aca="false">28</f>
        <v>28</v>
      </c>
      <c r="AG12" s="69" t="n">
        <f aca="false">29</f>
        <v>29</v>
      </c>
      <c r="AH12" s="69" t="n">
        <f aca="false">30</f>
        <v>30</v>
      </c>
      <c r="AI12" s="69" t="n">
        <f aca="false">31</f>
        <v>31</v>
      </c>
      <c r="AJ12" s="69" t="n">
        <f aca="false">32</f>
        <v>32</v>
      </c>
      <c r="AK12" s="69" t="n">
        <f aca="false">33</f>
        <v>33</v>
      </c>
      <c r="AL12" s="69" t="n">
        <f aca="false">34</f>
        <v>34</v>
      </c>
      <c r="AM12" s="69" t="n">
        <f aca="false">35</f>
        <v>35</v>
      </c>
      <c r="AN12" s="69" t="n">
        <f aca="false">36</f>
        <v>36</v>
      </c>
      <c r="AO12" s="69" t="n">
        <f aca="false">37</f>
        <v>37</v>
      </c>
      <c r="AP12" s="69" t="n">
        <f aca="false">38</f>
        <v>38</v>
      </c>
      <c r="AQ12" s="69" t="n">
        <f aca="false">39</f>
        <v>39</v>
      </c>
      <c r="AR12" s="69" t="n">
        <f aca="false">40</f>
        <v>40</v>
      </c>
    </row>
    <row r="13" customFormat="false" ht="15" hidden="false" customHeight="true" outlineLevel="0" collapsed="false">
      <c r="A13" s="23" t="s">
        <v>385</v>
      </c>
      <c r="B13" s="23" t="s">
        <v>386</v>
      </c>
      <c r="E13" s="69" t="n">
        <f aca="false">IF(1&lt;='06_CONSTRUCTION'!$C$7,1,0)</f>
        <v>1</v>
      </c>
      <c r="F13" s="69" t="n">
        <f aca="false">IF(2&lt;='06_CONSTRUCTION'!$C$7,1,0)</f>
        <v>1</v>
      </c>
      <c r="G13" s="69" t="n">
        <f aca="false">IF(3&lt;='06_CONSTRUCTION'!$C$7,1,0)</f>
        <v>1</v>
      </c>
      <c r="H13" s="69" t="n">
        <f aca="false">IF(4&lt;='06_CONSTRUCTION'!$C$7,1,0)</f>
        <v>0</v>
      </c>
      <c r="I13" s="69" t="n">
        <f aca="false">IF(5&lt;='06_CONSTRUCTION'!$C$7,1,0)</f>
        <v>0</v>
      </c>
      <c r="J13" s="69" t="n">
        <f aca="false">IF(6&lt;='06_CONSTRUCTION'!$C$7,1,0)</f>
        <v>0</v>
      </c>
      <c r="K13" s="69" t="n">
        <f aca="false">IF(7&lt;='06_CONSTRUCTION'!$C$7,1,0)</f>
        <v>0</v>
      </c>
      <c r="L13" s="69" t="n">
        <f aca="false">IF(8&lt;='06_CONSTRUCTION'!$C$7,1,0)</f>
        <v>0</v>
      </c>
      <c r="M13" s="69" t="n">
        <f aca="false">IF(9&lt;='06_CONSTRUCTION'!$C$7,1,0)</f>
        <v>0</v>
      </c>
      <c r="N13" s="69" t="n">
        <f aca="false">IF(10&lt;='06_CONSTRUCTION'!$C$7,1,0)</f>
        <v>0</v>
      </c>
      <c r="O13" s="69" t="n">
        <f aca="false">IF(11&lt;='06_CONSTRUCTION'!$C$7,1,0)</f>
        <v>0</v>
      </c>
      <c r="P13" s="69" t="n">
        <f aca="false">IF(12&lt;='06_CONSTRUCTION'!$C$7,1,0)</f>
        <v>0</v>
      </c>
      <c r="Q13" s="69" t="n">
        <f aca="false">IF(13&lt;='06_CONSTRUCTION'!$C$7,1,0)</f>
        <v>0</v>
      </c>
      <c r="R13" s="69" t="n">
        <f aca="false">IF(14&lt;='06_CONSTRUCTION'!$C$7,1,0)</f>
        <v>0</v>
      </c>
      <c r="S13" s="69" t="n">
        <f aca="false">IF(15&lt;='06_CONSTRUCTION'!$C$7,1,0)</f>
        <v>0</v>
      </c>
      <c r="T13" s="69" t="n">
        <f aca="false">IF(16&lt;='06_CONSTRUCTION'!$C$7,1,0)</f>
        <v>0</v>
      </c>
      <c r="U13" s="69" t="n">
        <f aca="false">IF(17&lt;='06_CONSTRUCTION'!$C$7,1,0)</f>
        <v>0</v>
      </c>
      <c r="V13" s="69" t="n">
        <f aca="false">IF(18&lt;='06_CONSTRUCTION'!$C$7,1,0)</f>
        <v>0</v>
      </c>
      <c r="W13" s="69" t="n">
        <f aca="false">IF(19&lt;='06_CONSTRUCTION'!$C$7,1,0)</f>
        <v>0</v>
      </c>
      <c r="X13" s="69" t="n">
        <f aca="false">IF(20&lt;='06_CONSTRUCTION'!$C$7,1,0)</f>
        <v>0</v>
      </c>
      <c r="Y13" s="69" t="n">
        <f aca="false">IF(21&lt;='06_CONSTRUCTION'!$C$7,1,0)</f>
        <v>0</v>
      </c>
      <c r="Z13" s="69" t="n">
        <f aca="false">IF(22&lt;='06_CONSTRUCTION'!$C$7,1,0)</f>
        <v>0</v>
      </c>
      <c r="AA13" s="69" t="n">
        <f aca="false">IF(23&lt;='06_CONSTRUCTION'!$C$7,1,0)</f>
        <v>0</v>
      </c>
      <c r="AB13" s="69" t="n">
        <f aca="false">IF(24&lt;='06_CONSTRUCTION'!$C$7,1,0)</f>
        <v>0</v>
      </c>
      <c r="AC13" s="69" t="n">
        <f aca="false">IF(25&lt;='06_CONSTRUCTION'!$C$7,1,0)</f>
        <v>0</v>
      </c>
      <c r="AD13" s="69" t="n">
        <f aca="false">IF(26&lt;='06_CONSTRUCTION'!$C$7,1,0)</f>
        <v>0</v>
      </c>
      <c r="AE13" s="69" t="n">
        <f aca="false">IF(27&lt;='06_CONSTRUCTION'!$C$7,1,0)</f>
        <v>0</v>
      </c>
      <c r="AF13" s="69" t="n">
        <f aca="false">IF(28&lt;='06_CONSTRUCTION'!$C$7,1,0)</f>
        <v>0</v>
      </c>
      <c r="AG13" s="69" t="n">
        <f aca="false">IF(29&lt;='06_CONSTRUCTION'!$C$7,1,0)</f>
        <v>0</v>
      </c>
      <c r="AH13" s="69" t="n">
        <f aca="false">IF(30&lt;='06_CONSTRUCTION'!$C$7,1,0)</f>
        <v>0</v>
      </c>
      <c r="AI13" s="69" t="n">
        <f aca="false">IF(31&lt;='06_CONSTRUCTION'!$C$7,1,0)</f>
        <v>0</v>
      </c>
      <c r="AJ13" s="69" t="n">
        <f aca="false">IF(32&lt;='06_CONSTRUCTION'!$C$7,1,0)</f>
        <v>0</v>
      </c>
      <c r="AK13" s="69" t="n">
        <f aca="false">IF(33&lt;='06_CONSTRUCTION'!$C$7,1,0)</f>
        <v>0</v>
      </c>
      <c r="AL13" s="69" t="n">
        <f aca="false">IF(34&lt;='06_CONSTRUCTION'!$C$7,1,0)</f>
        <v>0</v>
      </c>
      <c r="AM13" s="69" t="n">
        <f aca="false">IF(35&lt;='06_CONSTRUCTION'!$C$7,1,0)</f>
        <v>0</v>
      </c>
      <c r="AN13" s="69" t="n">
        <f aca="false">IF(36&lt;='06_CONSTRUCTION'!$C$7,1,0)</f>
        <v>0</v>
      </c>
      <c r="AO13" s="69" t="n">
        <f aca="false">IF(37&lt;='06_CONSTRUCTION'!$C$7,1,0)</f>
        <v>0</v>
      </c>
      <c r="AP13" s="69" t="n">
        <f aca="false">IF(38&lt;='06_CONSTRUCTION'!$C$7,1,0)</f>
        <v>0</v>
      </c>
      <c r="AQ13" s="69" t="n">
        <f aca="false">IF(39&lt;='06_CONSTRUCTION'!$C$7,1,0)</f>
        <v>0</v>
      </c>
      <c r="AR13" s="69" t="n">
        <f aca="false">IF(40&lt;='06_CONSTRUCTION'!$C$7,1,0)</f>
        <v>0</v>
      </c>
    </row>
    <row r="14" customFormat="false" ht="15" hidden="false" customHeight="true" outlineLevel="0" collapsed="false">
      <c r="A14" s="23" t="s">
        <v>387</v>
      </c>
      <c r="B14" s="23" t="s">
        <v>386</v>
      </c>
      <c r="C14" s="69" t="n">
        <f aca="false">SUM('06_CONSTRUCTION'!$E$14:$AR$14)</f>
        <v>25</v>
      </c>
      <c r="E14" s="69" t="n">
        <f aca="false">IF(AND(1&gt;'06_CONSTRUCTION'!$C$7,1&lt;='06_CONSTRUCTION'!$C$7+'02_PROJECT_INPUTS'!$C$13),1,0)</f>
        <v>0</v>
      </c>
      <c r="F14" s="69" t="n">
        <f aca="false">IF(AND(2&gt;'06_CONSTRUCTION'!$C$7,2&lt;='06_CONSTRUCTION'!$C$7+'02_PROJECT_INPUTS'!$C$13),1,0)</f>
        <v>0</v>
      </c>
      <c r="G14" s="69" t="n">
        <f aca="false">IF(AND(3&gt;'06_CONSTRUCTION'!$C$7,3&lt;='06_CONSTRUCTION'!$C$7+'02_PROJECT_INPUTS'!$C$13),1,0)</f>
        <v>0</v>
      </c>
      <c r="H14" s="69" t="n">
        <f aca="false">IF(AND(4&gt;'06_CONSTRUCTION'!$C$7,4&lt;='06_CONSTRUCTION'!$C$7+'02_PROJECT_INPUTS'!$C$13),1,0)</f>
        <v>1</v>
      </c>
      <c r="I14" s="69" t="n">
        <f aca="false">IF(AND(5&gt;'06_CONSTRUCTION'!$C$7,5&lt;='06_CONSTRUCTION'!$C$7+'02_PROJECT_INPUTS'!$C$13),1,0)</f>
        <v>1</v>
      </c>
      <c r="J14" s="69" t="n">
        <f aca="false">IF(AND(6&gt;'06_CONSTRUCTION'!$C$7,6&lt;='06_CONSTRUCTION'!$C$7+'02_PROJECT_INPUTS'!$C$13),1,0)</f>
        <v>1</v>
      </c>
      <c r="K14" s="69" t="n">
        <f aca="false">IF(AND(7&gt;'06_CONSTRUCTION'!$C$7,7&lt;='06_CONSTRUCTION'!$C$7+'02_PROJECT_INPUTS'!$C$13),1,0)</f>
        <v>1</v>
      </c>
      <c r="L14" s="69" t="n">
        <f aca="false">IF(AND(8&gt;'06_CONSTRUCTION'!$C$7,8&lt;='06_CONSTRUCTION'!$C$7+'02_PROJECT_INPUTS'!$C$13),1,0)</f>
        <v>1</v>
      </c>
      <c r="M14" s="69" t="n">
        <f aca="false">IF(AND(9&gt;'06_CONSTRUCTION'!$C$7,9&lt;='06_CONSTRUCTION'!$C$7+'02_PROJECT_INPUTS'!$C$13),1,0)</f>
        <v>1</v>
      </c>
      <c r="N14" s="69" t="n">
        <f aca="false">IF(AND(10&gt;'06_CONSTRUCTION'!$C$7,10&lt;='06_CONSTRUCTION'!$C$7+'02_PROJECT_INPUTS'!$C$13),1,0)</f>
        <v>1</v>
      </c>
      <c r="O14" s="69" t="n">
        <f aca="false">IF(AND(11&gt;'06_CONSTRUCTION'!$C$7,11&lt;='06_CONSTRUCTION'!$C$7+'02_PROJECT_INPUTS'!$C$13),1,0)</f>
        <v>1</v>
      </c>
      <c r="P14" s="69" t="n">
        <f aca="false">IF(AND(12&gt;'06_CONSTRUCTION'!$C$7,12&lt;='06_CONSTRUCTION'!$C$7+'02_PROJECT_INPUTS'!$C$13),1,0)</f>
        <v>1</v>
      </c>
      <c r="Q14" s="69" t="n">
        <f aca="false">IF(AND(13&gt;'06_CONSTRUCTION'!$C$7,13&lt;='06_CONSTRUCTION'!$C$7+'02_PROJECT_INPUTS'!$C$13),1,0)</f>
        <v>1</v>
      </c>
      <c r="R14" s="69" t="n">
        <f aca="false">IF(AND(14&gt;'06_CONSTRUCTION'!$C$7,14&lt;='06_CONSTRUCTION'!$C$7+'02_PROJECT_INPUTS'!$C$13),1,0)</f>
        <v>1</v>
      </c>
      <c r="S14" s="69" t="n">
        <f aca="false">IF(AND(15&gt;'06_CONSTRUCTION'!$C$7,15&lt;='06_CONSTRUCTION'!$C$7+'02_PROJECT_INPUTS'!$C$13),1,0)</f>
        <v>1</v>
      </c>
      <c r="T14" s="69" t="n">
        <f aca="false">IF(AND(16&gt;'06_CONSTRUCTION'!$C$7,16&lt;='06_CONSTRUCTION'!$C$7+'02_PROJECT_INPUTS'!$C$13),1,0)</f>
        <v>1</v>
      </c>
      <c r="U14" s="69" t="n">
        <f aca="false">IF(AND(17&gt;'06_CONSTRUCTION'!$C$7,17&lt;='06_CONSTRUCTION'!$C$7+'02_PROJECT_INPUTS'!$C$13),1,0)</f>
        <v>1</v>
      </c>
      <c r="V14" s="69" t="n">
        <f aca="false">IF(AND(18&gt;'06_CONSTRUCTION'!$C$7,18&lt;='06_CONSTRUCTION'!$C$7+'02_PROJECT_INPUTS'!$C$13),1,0)</f>
        <v>1</v>
      </c>
      <c r="W14" s="69" t="n">
        <f aca="false">IF(AND(19&gt;'06_CONSTRUCTION'!$C$7,19&lt;='06_CONSTRUCTION'!$C$7+'02_PROJECT_INPUTS'!$C$13),1,0)</f>
        <v>1</v>
      </c>
      <c r="X14" s="69" t="n">
        <f aca="false">IF(AND(20&gt;'06_CONSTRUCTION'!$C$7,20&lt;='06_CONSTRUCTION'!$C$7+'02_PROJECT_INPUTS'!$C$13),1,0)</f>
        <v>1</v>
      </c>
      <c r="Y14" s="69" t="n">
        <f aca="false">IF(AND(21&gt;'06_CONSTRUCTION'!$C$7,21&lt;='06_CONSTRUCTION'!$C$7+'02_PROJECT_INPUTS'!$C$13),1,0)</f>
        <v>1</v>
      </c>
      <c r="Z14" s="69" t="n">
        <f aca="false">IF(AND(22&gt;'06_CONSTRUCTION'!$C$7,22&lt;='06_CONSTRUCTION'!$C$7+'02_PROJECT_INPUTS'!$C$13),1,0)</f>
        <v>1</v>
      </c>
      <c r="AA14" s="69" t="n">
        <f aca="false">IF(AND(23&gt;'06_CONSTRUCTION'!$C$7,23&lt;='06_CONSTRUCTION'!$C$7+'02_PROJECT_INPUTS'!$C$13),1,0)</f>
        <v>1</v>
      </c>
      <c r="AB14" s="69" t="n">
        <f aca="false">IF(AND(24&gt;'06_CONSTRUCTION'!$C$7,24&lt;='06_CONSTRUCTION'!$C$7+'02_PROJECT_INPUTS'!$C$13),1,0)</f>
        <v>1</v>
      </c>
      <c r="AC14" s="69" t="n">
        <f aca="false">IF(AND(25&gt;'06_CONSTRUCTION'!$C$7,25&lt;='06_CONSTRUCTION'!$C$7+'02_PROJECT_INPUTS'!$C$13),1,0)</f>
        <v>1</v>
      </c>
      <c r="AD14" s="69" t="n">
        <f aca="false">IF(AND(26&gt;'06_CONSTRUCTION'!$C$7,26&lt;='06_CONSTRUCTION'!$C$7+'02_PROJECT_INPUTS'!$C$13),1,0)</f>
        <v>1</v>
      </c>
      <c r="AE14" s="69" t="n">
        <f aca="false">IF(AND(27&gt;'06_CONSTRUCTION'!$C$7,27&lt;='06_CONSTRUCTION'!$C$7+'02_PROJECT_INPUTS'!$C$13),1,0)</f>
        <v>1</v>
      </c>
      <c r="AF14" s="69" t="n">
        <f aca="false">IF(AND(28&gt;'06_CONSTRUCTION'!$C$7,28&lt;='06_CONSTRUCTION'!$C$7+'02_PROJECT_INPUTS'!$C$13),1,0)</f>
        <v>1</v>
      </c>
      <c r="AG14" s="69" t="n">
        <f aca="false">IF(AND(29&gt;'06_CONSTRUCTION'!$C$7,29&lt;='06_CONSTRUCTION'!$C$7+'02_PROJECT_INPUTS'!$C$13),1,0)</f>
        <v>0</v>
      </c>
      <c r="AH14" s="69" t="n">
        <f aca="false">IF(AND(30&gt;'06_CONSTRUCTION'!$C$7,30&lt;='06_CONSTRUCTION'!$C$7+'02_PROJECT_INPUTS'!$C$13),1,0)</f>
        <v>0</v>
      </c>
      <c r="AI14" s="69" t="n">
        <f aca="false">IF(AND(31&gt;'06_CONSTRUCTION'!$C$7,31&lt;='06_CONSTRUCTION'!$C$7+'02_PROJECT_INPUTS'!$C$13),1,0)</f>
        <v>0</v>
      </c>
      <c r="AJ14" s="69" t="n">
        <f aca="false">IF(AND(32&gt;'06_CONSTRUCTION'!$C$7,32&lt;='06_CONSTRUCTION'!$C$7+'02_PROJECT_INPUTS'!$C$13),1,0)</f>
        <v>0</v>
      </c>
      <c r="AK14" s="69" t="n">
        <f aca="false">IF(AND(33&gt;'06_CONSTRUCTION'!$C$7,33&lt;='06_CONSTRUCTION'!$C$7+'02_PROJECT_INPUTS'!$C$13),1,0)</f>
        <v>0</v>
      </c>
      <c r="AL14" s="69" t="n">
        <f aca="false">IF(AND(34&gt;'06_CONSTRUCTION'!$C$7,34&lt;='06_CONSTRUCTION'!$C$7+'02_PROJECT_INPUTS'!$C$13),1,0)</f>
        <v>0</v>
      </c>
      <c r="AM14" s="69" t="n">
        <f aca="false">IF(AND(35&gt;'06_CONSTRUCTION'!$C$7,35&lt;='06_CONSTRUCTION'!$C$7+'02_PROJECT_INPUTS'!$C$13),1,0)</f>
        <v>0</v>
      </c>
      <c r="AN14" s="69" t="n">
        <f aca="false">IF(AND(36&gt;'06_CONSTRUCTION'!$C$7,36&lt;='06_CONSTRUCTION'!$C$7+'02_PROJECT_INPUTS'!$C$13),1,0)</f>
        <v>0</v>
      </c>
      <c r="AO14" s="69" t="n">
        <f aca="false">IF(AND(37&gt;'06_CONSTRUCTION'!$C$7,37&lt;='06_CONSTRUCTION'!$C$7+'02_PROJECT_INPUTS'!$C$13),1,0)</f>
        <v>0</v>
      </c>
      <c r="AP14" s="69" t="n">
        <f aca="false">IF(AND(38&gt;'06_CONSTRUCTION'!$C$7,38&lt;='06_CONSTRUCTION'!$C$7+'02_PROJECT_INPUTS'!$C$13),1,0)</f>
        <v>0</v>
      </c>
      <c r="AQ14" s="69" t="n">
        <f aca="false">IF(AND(39&gt;'06_CONSTRUCTION'!$C$7,39&lt;='06_CONSTRUCTION'!$C$7+'02_PROJECT_INPUTS'!$C$13),1,0)</f>
        <v>0</v>
      </c>
      <c r="AR14" s="69" t="n">
        <f aca="false">IF(AND(40&gt;'06_CONSTRUCTION'!$C$7,40&lt;='06_CONSTRUCTION'!$C$7+'02_PROJECT_INPUTS'!$C$13),1,0)</f>
        <v>0</v>
      </c>
    </row>
    <row r="15" customFormat="false" ht="15" hidden="false" customHeight="true" outlineLevel="0" collapsed="false">
      <c r="A15" s="23" t="s">
        <v>388</v>
      </c>
      <c r="B15" s="23" t="s">
        <v>386</v>
      </c>
      <c r="E15" s="69" t="n">
        <f aca="false">IF(1='06_CONSTRUCTION'!$C$7,1,0)</f>
        <v>0</v>
      </c>
      <c r="F15" s="69" t="n">
        <f aca="false">IF(2='06_CONSTRUCTION'!$C$7,1,0)</f>
        <v>0</v>
      </c>
      <c r="G15" s="69" t="n">
        <f aca="false">IF(3='06_CONSTRUCTION'!$C$7,1,0)</f>
        <v>1</v>
      </c>
      <c r="H15" s="69" t="n">
        <f aca="false">IF(4='06_CONSTRUCTION'!$C$7,1,0)</f>
        <v>0</v>
      </c>
      <c r="I15" s="69" t="n">
        <f aca="false">IF(5='06_CONSTRUCTION'!$C$7,1,0)</f>
        <v>0</v>
      </c>
      <c r="J15" s="69" t="n">
        <f aca="false">IF(6='06_CONSTRUCTION'!$C$7,1,0)</f>
        <v>0</v>
      </c>
      <c r="K15" s="69" t="n">
        <f aca="false">IF(7='06_CONSTRUCTION'!$C$7,1,0)</f>
        <v>0</v>
      </c>
      <c r="L15" s="69" t="n">
        <f aca="false">IF(8='06_CONSTRUCTION'!$C$7,1,0)</f>
        <v>0</v>
      </c>
      <c r="M15" s="69" t="n">
        <f aca="false">IF(9='06_CONSTRUCTION'!$C$7,1,0)</f>
        <v>0</v>
      </c>
      <c r="N15" s="69" t="n">
        <f aca="false">IF(10='06_CONSTRUCTION'!$C$7,1,0)</f>
        <v>0</v>
      </c>
      <c r="O15" s="69" t="n">
        <f aca="false">IF(11='06_CONSTRUCTION'!$C$7,1,0)</f>
        <v>0</v>
      </c>
      <c r="P15" s="69" t="n">
        <f aca="false">IF(12='06_CONSTRUCTION'!$C$7,1,0)</f>
        <v>0</v>
      </c>
      <c r="Q15" s="69" t="n">
        <f aca="false">IF(13='06_CONSTRUCTION'!$C$7,1,0)</f>
        <v>0</v>
      </c>
      <c r="R15" s="69" t="n">
        <f aca="false">IF(14='06_CONSTRUCTION'!$C$7,1,0)</f>
        <v>0</v>
      </c>
      <c r="S15" s="69" t="n">
        <f aca="false">IF(15='06_CONSTRUCTION'!$C$7,1,0)</f>
        <v>0</v>
      </c>
      <c r="T15" s="69" t="n">
        <f aca="false">IF(16='06_CONSTRUCTION'!$C$7,1,0)</f>
        <v>0</v>
      </c>
      <c r="U15" s="69" t="n">
        <f aca="false">IF(17='06_CONSTRUCTION'!$C$7,1,0)</f>
        <v>0</v>
      </c>
      <c r="V15" s="69" t="n">
        <f aca="false">IF(18='06_CONSTRUCTION'!$C$7,1,0)</f>
        <v>0</v>
      </c>
      <c r="W15" s="69" t="n">
        <f aca="false">IF(19='06_CONSTRUCTION'!$C$7,1,0)</f>
        <v>0</v>
      </c>
      <c r="X15" s="69" t="n">
        <f aca="false">IF(20='06_CONSTRUCTION'!$C$7,1,0)</f>
        <v>0</v>
      </c>
      <c r="Y15" s="69" t="n">
        <f aca="false">IF(21='06_CONSTRUCTION'!$C$7,1,0)</f>
        <v>0</v>
      </c>
      <c r="Z15" s="69" t="n">
        <f aca="false">IF(22='06_CONSTRUCTION'!$C$7,1,0)</f>
        <v>0</v>
      </c>
      <c r="AA15" s="69" t="n">
        <f aca="false">IF(23='06_CONSTRUCTION'!$C$7,1,0)</f>
        <v>0</v>
      </c>
      <c r="AB15" s="69" t="n">
        <f aca="false">IF(24='06_CONSTRUCTION'!$C$7,1,0)</f>
        <v>0</v>
      </c>
      <c r="AC15" s="69" t="n">
        <f aca="false">IF(25='06_CONSTRUCTION'!$C$7,1,0)</f>
        <v>0</v>
      </c>
      <c r="AD15" s="69" t="n">
        <f aca="false">IF(26='06_CONSTRUCTION'!$C$7,1,0)</f>
        <v>0</v>
      </c>
      <c r="AE15" s="69" t="n">
        <f aca="false">IF(27='06_CONSTRUCTION'!$C$7,1,0)</f>
        <v>0</v>
      </c>
      <c r="AF15" s="69" t="n">
        <f aca="false">IF(28='06_CONSTRUCTION'!$C$7,1,0)</f>
        <v>0</v>
      </c>
      <c r="AG15" s="69" t="n">
        <f aca="false">IF(29='06_CONSTRUCTION'!$C$7,1,0)</f>
        <v>0</v>
      </c>
      <c r="AH15" s="69" t="n">
        <f aca="false">IF(30='06_CONSTRUCTION'!$C$7,1,0)</f>
        <v>0</v>
      </c>
      <c r="AI15" s="69" t="n">
        <f aca="false">IF(31='06_CONSTRUCTION'!$C$7,1,0)</f>
        <v>0</v>
      </c>
      <c r="AJ15" s="69" t="n">
        <f aca="false">IF(32='06_CONSTRUCTION'!$C$7,1,0)</f>
        <v>0</v>
      </c>
      <c r="AK15" s="69" t="n">
        <f aca="false">IF(33='06_CONSTRUCTION'!$C$7,1,0)</f>
        <v>0</v>
      </c>
      <c r="AL15" s="69" t="n">
        <f aca="false">IF(34='06_CONSTRUCTION'!$C$7,1,0)</f>
        <v>0</v>
      </c>
      <c r="AM15" s="69" t="n">
        <f aca="false">IF(35='06_CONSTRUCTION'!$C$7,1,0)</f>
        <v>0</v>
      </c>
      <c r="AN15" s="69" t="n">
        <f aca="false">IF(36='06_CONSTRUCTION'!$C$7,1,0)</f>
        <v>0</v>
      </c>
      <c r="AO15" s="69" t="n">
        <f aca="false">IF(37='06_CONSTRUCTION'!$C$7,1,0)</f>
        <v>0</v>
      </c>
      <c r="AP15" s="69" t="n">
        <f aca="false">IF(38='06_CONSTRUCTION'!$C$7,1,0)</f>
        <v>0</v>
      </c>
      <c r="AQ15" s="69" t="n">
        <f aca="false">IF(39='06_CONSTRUCTION'!$C$7,1,0)</f>
        <v>0</v>
      </c>
      <c r="AR15" s="69" t="n">
        <f aca="false">IF(40='06_CONSTRUCTION'!$C$7,1,0)</f>
        <v>0</v>
      </c>
    </row>
    <row r="16" customFormat="false" ht="15" hidden="false" customHeight="true" outlineLevel="0" collapsed="false">
      <c r="A16" s="21" t="s">
        <v>389</v>
      </c>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row>
    <row r="17" customFormat="false" ht="15" hidden="false" customHeight="true" outlineLevel="0" collapsed="false">
      <c r="A17" s="23" t="s">
        <v>390</v>
      </c>
      <c r="B17" s="23" t="s">
        <v>119</v>
      </c>
      <c r="E17" s="63" t="n">
        <f aca="false">(1+'02_PROJECT_INPUTS'!$C$18)^('06_CONSTRUCTION'!E4-'02_PROJECT_INPUTS'!$C$11)</f>
        <v>1.02</v>
      </c>
      <c r="F17" s="63" t="n">
        <f aca="false">(1+'02_PROJECT_INPUTS'!$C$18)^('06_CONSTRUCTION'!F4-'02_PROJECT_INPUTS'!$C$11)</f>
        <v>1.0404</v>
      </c>
      <c r="G17" s="63" t="n">
        <f aca="false">(1+'02_PROJECT_INPUTS'!$C$18)^('06_CONSTRUCTION'!G4-'02_PROJECT_INPUTS'!$C$11)</f>
        <v>1.061208</v>
      </c>
      <c r="H17" s="63" t="n">
        <f aca="false">(1+'02_PROJECT_INPUTS'!$C$18)^('06_CONSTRUCTION'!H4-'02_PROJECT_INPUTS'!$C$11)</f>
        <v>1.08243216</v>
      </c>
      <c r="I17" s="63" t="n">
        <f aca="false">(1+'02_PROJECT_INPUTS'!$C$18)^('06_CONSTRUCTION'!I4-'02_PROJECT_INPUTS'!$C$11)</f>
        <v>1.1040808032</v>
      </c>
      <c r="J17" s="63" t="n">
        <f aca="false">(1+'02_PROJECT_INPUTS'!$C$18)^('06_CONSTRUCTION'!J4-'02_PROJECT_INPUTS'!$C$11)</f>
        <v>1.126162419264</v>
      </c>
      <c r="K17" s="63" t="n">
        <f aca="false">(1+'02_PROJECT_INPUTS'!$C$18)^('06_CONSTRUCTION'!K4-'02_PROJECT_INPUTS'!$C$11)</f>
        <v>1.14868566764928</v>
      </c>
      <c r="L17" s="63" t="n">
        <f aca="false">(1+'02_PROJECT_INPUTS'!$C$18)^('06_CONSTRUCTION'!L4-'02_PROJECT_INPUTS'!$C$11)</f>
        <v>1.17165938100227</v>
      </c>
      <c r="M17" s="63" t="n">
        <f aca="false">(1+'02_PROJECT_INPUTS'!$C$18)^('06_CONSTRUCTION'!M4-'02_PROJECT_INPUTS'!$C$11)</f>
        <v>1.19509256862231</v>
      </c>
      <c r="N17" s="63" t="n">
        <f aca="false">(1+'02_PROJECT_INPUTS'!$C$18)^('06_CONSTRUCTION'!N4-'02_PROJECT_INPUTS'!$C$11)</f>
        <v>1.21899441999476</v>
      </c>
      <c r="O17" s="63" t="n">
        <f aca="false">(1+'02_PROJECT_INPUTS'!$C$18)^('06_CONSTRUCTION'!O4-'02_PROJECT_INPUTS'!$C$11)</f>
        <v>1.24337430839465</v>
      </c>
      <c r="P17" s="63" t="n">
        <f aca="false">(1+'02_PROJECT_INPUTS'!$C$18)^('06_CONSTRUCTION'!P4-'02_PROJECT_INPUTS'!$C$11)</f>
        <v>1.26824179456255</v>
      </c>
      <c r="Q17" s="63" t="n">
        <f aca="false">(1+'02_PROJECT_INPUTS'!$C$18)^('06_CONSTRUCTION'!Q4-'02_PROJECT_INPUTS'!$C$11)</f>
        <v>1.2936066304538</v>
      </c>
      <c r="R17" s="63" t="n">
        <f aca="false">(1+'02_PROJECT_INPUTS'!$C$18)^('06_CONSTRUCTION'!R4-'02_PROJECT_INPUTS'!$C$11)</f>
        <v>1.31947876306287</v>
      </c>
      <c r="S17" s="63" t="n">
        <f aca="false">(1+'02_PROJECT_INPUTS'!$C$18)^('06_CONSTRUCTION'!S4-'02_PROJECT_INPUTS'!$C$11)</f>
        <v>1.34586833832413</v>
      </c>
      <c r="T17" s="63" t="n">
        <f aca="false">(1+'02_PROJECT_INPUTS'!$C$18)^('06_CONSTRUCTION'!T4-'02_PROJECT_INPUTS'!$C$11)</f>
        <v>1.37278570509061</v>
      </c>
      <c r="U17" s="63" t="n">
        <f aca="false">(1+'02_PROJECT_INPUTS'!$C$18)^('06_CONSTRUCTION'!U4-'02_PROJECT_INPUTS'!$C$11)</f>
        <v>1.40024141919242</v>
      </c>
      <c r="V17" s="63" t="n">
        <f aca="false">(1+'02_PROJECT_INPUTS'!$C$18)^('06_CONSTRUCTION'!V4-'02_PROJECT_INPUTS'!$C$11)</f>
        <v>1.42824624757627</v>
      </c>
      <c r="W17" s="63" t="n">
        <f aca="false">(1+'02_PROJECT_INPUTS'!$C$18)^('06_CONSTRUCTION'!W4-'02_PROJECT_INPUTS'!$C$11)</f>
        <v>1.4568111725278</v>
      </c>
      <c r="X17" s="63" t="n">
        <f aca="false">(1+'02_PROJECT_INPUTS'!$C$18)^('06_CONSTRUCTION'!X4-'02_PROJECT_INPUTS'!$C$11)</f>
        <v>1.48594739597836</v>
      </c>
      <c r="Y17" s="63" t="n">
        <f aca="false">(1+'02_PROJECT_INPUTS'!$C$18)^('06_CONSTRUCTION'!Y4-'02_PROJECT_INPUTS'!$C$11)</f>
        <v>1.51566634389792</v>
      </c>
      <c r="Z17" s="63" t="n">
        <f aca="false">(1+'02_PROJECT_INPUTS'!$C$18)^('06_CONSTRUCTION'!Z4-'02_PROJECT_INPUTS'!$C$11)</f>
        <v>1.54597967077588</v>
      </c>
      <c r="AA17" s="63" t="n">
        <f aca="false">(1+'02_PROJECT_INPUTS'!$C$18)^('06_CONSTRUCTION'!AA4-'02_PROJECT_INPUTS'!$C$11)</f>
        <v>1.5768992641914</v>
      </c>
      <c r="AB17" s="63" t="n">
        <f aca="false">(1+'02_PROJECT_INPUTS'!$C$18)^('06_CONSTRUCTION'!AB4-'02_PROJECT_INPUTS'!$C$11)</f>
        <v>1.60843724947523</v>
      </c>
      <c r="AC17" s="63" t="n">
        <f aca="false">(1+'02_PROJECT_INPUTS'!$C$18)^('06_CONSTRUCTION'!AC4-'02_PROJECT_INPUTS'!$C$11)</f>
        <v>1.64060599446473</v>
      </c>
      <c r="AD17" s="63" t="n">
        <f aca="false">(1+'02_PROJECT_INPUTS'!$C$18)^('06_CONSTRUCTION'!AD4-'02_PROJECT_INPUTS'!$C$11)</f>
        <v>1.67341811435403</v>
      </c>
      <c r="AE17" s="63" t="n">
        <f aca="false">(1+'02_PROJECT_INPUTS'!$C$18)^('06_CONSTRUCTION'!AE4-'02_PROJECT_INPUTS'!$C$11)</f>
        <v>1.70688647664111</v>
      </c>
      <c r="AF17" s="63" t="n">
        <f aca="false">(1+'02_PROJECT_INPUTS'!$C$18)^('06_CONSTRUCTION'!AF4-'02_PROJECT_INPUTS'!$C$11)</f>
        <v>1.74102420617393</v>
      </c>
      <c r="AG17" s="63" t="n">
        <f aca="false">(1+'02_PROJECT_INPUTS'!$C$18)^('06_CONSTRUCTION'!AG4-'02_PROJECT_INPUTS'!$C$11)</f>
        <v>1.77584469029741</v>
      </c>
      <c r="AH17" s="63" t="n">
        <f aca="false">(1+'02_PROJECT_INPUTS'!$C$18)^('06_CONSTRUCTION'!AH4-'02_PROJECT_INPUTS'!$C$11)</f>
        <v>1.81136158410335</v>
      </c>
      <c r="AI17" s="63" t="n">
        <f aca="false">(1+'02_PROJECT_INPUTS'!$C$18)^('06_CONSTRUCTION'!AI4-'02_PROJECT_INPUTS'!$C$11)</f>
        <v>1.84758881578542</v>
      </c>
      <c r="AJ17" s="63" t="n">
        <f aca="false">(1+'02_PROJECT_INPUTS'!$C$18)^('06_CONSTRUCTION'!AJ4-'02_PROJECT_INPUTS'!$C$11)</f>
        <v>1.88454059210113</v>
      </c>
      <c r="AK17" s="63" t="n">
        <f aca="false">(1+'02_PROJECT_INPUTS'!$C$18)^('06_CONSTRUCTION'!AK4-'02_PROJECT_INPUTS'!$C$11)</f>
        <v>1.92223140394315</v>
      </c>
      <c r="AL17" s="63" t="n">
        <f aca="false">(1+'02_PROJECT_INPUTS'!$C$18)^('06_CONSTRUCTION'!AL4-'02_PROJECT_INPUTS'!$C$11)</f>
        <v>1.96067603202202</v>
      </c>
      <c r="AM17" s="63" t="n">
        <f aca="false">(1+'02_PROJECT_INPUTS'!$C$18)^('06_CONSTRUCTION'!AM4-'02_PROJECT_INPUTS'!$C$11)</f>
        <v>1.99988955266246</v>
      </c>
      <c r="AN17" s="63" t="n">
        <f aca="false">(1+'02_PROJECT_INPUTS'!$C$18)^('06_CONSTRUCTION'!AN4-'02_PROJECT_INPUTS'!$C$11)</f>
        <v>2.03988734371571</v>
      </c>
      <c r="AO17" s="63" t="n">
        <f aca="false">(1+'02_PROJECT_INPUTS'!$C$18)^('06_CONSTRUCTION'!AO4-'02_PROJECT_INPUTS'!$C$11)</f>
        <v>2.08068509059002</v>
      </c>
      <c r="AP17" s="63" t="n">
        <f aca="false">(1+'02_PROJECT_INPUTS'!$C$18)^('06_CONSTRUCTION'!AP4-'02_PROJECT_INPUTS'!$C$11)</f>
        <v>2.12229879240182</v>
      </c>
      <c r="AQ17" s="63" t="n">
        <f aca="false">(1+'02_PROJECT_INPUTS'!$C$18)^('06_CONSTRUCTION'!AQ4-'02_PROJECT_INPUTS'!$C$11)</f>
        <v>2.16474476824986</v>
      </c>
      <c r="AR17" s="63" t="n">
        <f aca="false">(1+'02_PROJECT_INPUTS'!$C$18)^('06_CONSTRUCTION'!AR4-'02_PROJECT_INPUTS'!$C$11)</f>
        <v>2.20803966361485</v>
      </c>
    </row>
    <row r="18" customFormat="false" ht="15" hidden="false" customHeight="true" outlineLevel="0" collapsed="false">
      <c r="A18" s="23" t="s">
        <v>391</v>
      </c>
      <c r="B18" s="23" t="s">
        <v>119</v>
      </c>
      <c r="E18" s="63" t="n">
        <f aca="false">(1+'02_PROJECT_INPUTS'!$C$19)^('06_CONSTRUCTION'!E4-'02_PROJECT_INPUTS'!$C$11)</f>
        <v>1.08</v>
      </c>
      <c r="F18" s="63" t="n">
        <f aca="false">(1+'02_PROJECT_INPUTS'!$C$19)^('06_CONSTRUCTION'!F4-'02_PROJECT_INPUTS'!$C$11)</f>
        <v>1.1664</v>
      </c>
      <c r="G18" s="63" t="n">
        <f aca="false">(1+'02_PROJECT_INPUTS'!$C$19)^('06_CONSTRUCTION'!G4-'02_PROJECT_INPUTS'!$C$11)</f>
        <v>1.259712</v>
      </c>
      <c r="H18" s="63" t="n">
        <f aca="false">(1+'02_PROJECT_INPUTS'!$C$19)^('06_CONSTRUCTION'!H4-'02_PROJECT_INPUTS'!$C$11)</f>
        <v>1.36048896</v>
      </c>
      <c r="I18" s="63" t="n">
        <f aca="false">(1+'02_PROJECT_INPUTS'!$C$19)^('06_CONSTRUCTION'!I4-'02_PROJECT_INPUTS'!$C$11)</f>
        <v>1.4693280768</v>
      </c>
      <c r="J18" s="63" t="n">
        <f aca="false">(1+'02_PROJECT_INPUTS'!$C$19)^('06_CONSTRUCTION'!J4-'02_PROJECT_INPUTS'!$C$11)</f>
        <v>1.586874322944</v>
      </c>
      <c r="K18" s="63" t="n">
        <f aca="false">(1+'02_PROJECT_INPUTS'!$C$19)^('06_CONSTRUCTION'!K4-'02_PROJECT_INPUTS'!$C$11)</f>
        <v>1.71382426877952</v>
      </c>
      <c r="L18" s="63" t="n">
        <f aca="false">(1+'02_PROJECT_INPUTS'!$C$19)^('06_CONSTRUCTION'!L4-'02_PROJECT_INPUTS'!$C$11)</f>
        <v>1.85093021028188</v>
      </c>
      <c r="M18" s="63" t="n">
        <f aca="false">(1+'02_PROJECT_INPUTS'!$C$19)^('06_CONSTRUCTION'!M4-'02_PROJECT_INPUTS'!$C$11)</f>
        <v>1.99900462710443</v>
      </c>
      <c r="N18" s="63" t="n">
        <f aca="false">(1+'02_PROJECT_INPUTS'!$C$19)^('06_CONSTRUCTION'!N4-'02_PROJECT_INPUTS'!$C$11)</f>
        <v>2.15892499727279</v>
      </c>
      <c r="O18" s="63" t="n">
        <f aca="false">(1+'02_PROJECT_INPUTS'!$C$19)^('06_CONSTRUCTION'!O4-'02_PROJECT_INPUTS'!$C$11)</f>
        <v>2.33163899705461</v>
      </c>
      <c r="P18" s="63" t="n">
        <f aca="false">(1+'02_PROJECT_INPUTS'!$C$19)^('06_CONSTRUCTION'!P4-'02_PROJECT_INPUTS'!$C$11)</f>
        <v>2.51817011681898</v>
      </c>
      <c r="Q18" s="63" t="n">
        <f aca="false">(1+'02_PROJECT_INPUTS'!$C$19)^('06_CONSTRUCTION'!Q4-'02_PROJECT_INPUTS'!$C$11)</f>
        <v>2.7196237261645</v>
      </c>
      <c r="R18" s="63" t="n">
        <f aca="false">(1+'02_PROJECT_INPUTS'!$C$19)^('06_CONSTRUCTION'!R4-'02_PROJECT_INPUTS'!$C$11)</f>
        <v>2.93719362425766</v>
      </c>
      <c r="S18" s="63" t="n">
        <f aca="false">(1+'02_PROJECT_INPUTS'!$C$19)^('06_CONSTRUCTION'!S4-'02_PROJECT_INPUTS'!$C$11)</f>
        <v>3.17216911419827</v>
      </c>
      <c r="T18" s="63" t="n">
        <f aca="false">(1+'02_PROJECT_INPUTS'!$C$19)^('06_CONSTRUCTION'!T4-'02_PROJECT_INPUTS'!$C$11)</f>
        <v>3.42594264333413</v>
      </c>
      <c r="U18" s="63" t="n">
        <f aca="false">(1+'02_PROJECT_INPUTS'!$C$19)^('06_CONSTRUCTION'!U4-'02_PROJECT_INPUTS'!$C$11)</f>
        <v>3.70001805480087</v>
      </c>
      <c r="V18" s="63" t="n">
        <f aca="false">(1+'02_PROJECT_INPUTS'!$C$19)^('06_CONSTRUCTION'!V4-'02_PROJECT_INPUTS'!$C$11)</f>
        <v>3.99601949918493</v>
      </c>
      <c r="W18" s="63" t="n">
        <f aca="false">(1+'02_PROJECT_INPUTS'!$C$19)^('06_CONSTRUCTION'!W4-'02_PROJECT_INPUTS'!$C$11)</f>
        <v>4.31570105911973</v>
      </c>
      <c r="X18" s="63" t="n">
        <f aca="false">(1+'02_PROJECT_INPUTS'!$C$19)^('06_CONSTRUCTION'!X4-'02_PROJECT_INPUTS'!$C$11)</f>
        <v>4.66095714384931</v>
      </c>
      <c r="Y18" s="63" t="n">
        <f aca="false">(1+'02_PROJECT_INPUTS'!$C$19)^('06_CONSTRUCTION'!Y4-'02_PROJECT_INPUTS'!$C$11)</f>
        <v>5.03383371535725</v>
      </c>
      <c r="Z18" s="63" t="n">
        <f aca="false">(1+'02_PROJECT_INPUTS'!$C$19)^('06_CONSTRUCTION'!Z4-'02_PROJECT_INPUTS'!$C$11)</f>
        <v>5.43654041258583</v>
      </c>
      <c r="AA18" s="63" t="n">
        <f aca="false">(1+'02_PROJECT_INPUTS'!$C$19)^('06_CONSTRUCTION'!AA4-'02_PROJECT_INPUTS'!$C$11)</f>
        <v>5.8714636455927</v>
      </c>
      <c r="AB18" s="63" t="n">
        <f aca="false">(1+'02_PROJECT_INPUTS'!$C$19)^('06_CONSTRUCTION'!AB4-'02_PROJECT_INPUTS'!$C$11)</f>
        <v>6.34118073724012</v>
      </c>
      <c r="AC18" s="63" t="n">
        <f aca="false">(1+'02_PROJECT_INPUTS'!$C$19)^('06_CONSTRUCTION'!AC4-'02_PROJECT_INPUTS'!$C$11)</f>
        <v>6.84847519621933</v>
      </c>
      <c r="AD18" s="63" t="n">
        <f aca="false">(1+'02_PROJECT_INPUTS'!$C$19)^('06_CONSTRUCTION'!AD4-'02_PROJECT_INPUTS'!$C$11)</f>
        <v>7.39635321191687</v>
      </c>
      <c r="AE18" s="63" t="n">
        <f aca="false">(1+'02_PROJECT_INPUTS'!$C$19)^('06_CONSTRUCTION'!AE4-'02_PROJECT_INPUTS'!$C$11)</f>
        <v>7.98806146887022</v>
      </c>
      <c r="AF18" s="63" t="n">
        <f aca="false">(1+'02_PROJECT_INPUTS'!$C$19)^('06_CONSTRUCTION'!AF4-'02_PROJECT_INPUTS'!$C$11)</f>
        <v>8.62710638637984</v>
      </c>
      <c r="AG18" s="63" t="n">
        <f aca="false">(1+'02_PROJECT_INPUTS'!$C$19)^('06_CONSTRUCTION'!AG4-'02_PROJECT_INPUTS'!$C$11)</f>
        <v>9.31727489729023</v>
      </c>
      <c r="AH18" s="63" t="n">
        <f aca="false">(1+'02_PROJECT_INPUTS'!$C$19)^('06_CONSTRUCTION'!AH4-'02_PROJECT_INPUTS'!$C$11)</f>
        <v>10.0626568890735</v>
      </c>
      <c r="AI18" s="63" t="n">
        <f aca="false">(1+'02_PROJECT_INPUTS'!$C$19)^('06_CONSTRUCTION'!AI4-'02_PROJECT_INPUTS'!$C$11)</f>
        <v>10.8676694401993</v>
      </c>
      <c r="AJ18" s="63" t="n">
        <f aca="false">(1+'02_PROJECT_INPUTS'!$C$19)^('06_CONSTRUCTION'!AJ4-'02_PROJECT_INPUTS'!$C$11)</f>
        <v>11.7370829954153</v>
      </c>
      <c r="AK18" s="63" t="n">
        <f aca="false">(1+'02_PROJECT_INPUTS'!$C$19)^('06_CONSTRUCTION'!AK4-'02_PROJECT_INPUTS'!$C$11)</f>
        <v>12.6760496350485</v>
      </c>
      <c r="AL18" s="63" t="n">
        <f aca="false">(1+'02_PROJECT_INPUTS'!$C$19)^('06_CONSTRUCTION'!AL4-'02_PROJECT_INPUTS'!$C$11)</f>
        <v>13.6901336058524</v>
      </c>
      <c r="AM18" s="63" t="n">
        <f aca="false">(1+'02_PROJECT_INPUTS'!$C$19)^('06_CONSTRUCTION'!AM4-'02_PROJECT_INPUTS'!$C$11)</f>
        <v>14.7853442943206</v>
      </c>
      <c r="AN18" s="63" t="n">
        <f aca="false">(1+'02_PROJECT_INPUTS'!$C$19)^('06_CONSTRUCTION'!AN4-'02_PROJECT_INPUTS'!$C$11)</f>
        <v>15.9681718378662</v>
      </c>
      <c r="AO18" s="63" t="n">
        <f aca="false">(1+'02_PROJECT_INPUTS'!$C$19)^('06_CONSTRUCTION'!AO4-'02_PROJECT_INPUTS'!$C$11)</f>
        <v>17.2456255848955</v>
      </c>
      <c r="AP18" s="63" t="n">
        <f aca="false">(1+'02_PROJECT_INPUTS'!$C$19)^('06_CONSTRUCTION'!AP4-'02_PROJECT_INPUTS'!$C$11)</f>
        <v>18.6252756316872</v>
      </c>
      <c r="AQ18" s="63" t="n">
        <f aca="false">(1+'02_PROJECT_INPUTS'!$C$19)^('06_CONSTRUCTION'!AQ4-'02_PROJECT_INPUTS'!$C$11)</f>
        <v>20.1152976822221</v>
      </c>
      <c r="AR18" s="63" t="n">
        <f aca="false">(1+'02_PROJECT_INPUTS'!$C$19)^('06_CONSTRUCTION'!AR4-'02_PROJECT_INPUTS'!$C$11)</f>
        <v>21.7245214967999</v>
      </c>
    </row>
    <row r="19" customFormat="false" ht="15" hidden="false" customHeight="true" outlineLevel="0" collapsed="false">
      <c r="A19" s="23" t="s">
        <v>392</v>
      </c>
      <c r="B19" s="23" t="s">
        <v>240</v>
      </c>
      <c r="E19" s="41" t="n">
        <f aca="false">'02_PROJECT_INPUTS'!$C$20*(1+'27_SCENARIOS'!$C$34)^('06_CONSTRUCTION'!E4-'02_PROJECT_INPUTS'!$C$11)*IF('06_CONSTRUCTION'!E4&gt;='06_CONSTRUCTION'!$C$8,1+'27_SCENARIOS'!$C$35,1)</f>
        <v>21.2</v>
      </c>
      <c r="F19" s="41" t="n">
        <f aca="false">'02_PROJECT_INPUTS'!$C$20*(1+'27_SCENARIOS'!$C$34)^('06_CONSTRUCTION'!F4-'02_PROJECT_INPUTS'!$C$11)*IF('06_CONSTRUCTION'!F4&gt;='06_CONSTRUCTION'!$C$8,1+'27_SCENARIOS'!$C$35,1)</f>
        <v>22.472</v>
      </c>
      <c r="G19" s="41" t="n">
        <f aca="false">'02_PROJECT_INPUTS'!$C$20*(1+'27_SCENARIOS'!$C$34)^('06_CONSTRUCTION'!G4-'02_PROJECT_INPUTS'!$C$11)*IF('06_CONSTRUCTION'!G4&gt;='06_CONSTRUCTION'!$C$8,1+'27_SCENARIOS'!$C$35,1)</f>
        <v>23.82032</v>
      </c>
      <c r="H19" s="41" t="n">
        <f aca="false">'02_PROJECT_INPUTS'!$C$20*(1+'27_SCENARIOS'!$C$34)^('06_CONSTRUCTION'!H4-'02_PROJECT_INPUTS'!$C$11)*IF('06_CONSTRUCTION'!H4&gt;='06_CONSTRUCTION'!$C$8,1+'27_SCENARIOS'!$C$35,1)</f>
        <v>25.2495392</v>
      </c>
      <c r="I19" s="41" t="n">
        <f aca="false">'02_PROJECT_INPUTS'!$C$20*(1+'27_SCENARIOS'!$C$34)^('06_CONSTRUCTION'!I4-'02_PROJECT_INPUTS'!$C$11)*IF('06_CONSTRUCTION'!I4&gt;='06_CONSTRUCTION'!$C$8,1+'27_SCENARIOS'!$C$35,1)</f>
        <v>26.764511552</v>
      </c>
      <c r="J19" s="41" t="n">
        <f aca="false">'02_PROJECT_INPUTS'!$C$20*(1+'27_SCENARIOS'!$C$34)^('06_CONSTRUCTION'!J4-'02_PROJECT_INPUTS'!$C$11)*IF('06_CONSTRUCTION'!J4&gt;='06_CONSTRUCTION'!$C$8,1+'27_SCENARIOS'!$C$35,1)</f>
        <v>28.37038224512</v>
      </c>
      <c r="K19" s="41" t="n">
        <f aca="false">'02_PROJECT_INPUTS'!$C$20*(1+'27_SCENARIOS'!$C$34)^('06_CONSTRUCTION'!K4-'02_PROJECT_INPUTS'!$C$11)*IF('06_CONSTRUCTION'!K4&gt;='06_CONSTRUCTION'!$C$8,1+'27_SCENARIOS'!$C$35,1)</f>
        <v>30.0726051798272</v>
      </c>
      <c r="L19" s="41" t="n">
        <f aca="false">'02_PROJECT_INPUTS'!$C$20*(1+'27_SCENARIOS'!$C$34)^('06_CONSTRUCTION'!L4-'02_PROJECT_INPUTS'!$C$11)*IF('06_CONSTRUCTION'!L4&gt;='06_CONSTRUCTION'!$C$8,1+'27_SCENARIOS'!$C$35,1)</f>
        <v>31.8769614906168</v>
      </c>
      <c r="M19" s="41" t="n">
        <f aca="false">'02_PROJECT_INPUTS'!$C$20*(1+'27_SCENARIOS'!$C$34)^('06_CONSTRUCTION'!M4-'02_PROJECT_INPUTS'!$C$11)*IF('06_CONSTRUCTION'!M4&gt;='06_CONSTRUCTION'!$C$8,1+'27_SCENARIOS'!$C$35,1)</f>
        <v>33.7895791800539</v>
      </c>
      <c r="N19" s="41" t="n">
        <f aca="false">'02_PROJECT_INPUTS'!$C$20*(1+'27_SCENARIOS'!$C$34)^('06_CONSTRUCTION'!N4-'02_PROJECT_INPUTS'!$C$11)*IF('06_CONSTRUCTION'!N4&gt;='06_CONSTRUCTION'!$C$8,1+'27_SCENARIOS'!$C$35,1)</f>
        <v>35.8169539308571</v>
      </c>
      <c r="O19" s="41" t="n">
        <f aca="false">'02_PROJECT_INPUTS'!$C$20*(1+'27_SCENARIOS'!$C$34)^('06_CONSTRUCTION'!O4-'02_PROJECT_INPUTS'!$C$11)*IF('06_CONSTRUCTION'!O4&gt;='06_CONSTRUCTION'!$C$8,1+'27_SCENARIOS'!$C$35,1)</f>
        <v>37.9659711667085</v>
      </c>
      <c r="P19" s="41" t="n">
        <f aca="false">'02_PROJECT_INPUTS'!$C$20*(1+'27_SCENARIOS'!$C$34)^('06_CONSTRUCTION'!P4-'02_PROJECT_INPUTS'!$C$11)*IF('06_CONSTRUCTION'!P4&gt;='06_CONSTRUCTION'!$C$8,1+'27_SCENARIOS'!$C$35,1)</f>
        <v>40.243929436711</v>
      </c>
      <c r="Q19" s="41" t="n">
        <f aca="false">'02_PROJECT_INPUTS'!$C$20*(1+'27_SCENARIOS'!$C$34)^('06_CONSTRUCTION'!Q4-'02_PROJECT_INPUTS'!$C$11)*IF('06_CONSTRUCTION'!Q4&gt;='06_CONSTRUCTION'!$C$8,1+'27_SCENARIOS'!$C$35,1)</f>
        <v>42.6585652029137</v>
      </c>
      <c r="R19" s="41" t="n">
        <f aca="false">'02_PROJECT_INPUTS'!$C$20*(1+'27_SCENARIOS'!$C$34)^('06_CONSTRUCTION'!R4-'02_PROJECT_INPUTS'!$C$11)*IF('06_CONSTRUCTION'!R4&gt;='06_CONSTRUCTION'!$C$8,1+'27_SCENARIOS'!$C$35,1)</f>
        <v>45.2180791150885</v>
      </c>
      <c r="S19" s="41" t="n">
        <f aca="false">'02_PROJECT_INPUTS'!$C$20*(1+'27_SCENARIOS'!$C$34)^('06_CONSTRUCTION'!S4-'02_PROJECT_INPUTS'!$C$11)*IF('06_CONSTRUCTION'!S4&gt;='06_CONSTRUCTION'!$C$8,1+'27_SCENARIOS'!$C$35,1)</f>
        <v>47.9311638619938</v>
      </c>
      <c r="T19" s="41" t="n">
        <f aca="false">'02_PROJECT_INPUTS'!$C$20*(1+'27_SCENARIOS'!$C$34)^('06_CONSTRUCTION'!T4-'02_PROJECT_INPUTS'!$C$11)*IF('06_CONSTRUCTION'!T4&gt;='06_CONSTRUCTION'!$C$8,1+'27_SCENARIOS'!$C$35,1)</f>
        <v>50.8070336937135</v>
      </c>
      <c r="U19" s="41" t="n">
        <f aca="false">'02_PROJECT_INPUTS'!$C$20*(1+'27_SCENARIOS'!$C$34)^('06_CONSTRUCTION'!U4-'02_PROJECT_INPUTS'!$C$11)*IF('06_CONSTRUCTION'!U4&gt;='06_CONSTRUCTION'!$C$8,1+'27_SCENARIOS'!$C$35,1)</f>
        <v>53.8554557153363</v>
      </c>
      <c r="V19" s="41" t="n">
        <f aca="false">'02_PROJECT_INPUTS'!$C$20*(1+'27_SCENARIOS'!$C$34)^('06_CONSTRUCTION'!V4-'02_PROJECT_INPUTS'!$C$11)*IF('06_CONSTRUCTION'!V4&gt;='06_CONSTRUCTION'!$C$8,1+'27_SCENARIOS'!$C$35,1)</f>
        <v>57.0867830582565</v>
      </c>
      <c r="W19" s="41" t="n">
        <f aca="false">'02_PROJECT_INPUTS'!$C$20*(1+'27_SCENARIOS'!$C$34)^('06_CONSTRUCTION'!W4-'02_PROJECT_INPUTS'!$C$11)*IF('06_CONSTRUCTION'!W4&gt;='06_CONSTRUCTION'!$C$8,1+'27_SCENARIOS'!$C$35,1)</f>
        <v>60.5119900417518</v>
      </c>
      <c r="X19" s="41" t="n">
        <f aca="false">'02_PROJECT_INPUTS'!$C$20*(1+'27_SCENARIOS'!$C$34)^('06_CONSTRUCTION'!X4-'02_PROJECT_INPUTS'!$C$11)*IF('06_CONSTRUCTION'!X4&gt;='06_CONSTRUCTION'!$C$8,1+'27_SCENARIOS'!$C$35,1)</f>
        <v>64.142709444257</v>
      </c>
      <c r="Y19" s="41" t="n">
        <f aca="false">'02_PROJECT_INPUTS'!$C$20*(1+'27_SCENARIOS'!$C$34)^('06_CONSTRUCTION'!Y4-'02_PROJECT_INPUTS'!$C$11)*IF('06_CONSTRUCTION'!Y4&gt;='06_CONSTRUCTION'!$C$8,1+'27_SCENARIOS'!$C$35,1)</f>
        <v>67.9912720109124</v>
      </c>
      <c r="Z19" s="41" t="n">
        <f aca="false">'02_PROJECT_INPUTS'!$C$20*(1+'27_SCENARIOS'!$C$34)^('06_CONSTRUCTION'!Z4-'02_PROJECT_INPUTS'!$C$11)*IF('06_CONSTRUCTION'!Z4&gt;='06_CONSTRUCTION'!$C$8,1+'27_SCENARIOS'!$C$35,1)</f>
        <v>72.0707483315671</v>
      </c>
      <c r="AA19" s="41" t="n">
        <f aca="false">'02_PROJECT_INPUTS'!$C$20*(1+'27_SCENARIOS'!$C$34)^('06_CONSTRUCTION'!AA4-'02_PROJECT_INPUTS'!$C$11)*IF('06_CONSTRUCTION'!AA4&gt;='06_CONSTRUCTION'!$C$8,1+'27_SCENARIOS'!$C$35,1)</f>
        <v>76.3949932314612</v>
      </c>
      <c r="AB19" s="41" t="n">
        <f aca="false">'02_PROJECT_INPUTS'!$C$20*(1+'27_SCENARIOS'!$C$34)^('06_CONSTRUCTION'!AB4-'02_PROJECT_INPUTS'!$C$11)*IF('06_CONSTRUCTION'!AB4&gt;='06_CONSTRUCTION'!$C$8,1+'27_SCENARIOS'!$C$35,1)</f>
        <v>80.9786928253488</v>
      </c>
      <c r="AC19" s="41" t="n">
        <f aca="false">'02_PROJECT_INPUTS'!$C$20*(1+'27_SCENARIOS'!$C$34)^('06_CONSTRUCTION'!AC4-'02_PROJECT_INPUTS'!$C$11)*IF('06_CONSTRUCTION'!AC4&gt;='06_CONSTRUCTION'!$C$8,1+'27_SCENARIOS'!$C$35,1)</f>
        <v>85.8374143948698</v>
      </c>
      <c r="AD19" s="41" t="n">
        <f aca="false">'02_PROJECT_INPUTS'!$C$20*(1+'27_SCENARIOS'!$C$34)^('06_CONSTRUCTION'!AD4-'02_PROJECT_INPUTS'!$C$11)*IF('06_CONSTRUCTION'!AD4&gt;='06_CONSTRUCTION'!$C$8,1+'27_SCENARIOS'!$C$35,1)</f>
        <v>90.987659258562</v>
      </c>
      <c r="AE19" s="41" t="n">
        <f aca="false">'02_PROJECT_INPUTS'!$C$20*(1+'27_SCENARIOS'!$C$34)^('06_CONSTRUCTION'!AE4-'02_PROJECT_INPUTS'!$C$11)*IF('06_CONSTRUCTION'!AE4&gt;='06_CONSTRUCTION'!$C$8,1+'27_SCENARIOS'!$C$35,1)</f>
        <v>96.4469188140757</v>
      </c>
      <c r="AF19" s="41" t="n">
        <f aca="false">'02_PROJECT_INPUTS'!$C$20*(1+'27_SCENARIOS'!$C$34)^('06_CONSTRUCTION'!AF4-'02_PROJECT_INPUTS'!$C$11)*IF('06_CONSTRUCTION'!AF4&gt;='06_CONSTRUCTION'!$C$8,1+'27_SCENARIOS'!$C$35,1)</f>
        <v>102.23373394292</v>
      </c>
      <c r="AG19" s="41" t="n">
        <f aca="false">'02_PROJECT_INPUTS'!$C$20*(1+'27_SCENARIOS'!$C$34)^('06_CONSTRUCTION'!AG4-'02_PROJECT_INPUTS'!$C$11)*IF('06_CONSTRUCTION'!AG4&gt;='06_CONSTRUCTION'!$C$8,1+'27_SCENARIOS'!$C$35,1)</f>
        <v>108.367757979495</v>
      </c>
      <c r="AH19" s="41" t="n">
        <f aca="false">'02_PROJECT_INPUTS'!$C$20*(1+'27_SCENARIOS'!$C$34)^('06_CONSTRUCTION'!AH4-'02_PROJECT_INPUTS'!$C$11)*IF('06_CONSTRUCTION'!AH4&gt;='06_CONSTRUCTION'!$C$8,1+'27_SCENARIOS'!$C$35,1)</f>
        <v>114.869823458265</v>
      </c>
      <c r="AI19" s="41" t="n">
        <f aca="false">'02_PROJECT_INPUTS'!$C$20*(1+'27_SCENARIOS'!$C$34)^('06_CONSTRUCTION'!AI4-'02_PROJECT_INPUTS'!$C$11)*IF('06_CONSTRUCTION'!AI4&gt;='06_CONSTRUCTION'!$C$8,1+'27_SCENARIOS'!$C$35,1)</f>
        <v>121.762012865761</v>
      </c>
      <c r="AJ19" s="41" t="n">
        <f aca="false">'02_PROJECT_INPUTS'!$C$20*(1+'27_SCENARIOS'!$C$34)^('06_CONSTRUCTION'!AJ4-'02_PROJECT_INPUTS'!$C$11)*IF('06_CONSTRUCTION'!AJ4&gt;='06_CONSTRUCTION'!$C$8,1+'27_SCENARIOS'!$C$35,1)</f>
        <v>129.067733637707</v>
      </c>
      <c r="AK19" s="41" t="n">
        <f aca="false">'02_PROJECT_INPUTS'!$C$20*(1+'27_SCENARIOS'!$C$34)^('06_CONSTRUCTION'!AK4-'02_PROJECT_INPUTS'!$C$11)*IF('06_CONSTRUCTION'!AK4&gt;='06_CONSTRUCTION'!$C$8,1+'27_SCENARIOS'!$C$35,1)</f>
        <v>136.811797655969</v>
      </c>
      <c r="AL19" s="41" t="n">
        <f aca="false">'02_PROJECT_INPUTS'!$C$20*(1+'27_SCENARIOS'!$C$34)^('06_CONSTRUCTION'!AL4-'02_PROJECT_INPUTS'!$C$11)*IF('06_CONSTRUCTION'!AL4&gt;='06_CONSTRUCTION'!$C$8,1+'27_SCENARIOS'!$C$35,1)</f>
        <v>145.020505515327</v>
      </c>
      <c r="AM19" s="41" t="n">
        <f aca="false">'02_PROJECT_INPUTS'!$C$20*(1+'27_SCENARIOS'!$C$34)^('06_CONSTRUCTION'!AM4-'02_PROJECT_INPUTS'!$C$11)*IF('06_CONSTRUCTION'!AM4&gt;='06_CONSTRUCTION'!$C$8,1+'27_SCENARIOS'!$C$35,1)</f>
        <v>153.721735846247</v>
      </c>
      <c r="AN19" s="41" t="n">
        <f aca="false">'02_PROJECT_INPUTS'!$C$20*(1+'27_SCENARIOS'!$C$34)^('06_CONSTRUCTION'!AN4-'02_PROJECT_INPUTS'!$C$11)*IF('06_CONSTRUCTION'!AN4&gt;='06_CONSTRUCTION'!$C$8,1+'27_SCENARIOS'!$C$35,1)</f>
        <v>162.945039997022</v>
      </c>
      <c r="AO19" s="41" t="n">
        <f aca="false">'02_PROJECT_INPUTS'!$C$20*(1+'27_SCENARIOS'!$C$34)^('06_CONSTRUCTION'!AO4-'02_PROJECT_INPUTS'!$C$11)*IF('06_CONSTRUCTION'!AO4&gt;='06_CONSTRUCTION'!$C$8,1+'27_SCENARIOS'!$C$35,1)</f>
        <v>172.721742396843</v>
      </c>
      <c r="AP19" s="41" t="n">
        <f aca="false">'02_PROJECT_INPUTS'!$C$20*(1+'27_SCENARIOS'!$C$34)^('06_CONSTRUCTION'!AP4-'02_PROJECT_INPUTS'!$C$11)*IF('06_CONSTRUCTION'!AP4&gt;='06_CONSTRUCTION'!$C$8,1+'27_SCENARIOS'!$C$35,1)</f>
        <v>183.085046940654</v>
      </c>
      <c r="AQ19" s="41" t="n">
        <f aca="false">'02_PROJECT_INPUTS'!$C$20*(1+'27_SCENARIOS'!$C$34)^('06_CONSTRUCTION'!AQ4-'02_PROJECT_INPUTS'!$C$11)*IF('06_CONSTRUCTION'!AQ4&gt;='06_CONSTRUCTION'!$C$8,1+'27_SCENARIOS'!$C$35,1)</f>
        <v>194.070149757093</v>
      </c>
      <c r="AR19" s="41" t="n">
        <f aca="false">'02_PROJECT_INPUTS'!$C$20*(1+'27_SCENARIOS'!$C$34)^('06_CONSTRUCTION'!AR4-'02_PROJECT_INPUTS'!$C$11)*IF('06_CONSTRUCTION'!AR4&gt;='06_CONSTRUCTION'!$C$8,1+'27_SCENARIOS'!$C$35,1)</f>
        <v>205.714358742519</v>
      </c>
    </row>
    <row r="20" customFormat="false" ht="15" hidden="false" customHeight="true" outlineLevel="0" collapsed="false">
      <c r="A20" s="23" t="s">
        <v>393</v>
      </c>
      <c r="B20" s="23" t="s">
        <v>119</v>
      </c>
      <c r="E20" s="63" t="n">
        <f aca="false">'06_CONSTRUCTION'!E19/'02_PROJECT_INPUTS'!$C$20</f>
        <v>1.06</v>
      </c>
      <c r="F20" s="63" t="n">
        <f aca="false">'06_CONSTRUCTION'!F19/'02_PROJECT_INPUTS'!$C$20</f>
        <v>1.1236</v>
      </c>
      <c r="G20" s="63" t="n">
        <f aca="false">'06_CONSTRUCTION'!G19/'02_PROJECT_INPUTS'!$C$20</f>
        <v>1.191016</v>
      </c>
      <c r="H20" s="63" t="n">
        <f aca="false">'06_CONSTRUCTION'!H19/'02_PROJECT_INPUTS'!$C$20</f>
        <v>1.26247696</v>
      </c>
      <c r="I20" s="63" t="n">
        <f aca="false">'06_CONSTRUCTION'!I19/'02_PROJECT_INPUTS'!$C$20</f>
        <v>1.3382255776</v>
      </c>
      <c r="J20" s="63" t="n">
        <f aca="false">'06_CONSTRUCTION'!J19/'02_PROJECT_INPUTS'!$C$20</f>
        <v>1.418519112256</v>
      </c>
      <c r="K20" s="63" t="n">
        <f aca="false">'06_CONSTRUCTION'!K19/'02_PROJECT_INPUTS'!$C$20</f>
        <v>1.50363025899136</v>
      </c>
      <c r="L20" s="63" t="n">
        <f aca="false">'06_CONSTRUCTION'!L19/'02_PROJECT_INPUTS'!$C$20</f>
        <v>1.59384807453084</v>
      </c>
      <c r="M20" s="63" t="n">
        <f aca="false">'06_CONSTRUCTION'!M19/'02_PROJECT_INPUTS'!$C$20</f>
        <v>1.68947895900269</v>
      </c>
      <c r="N20" s="63" t="n">
        <f aca="false">'06_CONSTRUCTION'!N19/'02_PROJECT_INPUTS'!$C$20</f>
        <v>1.79084769654285</v>
      </c>
      <c r="O20" s="63" t="n">
        <f aca="false">'06_CONSTRUCTION'!O19/'02_PROJECT_INPUTS'!$C$20</f>
        <v>1.89829855833543</v>
      </c>
      <c r="P20" s="63" t="n">
        <f aca="false">'06_CONSTRUCTION'!P19/'02_PROJECT_INPUTS'!$C$20</f>
        <v>2.01219647183555</v>
      </c>
      <c r="Q20" s="63" t="n">
        <f aca="false">'06_CONSTRUCTION'!Q19/'02_PROJECT_INPUTS'!$C$20</f>
        <v>2.13292826014568</v>
      </c>
      <c r="R20" s="63" t="n">
        <f aca="false">'06_CONSTRUCTION'!R19/'02_PROJECT_INPUTS'!$C$20</f>
        <v>2.26090395575443</v>
      </c>
      <c r="S20" s="63" t="n">
        <f aca="false">'06_CONSTRUCTION'!S19/'02_PROJECT_INPUTS'!$C$20</f>
        <v>2.39655819309969</v>
      </c>
      <c r="T20" s="63" t="n">
        <f aca="false">'06_CONSTRUCTION'!T19/'02_PROJECT_INPUTS'!$C$20</f>
        <v>2.54035168468567</v>
      </c>
      <c r="U20" s="63" t="n">
        <f aca="false">'06_CONSTRUCTION'!U19/'02_PROJECT_INPUTS'!$C$20</f>
        <v>2.69277278576681</v>
      </c>
      <c r="V20" s="63" t="n">
        <f aca="false">'06_CONSTRUCTION'!V19/'02_PROJECT_INPUTS'!$C$20</f>
        <v>2.85433915291282</v>
      </c>
      <c r="W20" s="63" t="n">
        <f aca="false">'06_CONSTRUCTION'!W19/'02_PROJECT_INPUTS'!$C$20</f>
        <v>3.02559950208759</v>
      </c>
      <c r="X20" s="63" t="n">
        <f aca="false">'06_CONSTRUCTION'!X19/'02_PROJECT_INPUTS'!$C$20</f>
        <v>3.20713547221285</v>
      </c>
      <c r="Y20" s="63" t="n">
        <f aca="false">'06_CONSTRUCTION'!Y19/'02_PROJECT_INPUTS'!$C$20</f>
        <v>3.39956360054562</v>
      </c>
      <c r="Z20" s="63" t="n">
        <f aca="false">'06_CONSTRUCTION'!Z19/'02_PROJECT_INPUTS'!$C$20</f>
        <v>3.60353741657836</v>
      </c>
      <c r="AA20" s="63" t="n">
        <f aca="false">'06_CONSTRUCTION'!AA19/'02_PROJECT_INPUTS'!$C$20</f>
        <v>3.81974966157306</v>
      </c>
      <c r="AB20" s="63" t="n">
        <f aca="false">'06_CONSTRUCTION'!AB19/'02_PROJECT_INPUTS'!$C$20</f>
        <v>4.04893464126744</v>
      </c>
      <c r="AC20" s="63" t="n">
        <f aca="false">'06_CONSTRUCTION'!AC19/'02_PROJECT_INPUTS'!$C$20</f>
        <v>4.29187071974349</v>
      </c>
      <c r="AD20" s="63" t="n">
        <f aca="false">'06_CONSTRUCTION'!AD19/'02_PROJECT_INPUTS'!$C$20</f>
        <v>4.5493829629281</v>
      </c>
      <c r="AE20" s="63" t="n">
        <f aca="false">'06_CONSTRUCTION'!AE19/'02_PROJECT_INPUTS'!$C$20</f>
        <v>4.82234594070378</v>
      </c>
      <c r="AF20" s="63" t="n">
        <f aca="false">'06_CONSTRUCTION'!AF19/'02_PROJECT_INPUTS'!$C$20</f>
        <v>5.11168669714601</v>
      </c>
      <c r="AG20" s="63" t="n">
        <f aca="false">'06_CONSTRUCTION'!AG19/'02_PROJECT_INPUTS'!$C$20</f>
        <v>5.41838789897477</v>
      </c>
      <c r="AH20" s="63" t="n">
        <f aca="false">'06_CONSTRUCTION'!AH19/'02_PROJECT_INPUTS'!$C$20</f>
        <v>5.74349117291326</v>
      </c>
      <c r="AI20" s="63" t="n">
        <f aca="false">'06_CONSTRUCTION'!AI19/'02_PROJECT_INPUTS'!$C$20</f>
        <v>6.08810064328806</v>
      </c>
      <c r="AJ20" s="63" t="n">
        <f aca="false">'06_CONSTRUCTION'!AJ19/'02_PROJECT_INPUTS'!$C$20</f>
        <v>6.45338668188534</v>
      </c>
      <c r="AK20" s="63" t="n">
        <f aca="false">'06_CONSTRUCTION'!AK19/'02_PROJECT_INPUTS'!$C$20</f>
        <v>6.84058988279846</v>
      </c>
      <c r="AL20" s="63" t="n">
        <f aca="false">'06_CONSTRUCTION'!AL19/'02_PROJECT_INPUTS'!$C$20</f>
        <v>7.25102527576637</v>
      </c>
      <c r="AM20" s="63" t="n">
        <f aca="false">'06_CONSTRUCTION'!AM19/'02_PROJECT_INPUTS'!$C$20</f>
        <v>7.68608679231235</v>
      </c>
      <c r="AN20" s="63" t="n">
        <f aca="false">'06_CONSTRUCTION'!AN19/'02_PROJECT_INPUTS'!$C$20</f>
        <v>8.14725199985109</v>
      </c>
      <c r="AO20" s="63" t="n">
        <f aca="false">'06_CONSTRUCTION'!AO19/'02_PROJECT_INPUTS'!$C$20</f>
        <v>8.63608711984216</v>
      </c>
      <c r="AP20" s="63" t="n">
        <f aca="false">'06_CONSTRUCTION'!AP19/'02_PROJECT_INPUTS'!$C$20</f>
        <v>9.15425234703269</v>
      </c>
      <c r="AQ20" s="63" t="n">
        <f aca="false">'06_CONSTRUCTION'!AQ19/'02_PROJECT_INPUTS'!$C$20</f>
        <v>9.70350748785465</v>
      </c>
      <c r="AR20" s="63" t="n">
        <f aca="false">'06_CONSTRUCTION'!AR19/'02_PROJECT_INPUTS'!$C$20</f>
        <v>10.2857179371259</v>
      </c>
    </row>
    <row r="21" customFormat="false" ht="15" hidden="false" customHeight="true" outlineLevel="0" collapsed="false">
      <c r="A21" s="23" t="s">
        <v>394</v>
      </c>
      <c r="B21" s="23" t="s">
        <v>119</v>
      </c>
      <c r="E21" s="63" t="n">
        <f aca="false">(1+'02_PROJECT_INPUTS'!$C$22)^('06_CONSTRUCTION'!E4-'02_PROJECT_INPUTS'!$C$11)</f>
        <v>1.025</v>
      </c>
      <c r="F21" s="63" t="n">
        <f aca="false">(1+'02_PROJECT_INPUTS'!$C$22)^('06_CONSTRUCTION'!F4-'02_PROJECT_INPUTS'!$C$11)</f>
        <v>1.050625</v>
      </c>
      <c r="G21" s="63" t="n">
        <f aca="false">(1+'02_PROJECT_INPUTS'!$C$22)^('06_CONSTRUCTION'!G4-'02_PROJECT_INPUTS'!$C$11)</f>
        <v>1.076890625</v>
      </c>
      <c r="H21" s="63" t="n">
        <f aca="false">(1+'02_PROJECT_INPUTS'!$C$22)^('06_CONSTRUCTION'!H4-'02_PROJECT_INPUTS'!$C$11)</f>
        <v>1.103812890625</v>
      </c>
      <c r="I21" s="63" t="n">
        <f aca="false">(1+'02_PROJECT_INPUTS'!$C$22)^('06_CONSTRUCTION'!I4-'02_PROJECT_INPUTS'!$C$11)</f>
        <v>1.13140821289062</v>
      </c>
      <c r="J21" s="63" t="n">
        <f aca="false">(1+'02_PROJECT_INPUTS'!$C$22)^('06_CONSTRUCTION'!J4-'02_PROJECT_INPUTS'!$C$11)</f>
        <v>1.15969341821289</v>
      </c>
      <c r="K21" s="63" t="n">
        <f aca="false">(1+'02_PROJECT_INPUTS'!$C$22)^('06_CONSTRUCTION'!K4-'02_PROJECT_INPUTS'!$C$11)</f>
        <v>1.18868575366821</v>
      </c>
      <c r="L21" s="63" t="n">
        <f aca="false">(1+'02_PROJECT_INPUTS'!$C$22)^('06_CONSTRUCTION'!L4-'02_PROJECT_INPUTS'!$C$11)</f>
        <v>1.21840289750992</v>
      </c>
      <c r="M21" s="63" t="n">
        <f aca="false">(1+'02_PROJECT_INPUTS'!$C$22)^('06_CONSTRUCTION'!M4-'02_PROJECT_INPUTS'!$C$11)</f>
        <v>1.24886296994767</v>
      </c>
      <c r="N21" s="63" t="n">
        <f aca="false">(1+'02_PROJECT_INPUTS'!$C$22)^('06_CONSTRUCTION'!N4-'02_PROJECT_INPUTS'!$C$11)</f>
        <v>1.28008454419636</v>
      </c>
      <c r="O21" s="63" t="n">
        <f aca="false">(1+'02_PROJECT_INPUTS'!$C$22)^('06_CONSTRUCTION'!O4-'02_PROJECT_INPUTS'!$C$11)</f>
        <v>1.31208665780127</v>
      </c>
      <c r="P21" s="63" t="n">
        <f aca="false">(1+'02_PROJECT_INPUTS'!$C$22)^('06_CONSTRUCTION'!P4-'02_PROJECT_INPUTS'!$C$11)</f>
        <v>1.3448888242463</v>
      </c>
      <c r="Q21" s="63" t="n">
        <f aca="false">(1+'02_PROJECT_INPUTS'!$C$22)^('06_CONSTRUCTION'!Q4-'02_PROJECT_INPUTS'!$C$11)</f>
        <v>1.37851104485245</v>
      </c>
      <c r="R21" s="63" t="n">
        <f aca="false">(1+'02_PROJECT_INPUTS'!$C$22)^('06_CONSTRUCTION'!R4-'02_PROJECT_INPUTS'!$C$11)</f>
        <v>1.41297382097377</v>
      </c>
      <c r="S21" s="63" t="n">
        <f aca="false">(1+'02_PROJECT_INPUTS'!$C$22)^('06_CONSTRUCTION'!S4-'02_PROJECT_INPUTS'!$C$11)</f>
        <v>1.44829816649811</v>
      </c>
      <c r="T21" s="63" t="n">
        <f aca="false">(1+'02_PROJECT_INPUTS'!$C$22)^('06_CONSTRUCTION'!T4-'02_PROJECT_INPUTS'!$C$11)</f>
        <v>1.48450562066056</v>
      </c>
      <c r="U21" s="63" t="n">
        <f aca="false">(1+'02_PROJECT_INPUTS'!$C$22)^('06_CONSTRUCTION'!U4-'02_PROJECT_INPUTS'!$C$11)</f>
        <v>1.52161826117708</v>
      </c>
      <c r="V21" s="63" t="n">
        <f aca="false">(1+'02_PROJECT_INPUTS'!$C$22)^('06_CONSTRUCTION'!V4-'02_PROJECT_INPUTS'!$C$11)</f>
        <v>1.5596587177065</v>
      </c>
      <c r="W21" s="63" t="n">
        <f aca="false">(1+'02_PROJECT_INPUTS'!$C$22)^('06_CONSTRUCTION'!W4-'02_PROJECT_INPUTS'!$C$11)</f>
        <v>1.59865018564917</v>
      </c>
      <c r="X21" s="63" t="n">
        <f aca="false">(1+'02_PROJECT_INPUTS'!$C$22)^('06_CONSTRUCTION'!X4-'02_PROJECT_INPUTS'!$C$11)</f>
        <v>1.63861644029039</v>
      </c>
      <c r="Y21" s="63" t="n">
        <f aca="false">(1+'02_PROJECT_INPUTS'!$C$22)^('06_CONSTRUCTION'!Y4-'02_PROJECT_INPUTS'!$C$11)</f>
        <v>1.67958185129765</v>
      </c>
      <c r="Z21" s="63" t="n">
        <f aca="false">(1+'02_PROJECT_INPUTS'!$C$22)^('06_CONSTRUCTION'!Z4-'02_PROJECT_INPUTS'!$C$11)</f>
        <v>1.7215713975801</v>
      </c>
      <c r="AA21" s="63" t="n">
        <f aca="false">(1+'02_PROJECT_INPUTS'!$C$22)^('06_CONSTRUCTION'!AA4-'02_PROJECT_INPUTS'!$C$11)</f>
        <v>1.7646106825196</v>
      </c>
      <c r="AB21" s="63" t="n">
        <f aca="false">(1+'02_PROJECT_INPUTS'!$C$22)^('06_CONSTRUCTION'!AB4-'02_PROJECT_INPUTS'!$C$11)</f>
        <v>1.80872594958259</v>
      </c>
      <c r="AC21" s="63" t="n">
        <f aca="false">(1+'02_PROJECT_INPUTS'!$C$22)^('06_CONSTRUCTION'!AC4-'02_PROJECT_INPUTS'!$C$11)</f>
        <v>1.85394409832215</v>
      </c>
      <c r="AD21" s="63" t="n">
        <f aca="false">(1+'02_PROJECT_INPUTS'!$C$22)^('06_CONSTRUCTION'!AD4-'02_PROJECT_INPUTS'!$C$11)</f>
        <v>1.90029270078021</v>
      </c>
      <c r="AE21" s="63" t="n">
        <f aca="false">(1+'02_PROJECT_INPUTS'!$C$22)^('06_CONSTRUCTION'!AE4-'02_PROJECT_INPUTS'!$C$11)</f>
        <v>1.94780001829971</v>
      </c>
      <c r="AF21" s="63" t="n">
        <f aca="false">(1+'02_PROJECT_INPUTS'!$C$22)^('06_CONSTRUCTION'!AF4-'02_PROJECT_INPUTS'!$C$11)</f>
        <v>1.9964950187572</v>
      </c>
      <c r="AG21" s="63" t="n">
        <f aca="false">(1+'02_PROJECT_INPUTS'!$C$22)^('06_CONSTRUCTION'!AG4-'02_PROJECT_INPUTS'!$C$11)</f>
        <v>2.04640739422613</v>
      </c>
      <c r="AH21" s="63" t="n">
        <f aca="false">(1+'02_PROJECT_INPUTS'!$C$22)^('06_CONSTRUCTION'!AH4-'02_PROJECT_INPUTS'!$C$11)</f>
        <v>2.09756757908179</v>
      </c>
      <c r="AI21" s="63" t="n">
        <f aca="false">(1+'02_PROJECT_INPUTS'!$C$22)^('06_CONSTRUCTION'!AI4-'02_PROJECT_INPUTS'!$C$11)</f>
        <v>2.15000676855883</v>
      </c>
      <c r="AJ21" s="63" t="n">
        <f aca="false">(1+'02_PROJECT_INPUTS'!$C$22)^('06_CONSTRUCTION'!AJ4-'02_PROJECT_INPUTS'!$C$11)</f>
        <v>2.2037569377728</v>
      </c>
      <c r="AK21" s="63" t="n">
        <f aca="false">(1+'02_PROJECT_INPUTS'!$C$22)^('06_CONSTRUCTION'!AK4-'02_PROJECT_INPUTS'!$C$11)</f>
        <v>2.25885086121712</v>
      </c>
      <c r="AL21" s="63" t="n">
        <f aca="false">(1+'02_PROJECT_INPUTS'!$C$22)^('06_CONSTRUCTION'!AL4-'02_PROJECT_INPUTS'!$C$11)</f>
        <v>2.31532213274755</v>
      </c>
      <c r="AM21" s="63" t="n">
        <f aca="false">(1+'02_PROJECT_INPUTS'!$C$22)^('06_CONSTRUCTION'!AM4-'02_PROJECT_INPUTS'!$C$11)</f>
        <v>2.37320518606624</v>
      </c>
      <c r="AN21" s="63" t="n">
        <f aca="false">(1+'02_PROJECT_INPUTS'!$C$22)^('06_CONSTRUCTION'!AN4-'02_PROJECT_INPUTS'!$C$11)</f>
        <v>2.43253531571789</v>
      </c>
      <c r="AO21" s="63" t="n">
        <f aca="false">(1+'02_PROJECT_INPUTS'!$C$22)^('06_CONSTRUCTION'!AO4-'02_PROJECT_INPUTS'!$C$11)</f>
        <v>2.49334869861084</v>
      </c>
      <c r="AP21" s="63" t="n">
        <f aca="false">(1+'02_PROJECT_INPUTS'!$C$22)^('06_CONSTRUCTION'!AP4-'02_PROJECT_INPUTS'!$C$11)</f>
        <v>2.55568241607611</v>
      </c>
      <c r="AQ21" s="63" t="n">
        <f aca="false">(1+'02_PROJECT_INPUTS'!$C$22)^('06_CONSTRUCTION'!AQ4-'02_PROJECT_INPUTS'!$C$11)</f>
        <v>2.61957447647801</v>
      </c>
      <c r="AR21" s="63" t="n">
        <f aca="false">(1+'02_PROJECT_INPUTS'!$C$22)^('06_CONSTRUCTION'!AR4-'02_PROJECT_INPUTS'!$C$11)</f>
        <v>2.68506383838996</v>
      </c>
    </row>
    <row r="22" customFormat="false" ht="15" hidden="false" customHeight="true" outlineLevel="0" collapsed="false">
      <c r="A22" s="21" t="s">
        <v>395</v>
      </c>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row>
    <row r="23" customFormat="false" ht="15" hidden="false" customHeight="true" outlineLevel="0" collapsed="false">
      <c r="A23" s="23" t="s">
        <v>396</v>
      </c>
      <c r="B23" s="23" t="s">
        <v>93</v>
      </c>
      <c r="C23" s="43" t="n">
        <f aca="false">SUM('06_CONSTRUCTION'!$E$23:$AR$23)</f>
        <v>1</v>
      </c>
      <c r="E23" s="43" t="n">
        <f aca="false">IF('06_CONSTRUCTION'!E13=1,SIN(PI()*(1-0.5)/'06_CONSTRUCTION'!$C$7)*SIN(PI()/(2*'06_CONSTRUCTION'!$C$7)),0)</f>
        <v>0.25</v>
      </c>
      <c r="F23" s="43" t="n">
        <f aca="false">IF('06_CONSTRUCTION'!F13=1,SIN(PI()*(2-0.5)/'06_CONSTRUCTION'!$C$7)*SIN(PI()/(2*'06_CONSTRUCTION'!$C$7)),0)</f>
        <v>0.5</v>
      </c>
      <c r="G23" s="43" t="n">
        <f aca="false">IF('06_CONSTRUCTION'!G13=1,SIN(PI()*(3-0.5)/'06_CONSTRUCTION'!$C$7)*SIN(PI()/(2*'06_CONSTRUCTION'!$C$7)),0)</f>
        <v>0.25</v>
      </c>
      <c r="H23" s="43" t="n">
        <f aca="false">IF('06_CONSTRUCTION'!H13=1,SIN(PI()*(4-0.5)/'06_CONSTRUCTION'!$C$7)*SIN(PI()/(2*'06_CONSTRUCTION'!$C$7)),0)</f>
        <v>0</v>
      </c>
      <c r="I23" s="43" t="n">
        <f aca="false">IF('06_CONSTRUCTION'!I13=1,SIN(PI()*(5-0.5)/'06_CONSTRUCTION'!$C$7)*SIN(PI()/(2*'06_CONSTRUCTION'!$C$7)),0)</f>
        <v>0</v>
      </c>
      <c r="J23" s="43" t="n">
        <f aca="false">IF('06_CONSTRUCTION'!J13=1,SIN(PI()*(6-0.5)/'06_CONSTRUCTION'!$C$7)*SIN(PI()/(2*'06_CONSTRUCTION'!$C$7)),0)</f>
        <v>0</v>
      </c>
      <c r="K23" s="43" t="n">
        <f aca="false">IF('06_CONSTRUCTION'!K13=1,SIN(PI()*(7-0.5)/'06_CONSTRUCTION'!$C$7)*SIN(PI()/(2*'06_CONSTRUCTION'!$C$7)),0)</f>
        <v>0</v>
      </c>
      <c r="L23" s="43" t="n">
        <f aca="false">IF('06_CONSTRUCTION'!L13=1,SIN(PI()*(8-0.5)/'06_CONSTRUCTION'!$C$7)*SIN(PI()/(2*'06_CONSTRUCTION'!$C$7)),0)</f>
        <v>0</v>
      </c>
      <c r="M23" s="43" t="n">
        <f aca="false">IF('06_CONSTRUCTION'!M13=1,SIN(PI()*(9-0.5)/'06_CONSTRUCTION'!$C$7)*SIN(PI()/(2*'06_CONSTRUCTION'!$C$7)),0)</f>
        <v>0</v>
      </c>
      <c r="N23" s="43" t="n">
        <f aca="false">IF('06_CONSTRUCTION'!N13=1,SIN(PI()*(10-0.5)/'06_CONSTRUCTION'!$C$7)*SIN(PI()/(2*'06_CONSTRUCTION'!$C$7)),0)</f>
        <v>0</v>
      </c>
      <c r="O23" s="43" t="n">
        <f aca="false">IF('06_CONSTRUCTION'!O13=1,SIN(PI()*(11-0.5)/'06_CONSTRUCTION'!$C$7)*SIN(PI()/(2*'06_CONSTRUCTION'!$C$7)),0)</f>
        <v>0</v>
      </c>
      <c r="P23" s="43" t="n">
        <f aca="false">IF('06_CONSTRUCTION'!P13=1,SIN(PI()*(12-0.5)/'06_CONSTRUCTION'!$C$7)*SIN(PI()/(2*'06_CONSTRUCTION'!$C$7)),0)</f>
        <v>0</v>
      </c>
      <c r="Q23" s="43" t="n">
        <f aca="false">IF('06_CONSTRUCTION'!Q13=1,SIN(PI()*(13-0.5)/'06_CONSTRUCTION'!$C$7)*SIN(PI()/(2*'06_CONSTRUCTION'!$C$7)),0)</f>
        <v>0</v>
      </c>
      <c r="R23" s="43" t="n">
        <f aca="false">IF('06_CONSTRUCTION'!R13=1,SIN(PI()*(14-0.5)/'06_CONSTRUCTION'!$C$7)*SIN(PI()/(2*'06_CONSTRUCTION'!$C$7)),0)</f>
        <v>0</v>
      </c>
      <c r="S23" s="43" t="n">
        <f aca="false">IF('06_CONSTRUCTION'!S13=1,SIN(PI()*(15-0.5)/'06_CONSTRUCTION'!$C$7)*SIN(PI()/(2*'06_CONSTRUCTION'!$C$7)),0)</f>
        <v>0</v>
      </c>
      <c r="T23" s="43" t="n">
        <f aca="false">IF('06_CONSTRUCTION'!T13=1,SIN(PI()*(16-0.5)/'06_CONSTRUCTION'!$C$7)*SIN(PI()/(2*'06_CONSTRUCTION'!$C$7)),0)</f>
        <v>0</v>
      </c>
      <c r="U23" s="43" t="n">
        <f aca="false">IF('06_CONSTRUCTION'!U13=1,SIN(PI()*(17-0.5)/'06_CONSTRUCTION'!$C$7)*SIN(PI()/(2*'06_CONSTRUCTION'!$C$7)),0)</f>
        <v>0</v>
      </c>
      <c r="V23" s="43" t="n">
        <f aca="false">IF('06_CONSTRUCTION'!V13=1,SIN(PI()*(18-0.5)/'06_CONSTRUCTION'!$C$7)*SIN(PI()/(2*'06_CONSTRUCTION'!$C$7)),0)</f>
        <v>0</v>
      </c>
      <c r="W23" s="43" t="n">
        <f aca="false">IF('06_CONSTRUCTION'!W13=1,SIN(PI()*(19-0.5)/'06_CONSTRUCTION'!$C$7)*SIN(PI()/(2*'06_CONSTRUCTION'!$C$7)),0)</f>
        <v>0</v>
      </c>
      <c r="X23" s="43" t="n">
        <f aca="false">IF('06_CONSTRUCTION'!X13=1,SIN(PI()*(20-0.5)/'06_CONSTRUCTION'!$C$7)*SIN(PI()/(2*'06_CONSTRUCTION'!$C$7)),0)</f>
        <v>0</v>
      </c>
      <c r="Y23" s="43" t="n">
        <f aca="false">IF('06_CONSTRUCTION'!Y13=1,SIN(PI()*(21-0.5)/'06_CONSTRUCTION'!$C$7)*SIN(PI()/(2*'06_CONSTRUCTION'!$C$7)),0)</f>
        <v>0</v>
      </c>
      <c r="Z23" s="43" t="n">
        <f aca="false">IF('06_CONSTRUCTION'!Z13=1,SIN(PI()*(22-0.5)/'06_CONSTRUCTION'!$C$7)*SIN(PI()/(2*'06_CONSTRUCTION'!$C$7)),0)</f>
        <v>0</v>
      </c>
      <c r="AA23" s="43" t="n">
        <f aca="false">IF('06_CONSTRUCTION'!AA13=1,SIN(PI()*(23-0.5)/'06_CONSTRUCTION'!$C$7)*SIN(PI()/(2*'06_CONSTRUCTION'!$C$7)),0)</f>
        <v>0</v>
      </c>
      <c r="AB23" s="43" t="n">
        <f aca="false">IF('06_CONSTRUCTION'!AB13=1,SIN(PI()*(24-0.5)/'06_CONSTRUCTION'!$C$7)*SIN(PI()/(2*'06_CONSTRUCTION'!$C$7)),0)</f>
        <v>0</v>
      </c>
      <c r="AC23" s="43" t="n">
        <f aca="false">IF('06_CONSTRUCTION'!AC13=1,SIN(PI()*(25-0.5)/'06_CONSTRUCTION'!$C$7)*SIN(PI()/(2*'06_CONSTRUCTION'!$C$7)),0)</f>
        <v>0</v>
      </c>
      <c r="AD23" s="43" t="n">
        <f aca="false">IF('06_CONSTRUCTION'!AD13=1,SIN(PI()*(26-0.5)/'06_CONSTRUCTION'!$C$7)*SIN(PI()/(2*'06_CONSTRUCTION'!$C$7)),0)</f>
        <v>0</v>
      </c>
      <c r="AE23" s="43" t="n">
        <f aca="false">IF('06_CONSTRUCTION'!AE13=1,SIN(PI()*(27-0.5)/'06_CONSTRUCTION'!$C$7)*SIN(PI()/(2*'06_CONSTRUCTION'!$C$7)),0)</f>
        <v>0</v>
      </c>
      <c r="AF23" s="43" t="n">
        <f aca="false">IF('06_CONSTRUCTION'!AF13=1,SIN(PI()*(28-0.5)/'06_CONSTRUCTION'!$C$7)*SIN(PI()/(2*'06_CONSTRUCTION'!$C$7)),0)</f>
        <v>0</v>
      </c>
      <c r="AG23" s="43" t="n">
        <f aca="false">IF('06_CONSTRUCTION'!AG13=1,SIN(PI()*(29-0.5)/'06_CONSTRUCTION'!$C$7)*SIN(PI()/(2*'06_CONSTRUCTION'!$C$7)),0)</f>
        <v>0</v>
      </c>
      <c r="AH23" s="43" t="n">
        <f aca="false">IF('06_CONSTRUCTION'!AH13=1,SIN(PI()*(30-0.5)/'06_CONSTRUCTION'!$C$7)*SIN(PI()/(2*'06_CONSTRUCTION'!$C$7)),0)</f>
        <v>0</v>
      </c>
      <c r="AI23" s="43" t="n">
        <f aca="false">IF('06_CONSTRUCTION'!AI13=1,SIN(PI()*(31-0.5)/'06_CONSTRUCTION'!$C$7)*SIN(PI()/(2*'06_CONSTRUCTION'!$C$7)),0)</f>
        <v>0</v>
      </c>
      <c r="AJ23" s="43" t="n">
        <f aca="false">IF('06_CONSTRUCTION'!AJ13=1,SIN(PI()*(32-0.5)/'06_CONSTRUCTION'!$C$7)*SIN(PI()/(2*'06_CONSTRUCTION'!$C$7)),0)</f>
        <v>0</v>
      </c>
      <c r="AK23" s="43" t="n">
        <f aca="false">IF('06_CONSTRUCTION'!AK13=1,SIN(PI()*(33-0.5)/'06_CONSTRUCTION'!$C$7)*SIN(PI()/(2*'06_CONSTRUCTION'!$C$7)),0)</f>
        <v>0</v>
      </c>
      <c r="AL23" s="43" t="n">
        <f aca="false">IF('06_CONSTRUCTION'!AL13=1,SIN(PI()*(34-0.5)/'06_CONSTRUCTION'!$C$7)*SIN(PI()/(2*'06_CONSTRUCTION'!$C$7)),0)</f>
        <v>0</v>
      </c>
      <c r="AM23" s="43" t="n">
        <f aca="false">IF('06_CONSTRUCTION'!AM13=1,SIN(PI()*(35-0.5)/'06_CONSTRUCTION'!$C$7)*SIN(PI()/(2*'06_CONSTRUCTION'!$C$7)),0)</f>
        <v>0</v>
      </c>
      <c r="AN23" s="43" t="n">
        <f aca="false">IF('06_CONSTRUCTION'!AN13=1,SIN(PI()*(36-0.5)/'06_CONSTRUCTION'!$C$7)*SIN(PI()/(2*'06_CONSTRUCTION'!$C$7)),0)</f>
        <v>0</v>
      </c>
      <c r="AO23" s="43" t="n">
        <f aca="false">IF('06_CONSTRUCTION'!AO13=1,SIN(PI()*(37-0.5)/'06_CONSTRUCTION'!$C$7)*SIN(PI()/(2*'06_CONSTRUCTION'!$C$7)),0)</f>
        <v>0</v>
      </c>
      <c r="AP23" s="43" t="n">
        <f aca="false">IF('06_CONSTRUCTION'!AP13=1,SIN(PI()*(38-0.5)/'06_CONSTRUCTION'!$C$7)*SIN(PI()/(2*'06_CONSTRUCTION'!$C$7)),0)</f>
        <v>0</v>
      </c>
      <c r="AQ23" s="43" t="n">
        <f aca="false">IF('06_CONSTRUCTION'!AQ13=1,SIN(PI()*(39-0.5)/'06_CONSTRUCTION'!$C$7)*SIN(PI()/(2*'06_CONSTRUCTION'!$C$7)),0)</f>
        <v>0</v>
      </c>
      <c r="AR23" s="43" t="n">
        <f aca="false">IF('06_CONSTRUCTION'!AR13=1,SIN(PI()*(40-0.5)/'06_CONSTRUCTION'!$C$7)*SIN(PI()/(2*'06_CONSTRUCTION'!$C$7)),0)</f>
        <v>0</v>
      </c>
    </row>
    <row r="24" customFormat="false" ht="15" hidden="false" customHeight="true" outlineLevel="0" collapsed="false">
      <c r="A24" s="23" t="s">
        <v>397</v>
      </c>
      <c r="B24" s="23" t="s">
        <v>93</v>
      </c>
      <c r="E24" s="43" t="n">
        <f aca="false">'06_CONSTRUCTION'!D24+'06_CONSTRUCTION'!E23</f>
        <v>0.25</v>
      </c>
      <c r="F24" s="43" t="n">
        <f aca="false">'06_CONSTRUCTION'!E24+'06_CONSTRUCTION'!F23</f>
        <v>0.75</v>
      </c>
      <c r="G24" s="43" t="n">
        <f aca="false">'06_CONSTRUCTION'!F24+'06_CONSTRUCTION'!G23</f>
        <v>1</v>
      </c>
      <c r="H24" s="43" t="n">
        <f aca="false">'06_CONSTRUCTION'!G24+'06_CONSTRUCTION'!H23</f>
        <v>1</v>
      </c>
      <c r="I24" s="43" t="n">
        <f aca="false">'06_CONSTRUCTION'!H24+'06_CONSTRUCTION'!I23</f>
        <v>1</v>
      </c>
      <c r="J24" s="43" t="n">
        <f aca="false">'06_CONSTRUCTION'!I24+'06_CONSTRUCTION'!J23</f>
        <v>1</v>
      </c>
      <c r="K24" s="43" t="n">
        <f aca="false">'06_CONSTRUCTION'!J24+'06_CONSTRUCTION'!K23</f>
        <v>1</v>
      </c>
      <c r="L24" s="43" t="n">
        <f aca="false">'06_CONSTRUCTION'!K24+'06_CONSTRUCTION'!L23</f>
        <v>1</v>
      </c>
      <c r="M24" s="43" t="n">
        <f aca="false">'06_CONSTRUCTION'!L24+'06_CONSTRUCTION'!M23</f>
        <v>1</v>
      </c>
      <c r="N24" s="43" t="n">
        <f aca="false">'06_CONSTRUCTION'!M24+'06_CONSTRUCTION'!N23</f>
        <v>1</v>
      </c>
      <c r="O24" s="43" t="n">
        <f aca="false">'06_CONSTRUCTION'!N24+'06_CONSTRUCTION'!O23</f>
        <v>1</v>
      </c>
      <c r="P24" s="43" t="n">
        <f aca="false">'06_CONSTRUCTION'!O24+'06_CONSTRUCTION'!P23</f>
        <v>1</v>
      </c>
      <c r="Q24" s="43" t="n">
        <f aca="false">'06_CONSTRUCTION'!P24+'06_CONSTRUCTION'!Q23</f>
        <v>1</v>
      </c>
      <c r="R24" s="43" t="n">
        <f aca="false">'06_CONSTRUCTION'!Q24+'06_CONSTRUCTION'!R23</f>
        <v>1</v>
      </c>
      <c r="S24" s="43" t="n">
        <f aca="false">'06_CONSTRUCTION'!R24+'06_CONSTRUCTION'!S23</f>
        <v>1</v>
      </c>
      <c r="T24" s="43" t="n">
        <f aca="false">'06_CONSTRUCTION'!S24+'06_CONSTRUCTION'!T23</f>
        <v>1</v>
      </c>
      <c r="U24" s="43" t="n">
        <f aca="false">'06_CONSTRUCTION'!T24+'06_CONSTRUCTION'!U23</f>
        <v>1</v>
      </c>
      <c r="V24" s="43" t="n">
        <f aca="false">'06_CONSTRUCTION'!U24+'06_CONSTRUCTION'!V23</f>
        <v>1</v>
      </c>
      <c r="W24" s="43" t="n">
        <f aca="false">'06_CONSTRUCTION'!V24+'06_CONSTRUCTION'!W23</f>
        <v>1</v>
      </c>
      <c r="X24" s="43" t="n">
        <f aca="false">'06_CONSTRUCTION'!W24+'06_CONSTRUCTION'!X23</f>
        <v>1</v>
      </c>
      <c r="Y24" s="43" t="n">
        <f aca="false">'06_CONSTRUCTION'!X24+'06_CONSTRUCTION'!Y23</f>
        <v>1</v>
      </c>
      <c r="Z24" s="43" t="n">
        <f aca="false">'06_CONSTRUCTION'!Y24+'06_CONSTRUCTION'!Z23</f>
        <v>1</v>
      </c>
      <c r="AA24" s="43" t="n">
        <f aca="false">'06_CONSTRUCTION'!Z24+'06_CONSTRUCTION'!AA23</f>
        <v>1</v>
      </c>
      <c r="AB24" s="43" t="n">
        <f aca="false">'06_CONSTRUCTION'!AA24+'06_CONSTRUCTION'!AB23</f>
        <v>1</v>
      </c>
      <c r="AC24" s="43" t="n">
        <f aca="false">'06_CONSTRUCTION'!AB24+'06_CONSTRUCTION'!AC23</f>
        <v>1</v>
      </c>
      <c r="AD24" s="43" t="n">
        <f aca="false">'06_CONSTRUCTION'!AC24+'06_CONSTRUCTION'!AD23</f>
        <v>1</v>
      </c>
      <c r="AE24" s="43" t="n">
        <f aca="false">'06_CONSTRUCTION'!AD24+'06_CONSTRUCTION'!AE23</f>
        <v>1</v>
      </c>
      <c r="AF24" s="43" t="n">
        <f aca="false">'06_CONSTRUCTION'!AE24+'06_CONSTRUCTION'!AF23</f>
        <v>1</v>
      </c>
      <c r="AG24" s="43" t="n">
        <f aca="false">'06_CONSTRUCTION'!AF24+'06_CONSTRUCTION'!AG23</f>
        <v>1</v>
      </c>
      <c r="AH24" s="43" t="n">
        <f aca="false">'06_CONSTRUCTION'!AG24+'06_CONSTRUCTION'!AH23</f>
        <v>1</v>
      </c>
      <c r="AI24" s="43" t="n">
        <f aca="false">'06_CONSTRUCTION'!AH24+'06_CONSTRUCTION'!AI23</f>
        <v>1</v>
      </c>
      <c r="AJ24" s="43" t="n">
        <f aca="false">'06_CONSTRUCTION'!AI24+'06_CONSTRUCTION'!AJ23</f>
        <v>1</v>
      </c>
      <c r="AK24" s="43" t="n">
        <f aca="false">'06_CONSTRUCTION'!AJ24+'06_CONSTRUCTION'!AK23</f>
        <v>1</v>
      </c>
      <c r="AL24" s="43" t="n">
        <f aca="false">'06_CONSTRUCTION'!AK24+'06_CONSTRUCTION'!AL23</f>
        <v>1</v>
      </c>
      <c r="AM24" s="43" t="n">
        <f aca="false">'06_CONSTRUCTION'!AL24+'06_CONSTRUCTION'!AM23</f>
        <v>1</v>
      </c>
      <c r="AN24" s="43" t="n">
        <f aca="false">'06_CONSTRUCTION'!AM24+'06_CONSTRUCTION'!AN23</f>
        <v>1</v>
      </c>
      <c r="AO24" s="43" t="n">
        <f aca="false">'06_CONSTRUCTION'!AN24+'06_CONSTRUCTION'!AO23</f>
        <v>1</v>
      </c>
      <c r="AP24" s="43" t="n">
        <f aca="false">'06_CONSTRUCTION'!AO24+'06_CONSTRUCTION'!AP23</f>
        <v>1</v>
      </c>
      <c r="AQ24" s="43" t="n">
        <f aca="false">'06_CONSTRUCTION'!AP24+'06_CONSTRUCTION'!AQ23</f>
        <v>1</v>
      </c>
      <c r="AR24" s="43" t="n">
        <f aca="false">'06_CONSTRUCTION'!AQ24+'06_CONSTRUCTION'!AR23</f>
        <v>1</v>
      </c>
    </row>
    <row r="25" customFormat="false" ht="15" hidden="false" customHeight="true" outlineLevel="0" collapsed="false">
      <c r="A25" s="19" t="s">
        <v>398</v>
      </c>
      <c r="B25" s="23" t="s">
        <v>121</v>
      </c>
      <c r="C25" s="58" t="n">
        <f aca="false">SUM('06_CONSTRUCTION'!$E$25:$AR$25)</f>
        <v>164.826159609375</v>
      </c>
      <c r="E25" s="72" t="n">
        <f aca="false">'06_CONSTRUCTION'!$C$9*'06_CONSTRUCTION'!E23*'06_CONSTRUCTION'!E21</f>
        <v>40.195375</v>
      </c>
      <c r="F25" s="72" t="n">
        <f aca="false">'06_CONSTRUCTION'!$C$9*'06_CONSTRUCTION'!F23*'06_CONSTRUCTION'!F21</f>
        <v>82.40051875</v>
      </c>
      <c r="G25" s="72" t="n">
        <f aca="false">'06_CONSTRUCTION'!$C$9*'06_CONSTRUCTION'!G23*'06_CONSTRUCTION'!G21</f>
        <v>42.230265859375</v>
      </c>
      <c r="H25" s="72" t="n">
        <f aca="false">'06_CONSTRUCTION'!$C$9*'06_CONSTRUCTION'!H23*'06_CONSTRUCTION'!H21</f>
        <v>0</v>
      </c>
      <c r="I25" s="72" t="n">
        <f aca="false">'06_CONSTRUCTION'!$C$9*'06_CONSTRUCTION'!I23*'06_CONSTRUCTION'!I21</f>
        <v>0</v>
      </c>
      <c r="J25" s="72" t="n">
        <f aca="false">'06_CONSTRUCTION'!$C$9*'06_CONSTRUCTION'!J23*'06_CONSTRUCTION'!J21</f>
        <v>0</v>
      </c>
      <c r="K25" s="72" t="n">
        <f aca="false">'06_CONSTRUCTION'!$C$9*'06_CONSTRUCTION'!K23*'06_CONSTRUCTION'!K21</f>
        <v>0</v>
      </c>
      <c r="L25" s="72" t="n">
        <f aca="false">'06_CONSTRUCTION'!$C$9*'06_CONSTRUCTION'!L23*'06_CONSTRUCTION'!L21</f>
        <v>0</v>
      </c>
      <c r="M25" s="72" t="n">
        <f aca="false">'06_CONSTRUCTION'!$C$9*'06_CONSTRUCTION'!M23*'06_CONSTRUCTION'!M21</f>
        <v>0</v>
      </c>
      <c r="N25" s="72" t="n">
        <f aca="false">'06_CONSTRUCTION'!$C$9*'06_CONSTRUCTION'!N23*'06_CONSTRUCTION'!N21</f>
        <v>0</v>
      </c>
      <c r="O25" s="72" t="n">
        <f aca="false">'06_CONSTRUCTION'!$C$9*'06_CONSTRUCTION'!O23*'06_CONSTRUCTION'!O21</f>
        <v>0</v>
      </c>
      <c r="P25" s="72" t="n">
        <f aca="false">'06_CONSTRUCTION'!$C$9*'06_CONSTRUCTION'!P23*'06_CONSTRUCTION'!P21</f>
        <v>0</v>
      </c>
      <c r="Q25" s="72" t="n">
        <f aca="false">'06_CONSTRUCTION'!$C$9*'06_CONSTRUCTION'!Q23*'06_CONSTRUCTION'!Q21</f>
        <v>0</v>
      </c>
      <c r="R25" s="72" t="n">
        <f aca="false">'06_CONSTRUCTION'!$C$9*'06_CONSTRUCTION'!R23*'06_CONSTRUCTION'!R21</f>
        <v>0</v>
      </c>
      <c r="S25" s="72" t="n">
        <f aca="false">'06_CONSTRUCTION'!$C$9*'06_CONSTRUCTION'!S23*'06_CONSTRUCTION'!S21</f>
        <v>0</v>
      </c>
      <c r="T25" s="72" t="n">
        <f aca="false">'06_CONSTRUCTION'!$C$9*'06_CONSTRUCTION'!T23*'06_CONSTRUCTION'!T21</f>
        <v>0</v>
      </c>
      <c r="U25" s="72" t="n">
        <f aca="false">'06_CONSTRUCTION'!$C$9*'06_CONSTRUCTION'!U23*'06_CONSTRUCTION'!U21</f>
        <v>0</v>
      </c>
      <c r="V25" s="72" t="n">
        <f aca="false">'06_CONSTRUCTION'!$C$9*'06_CONSTRUCTION'!V23*'06_CONSTRUCTION'!V21</f>
        <v>0</v>
      </c>
      <c r="W25" s="72" t="n">
        <f aca="false">'06_CONSTRUCTION'!$C$9*'06_CONSTRUCTION'!W23*'06_CONSTRUCTION'!W21</f>
        <v>0</v>
      </c>
      <c r="X25" s="72" t="n">
        <f aca="false">'06_CONSTRUCTION'!$C$9*'06_CONSTRUCTION'!X23*'06_CONSTRUCTION'!X21</f>
        <v>0</v>
      </c>
      <c r="Y25" s="72" t="n">
        <f aca="false">'06_CONSTRUCTION'!$C$9*'06_CONSTRUCTION'!Y23*'06_CONSTRUCTION'!Y21</f>
        <v>0</v>
      </c>
      <c r="Z25" s="72" t="n">
        <f aca="false">'06_CONSTRUCTION'!$C$9*'06_CONSTRUCTION'!Z23*'06_CONSTRUCTION'!Z21</f>
        <v>0</v>
      </c>
      <c r="AA25" s="72" t="n">
        <f aca="false">'06_CONSTRUCTION'!$C$9*'06_CONSTRUCTION'!AA23*'06_CONSTRUCTION'!AA21</f>
        <v>0</v>
      </c>
      <c r="AB25" s="72" t="n">
        <f aca="false">'06_CONSTRUCTION'!$C$9*'06_CONSTRUCTION'!AB23*'06_CONSTRUCTION'!AB21</f>
        <v>0</v>
      </c>
      <c r="AC25" s="72" t="n">
        <f aca="false">'06_CONSTRUCTION'!$C$9*'06_CONSTRUCTION'!AC23*'06_CONSTRUCTION'!AC21</f>
        <v>0</v>
      </c>
      <c r="AD25" s="72" t="n">
        <f aca="false">'06_CONSTRUCTION'!$C$9*'06_CONSTRUCTION'!AD23*'06_CONSTRUCTION'!AD21</f>
        <v>0</v>
      </c>
      <c r="AE25" s="72" t="n">
        <f aca="false">'06_CONSTRUCTION'!$C$9*'06_CONSTRUCTION'!AE23*'06_CONSTRUCTION'!AE21</f>
        <v>0</v>
      </c>
      <c r="AF25" s="72" t="n">
        <f aca="false">'06_CONSTRUCTION'!$C$9*'06_CONSTRUCTION'!AF23*'06_CONSTRUCTION'!AF21</f>
        <v>0</v>
      </c>
      <c r="AG25" s="72" t="n">
        <f aca="false">'06_CONSTRUCTION'!$C$9*'06_CONSTRUCTION'!AG23*'06_CONSTRUCTION'!AG21</f>
        <v>0</v>
      </c>
      <c r="AH25" s="72" t="n">
        <f aca="false">'06_CONSTRUCTION'!$C$9*'06_CONSTRUCTION'!AH23*'06_CONSTRUCTION'!AH21</f>
        <v>0</v>
      </c>
      <c r="AI25" s="72" t="n">
        <f aca="false">'06_CONSTRUCTION'!$C$9*'06_CONSTRUCTION'!AI23*'06_CONSTRUCTION'!AI21</f>
        <v>0</v>
      </c>
      <c r="AJ25" s="72" t="n">
        <f aca="false">'06_CONSTRUCTION'!$C$9*'06_CONSTRUCTION'!AJ23*'06_CONSTRUCTION'!AJ21</f>
        <v>0</v>
      </c>
      <c r="AK25" s="72" t="n">
        <f aca="false">'06_CONSTRUCTION'!$C$9*'06_CONSTRUCTION'!AK23*'06_CONSTRUCTION'!AK21</f>
        <v>0</v>
      </c>
      <c r="AL25" s="72" t="n">
        <f aca="false">'06_CONSTRUCTION'!$C$9*'06_CONSTRUCTION'!AL23*'06_CONSTRUCTION'!AL21</f>
        <v>0</v>
      </c>
      <c r="AM25" s="72" t="n">
        <f aca="false">'06_CONSTRUCTION'!$C$9*'06_CONSTRUCTION'!AM23*'06_CONSTRUCTION'!AM21</f>
        <v>0</v>
      </c>
      <c r="AN25" s="72" t="n">
        <f aca="false">'06_CONSTRUCTION'!$C$9*'06_CONSTRUCTION'!AN23*'06_CONSTRUCTION'!AN21</f>
        <v>0</v>
      </c>
      <c r="AO25" s="72" t="n">
        <f aca="false">'06_CONSTRUCTION'!$C$9*'06_CONSTRUCTION'!AO23*'06_CONSTRUCTION'!AO21</f>
        <v>0</v>
      </c>
      <c r="AP25" s="72" t="n">
        <f aca="false">'06_CONSTRUCTION'!$C$9*'06_CONSTRUCTION'!AP23*'06_CONSTRUCTION'!AP21</f>
        <v>0</v>
      </c>
      <c r="AQ25" s="72" t="n">
        <f aca="false">'06_CONSTRUCTION'!$C$9*'06_CONSTRUCTION'!AQ23*'06_CONSTRUCTION'!AQ21</f>
        <v>0</v>
      </c>
      <c r="AR25" s="72" t="n">
        <f aca="false">'06_CONSTRUCTION'!$C$9*'06_CONSTRUCTION'!AR23*'06_CONSTRUCTION'!AR21</f>
        <v>0</v>
      </c>
    </row>
    <row r="27" customFormat="false" ht="15" hidden="false" customHeight="true" outlineLevel="0" collapsed="false">
      <c r="A27" s="25" t="s">
        <v>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R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400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401</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1" t="s">
        <v>402</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ustomFormat="false" ht="15" hidden="false" customHeight="true" outlineLevel="0" collapsed="false">
      <c r="A7" s="23" t="s">
        <v>403</v>
      </c>
      <c r="B7" s="23" t="s">
        <v>404</v>
      </c>
      <c r="C7" s="50" t="n">
        <v>3.2</v>
      </c>
      <c r="D7" s="25" t="s">
        <v>405</v>
      </c>
    </row>
    <row r="8" customFormat="false" ht="15" hidden="false" customHeight="true" outlineLevel="0" collapsed="false">
      <c r="A8" s="23" t="s">
        <v>406</v>
      </c>
      <c r="B8" s="23" t="s">
        <v>407</v>
      </c>
      <c r="C8" s="36" t="n">
        <v>1</v>
      </c>
    </row>
    <row r="9" customFormat="false" ht="15" hidden="false" customHeight="true" outlineLevel="0" collapsed="false">
      <c r="A9" s="23" t="s">
        <v>408</v>
      </c>
      <c r="B9" s="23" t="s">
        <v>409</v>
      </c>
      <c r="C9" s="28" t="n">
        <v>0.0035</v>
      </c>
    </row>
    <row r="10" customFormat="false" ht="15" hidden="false" customHeight="true" outlineLevel="0" collapsed="false">
      <c r="A10" s="23" t="s">
        <v>410</v>
      </c>
      <c r="B10" s="23" t="s">
        <v>409</v>
      </c>
      <c r="C10" s="28" t="n">
        <v>0.0025</v>
      </c>
    </row>
    <row r="11" customFormat="false" ht="15" hidden="false" customHeight="true" outlineLevel="0" collapsed="false">
      <c r="A11" s="23" t="s">
        <v>411</v>
      </c>
      <c r="B11" s="23" t="s">
        <v>404</v>
      </c>
      <c r="C11" s="65" t="n">
        <v>0.8</v>
      </c>
    </row>
    <row r="12" customFormat="false" ht="15" hidden="false" customHeight="true" outlineLevel="0" collapsed="false">
      <c r="A12" s="23" t="s">
        <v>412</v>
      </c>
      <c r="B12" s="23" t="s">
        <v>407</v>
      </c>
      <c r="C12" s="73" t="n">
        <v>2.5</v>
      </c>
      <c r="D12" s="25" t="s">
        <v>413</v>
      </c>
    </row>
    <row r="13" customFormat="false" ht="15" hidden="false" customHeight="true" outlineLevel="0" collapsed="false">
      <c r="A13" s="21" t="s">
        <v>414</v>
      </c>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row>
    <row r="14" customFormat="false" ht="15" hidden="false" customHeight="true" outlineLevel="0" collapsed="false">
      <c r="A14" s="23" t="s">
        <v>415</v>
      </c>
      <c r="B14" s="23" t="s">
        <v>121</v>
      </c>
      <c r="C14" s="58" t="n">
        <f aca="false">SUM('07_OPEX'!$E$14:$AR$14)</f>
        <v>110.946004847585</v>
      </c>
      <c r="E14" s="58" t="n">
        <f aca="false">'06_CONSTRUCTION'!E14*'07_OPEX'!$C$7*'27_SCENARIOS'!$C$39*'06_CONSTRUCTION'!E17</f>
        <v>0</v>
      </c>
      <c r="F14" s="58" t="n">
        <f aca="false">'06_CONSTRUCTION'!F14*'07_OPEX'!$C$7*'27_SCENARIOS'!$C$39*'06_CONSTRUCTION'!F17</f>
        <v>0</v>
      </c>
      <c r="G14" s="58" t="n">
        <f aca="false">'06_CONSTRUCTION'!G14*'07_OPEX'!$C$7*'27_SCENARIOS'!$C$39*'06_CONSTRUCTION'!G17</f>
        <v>0</v>
      </c>
      <c r="H14" s="58" t="n">
        <f aca="false">'06_CONSTRUCTION'!H14*'07_OPEX'!$C$7*'27_SCENARIOS'!$C$39*'06_CONSTRUCTION'!H17</f>
        <v>3.463782912</v>
      </c>
      <c r="I14" s="58" t="n">
        <f aca="false">'06_CONSTRUCTION'!I14*'07_OPEX'!$C$7*'27_SCENARIOS'!$C$39*'06_CONSTRUCTION'!I17</f>
        <v>3.53305857024</v>
      </c>
      <c r="J14" s="58" t="n">
        <f aca="false">'06_CONSTRUCTION'!J14*'07_OPEX'!$C$7*'27_SCENARIOS'!$C$39*'06_CONSTRUCTION'!J17</f>
        <v>3.6037197416448</v>
      </c>
      <c r="K14" s="58" t="n">
        <f aca="false">'06_CONSTRUCTION'!K14*'07_OPEX'!$C$7*'27_SCENARIOS'!$C$39*'06_CONSTRUCTION'!K17</f>
        <v>3.6757941364777</v>
      </c>
      <c r="L14" s="58" t="n">
        <f aca="false">'06_CONSTRUCTION'!L14*'07_OPEX'!$C$7*'27_SCENARIOS'!$C$39*'06_CONSTRUCTION'!L17</f>
        <v>3.74931001920725</v>
      </c>
      <c r="M14" s="58" t="n">
        <f aca="false">'06_CONSTRUCTION'!M14*'07_OPEX'!$C$7*'27_SCENARIOS'!$C$39*'06_CONSTRUCTION'!M17</f>
        <v>3.8242962195914</v>
      </c>
      <c r="N14" s="58" t="n">
        <f aca="false">'06_CONSTRUCTION'!N14*'07_OPEX'!$C$7*'27_SCENARIOS'!$C$39*'06_CONSTRUCTION'!N17</f>
        <v>3.90078214398322</v>
      </c>
      <c r="O14" s="58" t="n">
        <f aca="false">'06_CONSTRUCTION'!O14*'07_OPEX'!$C$7*'27_SCENARIOS'!$C$39*'06_CONSTRUCTION'!O17</f>
        <v>3.97879778686289</v>
      </c>
      <c r="P14" s="58" t="n">
        <f aca="false">'06_CONSTRUCTION'!P14*'07_OPEX'!$C$7*'27_SCENARIOS'!$C$39*'06_CONSTRUCTION'!P17</f>
        <v>4.05837374260015</v>
      </c>
      <c r="Q14" s="58" t="n">
        <f aca="false">'06_CONSTRUCTION'!Q14*'07_OPEX'!$C$7*'27_SCENARIOS'!$C$39*'06_CONSTRUCTION'!Q17</f>
        <v>4.13954121745215</v>
      </c>
      <c r="R14" s="58" t="n">
        <f aca="false">'06_CONSTRUCTION'!R14*'07_OPEX'!$C$7*'27_SCENARIOS'!$C$39*'06_CONSTRUCTION'!R17</f>
        <v>4.22233204180119</v>
      </c>
      <c r="S14" s="58" t="n">
        <f aca="false">'06_CONSTRUCTION'!S14*'07_OPEX'!$C$7*'27_SCENARIOS'!$C$39*'06_CONSTRUCTION'!S17</f>
        <v>4.30677868263722</v>
      </c>
      <c r="T14" s="58" t="n">
        <f aca="false">'06_CONSTRUCTION'!T14*'07_OPEX'!$C$7*'27_SCENARIOS'!$C$39*'06_CONSTRUCTION'!T17</f>
        <v>4.39291425628996</v>
      </c>
      <c r="U14" s="58" t="n">
        <f aca="false">'06_CONSTRUCTION'!U14*'07_OPEX'!$C$7*'27_SCENARIOS'!$C$39*'06_CONSTRUCTION'!U17</f>
        <v>4.48077254141576</v>
      </c>
      <c r="V14" s="58" t="n">
        <f aca="false">'06_CONSTRUCTION'!V14*'07_OPEX'!$C$7*'27_SCENARIOS'!$C$39*'06_CONSTRUCTION'!V17</f>
        <v>4.57038799224408</v>
      </c>
      <c r="W14" s="58" t="n">
        <f aca="false">'06_CONSTRUCTION'!W14*'07_OPEX'!$C$7*'27_SCENARIOS'!$C$39*'06_CONSTRUCTION'!W17</f>
        <v>4.66179575208896</v>
      </c>
      <c r="X14" s="58" t="n">
        <f aca="false">'06_CONSTRUCTION'!X14*'07_OPEX'!$C$7*'27_SCENARIOS'!$C$39*'06_CONSTRUCTION'!X17</f>
        <v>4.75503166713074</v>
      </c>
      <c r="Y14" s="58" t="n">
        <f aca="false">'06_CONSTRUCTION'!Y14*'07_OPEX'!$C$7*'27_SCENARIOS'!$C$39*'06_CONSTRUCTION'!Y17</f>
        <v>4.85013230047335</v>
      </c>
      <c r="Z14" s="58" t="n">
        <f aca="false">'06_CONSTRUCTION'!Z14*'07_OPEX'!$C$7*'27_SCENARIOS'!$C$39*'06_CONSTRUCTION'!Z17</f>
        <v>4.94713494648282</v>
      </c>
      <c r="AA14" s="58" t="n">
        <f aca="false">'06_CONSTRUCTION'!AA14*'07_OPEX'!$C$7*'27_SCENARIOS'!$C$39*'06_CONSTRUCTION'!AA17</f>
        <v>5.04607764541247</v>
      </c>
      <c r="AB14" s="58" t="n">
        <f aca="false">'06_CONSTRUCTION'!AB14*'07_OPEX'!$C$7*'27_SCENARIOS'!$C$39*'06_CONSTRUCTION'!AB17</f>
        <v>5.14699919832072</v>
      </c>
      <c r="AC14" s="58" t="n">
        <f aca="false">'06_CONSTRUCTION'!AC14*'07_OPEX'!$C$7*'27_SCENARIOS'!$C$39*'06_CONSTRUCTION'!AC17</f>
        <v>5.24993918228714</v>
      </c>
      <c r="AD14" s="58" t="n">
        <f aca="false">'06_CONSTRUCTION'!AD14*'07_OPEX'!$C$7*'27_SCENARIOS'!$C$39*'06_CONSTRUCTION'!AD17</f>
        <v>5.35493796593288</v>
      </c>
      <c r="AE14" s="58" t="n">
        <f aca="false">'06_CONSTRUCTION'!AE14*'07_OPEX'!$C$7*'27_SCENARIOS'!$C$39*'06_CONSTRUCTION'!AE17</f>
        <v>5.46203672525154</v>
      </c>
      <c r="AF14" s="58" t="n">
        <f aca="false">'06_CONSTRUCTION'!AF14*'07_OPEX'!$C$7*'27_SCENARIOS'!$C$39*'06_CONSTRUCTION'!AF17</f>
        <v>5.57127745975657</v>
      </c>
      <c r="AG14" s="58" t="n">
        <f aca="false">'06_CONSTRUCTION'!AG14*'07_OPEX'!$C$7*'27_SCENARIOS'!$C$39*'06_CONSTRUCTION'!AG17</f>
        <v>0</v>
      </c>
      <c r="AH14" s="58" t="n">
        <f aca="false">'06_CONSTRUCTION'!AH14*'07_OPEX'!$C$7*'27_SCENARIOS'!$C$39*'06_CONSTRUCTION'!AH17</f>
        <v>0</v>
      </c>
      <c r="AI14" s="58" t="n">
        <f aca="false">'06_CONSTRUCTION'!AI14*'07_OPEX'!$C$7*'27_SCENARIOS'!$C$39*'06_CONSTRUCTION'!AI17</f>
        <v>0</v>
      </c>
      <c r="AJ14" s="58" t="n">
        <f aca="false">'06_CONSTRUCTION'!AJ14*'07_OPEX'!$C$7*'27_SCENARIOS'!$C$39*'06_CONSTRUCTION'!AJ17</f>
        <v>0</v>
      </c>
      <c r="AK14" s="58" t="n">
        <f aca="false">'06_CONSTRUCTION'!AK14*'07_OPEX'!$C$7*'27_SCENARIOS'!$C$39*'06_CONSTRUCTION'!AK17</f>
        <v>0</v>
      </c>
      <c r="AL14" s="58" t="n">
        <f aca="false">'06_CONSTRUCTION'!AL14*'07_OPEX'!$C$7*'27_SCENARIOS'!$C$39*'06_CONSTRUCTION'!AL17</f>
        <v>0</v>
      </c>
      <c r="AM14" s="58" t="n">
        <f aca="false">'06_CONSTRUCTION'!AM14*'07_OPEX'!$C$7*'27_SCENARIOS'!$C$39*'06_CONSTRUCTION'!AM17</f>
        <v>0</v>
      </c>
      <c r="AN14" s="58" t="n">
        <f aca="false">'06_CONSTRUCTION'!AN14*'07_OPEX'!$C$7*'27_SCENARIOS'!$C$39*'06_CONSTRUCTION'!AN17</f>
        <v>0</v>
      </c>
      <c r="AO14" s="58" t="n">
        <f aca="false">'06_CONSTRUCTION'!AO14*'07_OPEX'!$C$7*'27_SCENARIOS'!$C$39*'06_CONSTRUCTION'!AO17</f>
        <v>0</v>
      </c>
      <c r="AP14" s="58" t="n">
        <f aca="false">'06_CONSTRUCTION'!AP14*'07_OPEX'!$C$7*'27_SCENARIOS'!$C$39*'06_CONSTRUCTION'!AP17</f>
        <v>0</v>
      </c>
      <c r="AQ14" s="58" t="n">
        <f aca="false">'06_CONSTRUCTION'!AQ14*'07_OPEX'!$C$7*'27_SCENARIOS'!$C$39*'06_CONSTRUCTION'!AQ17</f>
        <v>0</v>
      </c>
      <c r="AR14" s="58" t="n">
        <f aca="false">'06_CONSTRUCTION'!AR14*'07_OPEX'!$C$7*'27_SCENARIOS'!$C$39*'06_CONSTRUCTION'!AR17</f>
        <v>0</v>
      </c>
    </row>
    <row r="15" customFormat="false" ht="15" hidden="false" customHeight="true" outlineLevel="0" collapsed="false">
      <c r="A15" s="23" t="s">
        <v>406</v>
      </c>
      <c r="B15" s="23" t="s">
        <v>121</v>
      </c>
      <c r="C15" s="58" t="n">
        <f aca="false">SUM('07_OPEX'!$E$15:$AR$15)</f>
        <v>10.0930239330246</v>
      </c>
      <c r="E15" s="58" t="n">
        <f aca="false">'04_GENERATION'!E17*'07_OPEX'!$C$8*'27_SCENARIOS'!$C$39*'06_CONSTRUCTION'!E17/1000</f>
        <v>0</v>
      </c>
      <c r="F15" s="58" t="n">
        <f aca="false">'04_GENERATION'!F17*'07_OPEX'!$C$8*'27_SCENARIOS'!$C$39*'06_CONSTRUCTION'!F17/1000</f>
        <v>0</v>
      </c>
      <c r="G15" s="58" t="n">
        <f aca="false">'04_GENERATION'!G17*'07_OPEX'!$C$8*'27_SCENARIOS'!$C$39*'06_CONSTRUCTION'!G17/1000</f>
        <v>0</v>
      </c>
      <c r="H15" s="58" t="n">
        <f aca="false">'04_GENERATION'!H17*'07_OPEX'!$C$8*'27_SCENARIOS'!$C$39*'06_CONSTRUCTION'!H17/1000</f>
        <v>0.269102562320575</v>
      </c>
      <c r="I15" s="58" t="n">
        <f aca="false">'04_GENERATION'!I17*'07_OPEX'!$C$8*'27_SCENARIOS'!$C$39*'06_CONSTRUCTION'!I17/1000</f>
        <v>0.32292307478469</v>
      </c>
      <c r="J15" s="58" t="n">
        <f aca="false">'04_GENERATION'!J17*'07_OPEX'!$C$8*'27_SCENARIOS'!$C$39*'06_CONSTRUCTION'!J17/1000</f>
        <v>0.329381536280384</v>
      </c>
      <c r="K15" s="58" t="n">
        <f aca="false">'04_GENERATION'!K17*'07_OPEX'!$C$8*'27_SCENARIOS'!$C$39*'06_CONSTRUCTION'!K17/1000</f>
        <v>0.335969167005992</v>
      </c>
      <c r="L15" s="58" t="n">
        <f aca="false">'04_GENERATION'!L17*'07_OPEX'!$C$8*'27_SCENARIOS'!$C$39*'06_CONSTRUCTION'!L17/1000</f>
        <v>0.342688550346112</v>
      </c>
      <c r="M15" s="58" t="n">
        <f aca="false">'04_GENERATION'!M17*'07_OPEX'!$C$8*'27_SCENARIOS'!$C$39*'06_CONSTRUCTION'!M17/1000</f>
        <v>0.349542321353034</v>
      </c>
      <c r="N15" s="58" t="n">
        <f aca="false">'04_GENERATION'!N17*'07_OPEX'!$C$8*'27_SCENARIOS'!$C$39*'06_CONSTRUCTION'!N17/1000</f>
        <v>0.356533167780095</v>
      </c>
      <c r="O15" s="58" t="n">
        <f aca="false">'04_GENERATION'!O17*'07_OPEX'!$C$8*'27_SCENARIOS'!$C$39*'06_CONSTRUCTION'!O17/1000</f>
        <v>0.363663831135696</v>
      </c>
      <c r="P15" s="58" t="n">
        <f aca="false">'04_GENERATION'!P17*'07_OPEX'!$C$8*'27_SCENARIOS'!$C$39*'06_CONSTRUCTION'!P17/1000</f>
        <v>0.37093710775841</v>
      </c>
      <c r="Q15" s="58" t="n">
        <f aca="false">'04_GENERATION'!Q17*'07_OPEX'!$C$8*'27_SCENARIOS'!$C$39*'06_CONSTRUCTION'!Q17/1000</f>
        <v>0.378355849913579</v>
      </c>
      <c r="R15" s="58" t="n">
        <f aca="false">'04_GENERATION'!R17*'07_OPEX'!$C$8*'27_SCENARIOS'!$C$39*'06_CONSTRUCTION'!R17/1000</f>
        <v>0.38592296691185</v>
      </c>
      <c r="S15" s="58" t="n">
        <f aca="false">'04_GENERATION'!S17*'07_OPEX'!$C$8*'27_SCENARIOS'!$C$39*'06_CONSTRUCTION'!S17/1000</f>
        <v>0.393641426250087</v>
      </c>
      <c r="T15" s="58" t="n">
        <f aca="false">'04_GENERATION'!T17*'07_OPEX'!$C$8*'27_SCENARIOS'!$C$39*'06_CONSTRUCTION'!T17/1000</f>
        <v>0.401514254775089</v>
      </c>
      <c r="U15" s="58" t="n">
        <f aca="false">'04_GENERATION'!U17*'07_OPEX'!$C$8*'27_SCENARIOS'!$C$39*'06_CONSTRUCTION'!U17/1000</f>
        <v>0.409544539870591</v>
      </c>
      <c r="V15" s="58" t="n">
        <f aca="false">'04_GENERATION'!V17*'07_OPEX'!$C$8*'27_SCENARIOS'!$C$39*'06_CONSTRUCTION'!V17/1000</f>
        <v>0.417735430668003</v>
      </c>
      <c r="W15" s="58" t="n">
        <f aca="false">'04_GENERATION'!W17*'07_OPEX'!$C$8*'27_SCENARIOS'!$C$39*'06_CONSTRUCTION'!W17/1000</f>
        <v>0.426090139281363</v>
      </c>
      <c r="X15" s="58" t="n">
        <f aca="false">'04_GENERATION'!X17*'07_OPEX'!$C$8*'27_SCENARIOS'!$C$39*'06_CONSTRUCTION'!X17/1000</f>
        <v>0.43461194206699</v>
      </c>
      <c r="Y15" s="58" t="n">
        <f aca="false">'04_GENERATION'!Y17*'07_OPEX'!$C$8*'27_SCENARIOS'!$C$39*'06_CONSTRUCTION'!Y17/1000</f>
        <v>0.44330418090833</v>
      </c>
      <c r="Z15" s="58" t="n">
        <f aca="false">'04_GENERATION'!Z17*'07_OPEX'!$C$8*'27_SCENARIOS'!$C$39*'06_CONSTRUCTION'!Z17/1000</f>
        <v>0.452170264526496</v>
      </c>
      <c r="AA15" s="58" t="n">
        <f aca="false">'04_GENERATION'!AA17*'07_OPEX'!$C$8*'27_SCENARIOS'!$C$39*'06_CONSTRUCTION'!AA17/1000</f>
        <v>0.461213669817026</v>
      </c>
      <c r="AB15" s="58" t="n">
        <f aca="false">'04_GENERATION'!AB17*'07_OPEX'!$C$8*'27_SCENARIOS'!$C$39*'06_CONSTRUCTION'!AB17/1000</f>
        <v>0.470437943213367</v>
      </c>
      <c r="AC15" s="58" t="n">
        <f aca="false">'04_GENERATION'!AC17*'07_OPEX'!$C$8*'27_SCENARIOS'!$C$39*'06_CONSTRUCTION'!AC17/1000</f>
        <v>0.479846702077634</v>
      </c>
      <c r="AD15" s="58" t="n">
        <f aca="false">'04_GENERATION'!AD17*'07_OPEX'!$C$8*'27_SCENARIOS'!$C$39*'06_CONSTRUCTION'!AD17/1000</f>
        <v>0.489443636119187</v>
      </c>
      <c r="AE15" s="58" t="n">
        <f aca="false">'04_GENERATION'!AE17*'07_OPEX'!$C$8*'27_SCENARIOS'!$C$39*'06_CONSTRUCTION'!AE17/1000</f>
        <v>0.499232508841571</v>
      </c>
      <c r="AF15" s="58" t="n">
        <f aca="false">'04_GENERATION'!AF17*'07_OPEX'!$C$8*'27_SCENARIOS'!$C$39*'06_CONSTRUCTION'!AF17/1000</f>
        <v>0.509217159018402</v>
      </c>
      <c r="AG15" s="58" t="n">
        <f aca="false">'04_GENERATION'!AG17*'07_OPEX'!$C$8*'27_SCENARIOS'!$C$39*'06_CONSTRUCTION'!AG17/1000</f>
        <v>0</v>
      </c>
      <c r="AH15" s="58" t="n">
        <f aca="false">'04_GENERATION'!AH17*'07_OPEX'!$C$8*'27_SCENARIOS'!$C$39*'06_CONSTRUCTION'!AH17/1000</f>
        <v>0</v>
      </c>
      <c r="AI15" s="58" t="n">
        <f aca="false">'04_GENERATION'!AI17*'07_OPEX'!$C$8*'27_SCENARIOS'!$C$39*'06_CONSTRUCTION'!AI17/1000</f>
        <v>0</v>
      </c>
      <c r="AJ15" s="58" t="n">
        <f aca="false">'04_GENERATION'!AJ17*'07_OPEX'!$C$8*'27_SCENARIOS'!$C$39*'06_CONSTRUCTION'!AJ17/1000</f>
        <v>0</v>
      </c>
      <c r="AK15" s="58" t="n">
        <f aca="false">'04_GENERATION'!AK17*'07_OPEX'!$C$8*'27_SCENARIOS'!$C$39*'06_CONSTRUCTION'!AK17/1000</f>
        <v>0</v>
      </c>
      <c r="AL15" s="58" t="n">
        <f aca="false">'04_GENERATION'!AL17*'07_OPEX'!$C$8*'27_SCENARIOS'!$C$39*'06_CONSTRUCTION'!AL17/1000</f>
        <v>0</v>
      </c>
      <c r="AM15" s="58" t="n">
        <f aca="false">'04_GENERATION'!AM17*'07_OPEX'!$C$8*'27_SCENARIOS'!$C$39*'06_CONSTRUCTION'!AM17/1000</f>
        <v>0</v>
      </c>
      <c r="AN15" s="58" t="n">
        <f aca="false">'04_GENERATION'!AN17*'07_OPEX'!$C$8*'27_SCENARIOS'!$C$39*'06_CONSTRUCTION'!AN17/1000</f>
        <v>0</v>
      </c>
      <c r="AO15" s="58" t="n">
        <f aca="false">'04_GENERATION'!AO17*'07_OPEX'!$C$8*'27_SCENARIOS'!$C$39*'06_CONSTRUCTION'!AO17/1000</f>
        <v>0</v>
      </c>
      <c r="AP15" s="58" t="n">
        <f aca="false">'04_GENERATION'!AP17*'07_OPEX'!$C$8*'27_SCENARIOS'!$C$39*'06_CONSTRUCTION'!AP17/1000</f>
        <v>0</v>
      </c>
      <c r="AQ15" s="58" t="n">
        <f aca="false">'04_GENERATION'!AQ17*'07_OPEX'!$C$8*'27_SCENARIOS'!$C$39*'06_CONSTRUCTION'!AQ17/1000</f>
        <v>0</v>
      </c>
      <c r="AR15" s="58" t="n">
        <f aca="false">'04_GENERATION'!AR17*'07_OPEX'!$C$8*'27_SCENARIOS'!$C$39*'06_CONSTRUCTION'!AR17/1000</f>
        <v>0</v>
      </c>
    </row>
    <row r="16" customFormat="false" ht="15" hidden="false" customHeight="true" outlineLevel="0" collapsed="false">
      <c r="A16" s="23" t="s">
        <v>408</v>
      </c>
      <c r="B16" s="23" t="s">
        <v>121</v>
      </c>
      <c r="C16" s="58" t="n">
        <f aca="false">SUM('07_OPEX'!$E$16:$AR$16)</f>
        <v>19.0345206629289</v>
      </c>
      <c r="E16" s="58" t="n">
        <f aca="false">'06_CONSTRUCTION'!E14*'06_CONSTRUCTION'!$C$9*'07_OPEX'!$C$9*'06_CONSTRUCTION'!E17</f>
        <v>0</v>
      </c>
      <c r="F16" s="58" t="n">
        <f aca="false">'06_CONSTRUCTION'!F14*'06_CONSTRUCTION'!$C$9*'07_OPEX'!$C$9*'06_CONSTRUCTION'!F17</f>
        <v>0</v>
      </c>
      <c r="G16" s="58" t="n">
        <f aca="false">'06_CONSTRUCTION'!G14*'06_CONSTRUCTION'!$C$9*'07_OPEX'!$C$9*'06_CONSTRUCTION'!G17</f>
        <v>0</v>
      </c>
      <c r="H16" s="58" t="n">
        <f aca="false">'06_CONSTRUCTION'!H14*'06_CONSTRUCTION'!$C$9*'07_OPEX'!$C$9*'06_CONSTRUCTION'!H17</f>
        <v>0.5942660801616</v>
      </c>
      <c r="I16" s="58" t="n">
        <f aca="false">'06_CONSTRUCTION'!I14*'06_CONSTRUCTION'!$C$9*'07_OPEX'!$C$9*'06_CONSTRUCTION'!I17</f>
        <v>0.606151401764832</v>
      </c>
      <c r="J16" s="58" t="n">
        <f aca="false">'06_CONSTRUCTION'!J14*'06_CONSTRUCTION'!$C$9*'07_OPEX'!$C$9*'06_CONSTRUCTION'!J17</f>
        <v>0.618274429800129</v>
      </c>
      <c r="K16" s="58" t="n">
        <f aca="false">'06_CONSTRUCTION'!K14*'06_CONSTRUCTION'!$C$9*'07_OPEX'!$C$9*'06_CONSTRUCTION'!K17</f>
        <v>0.630639918396131</v>
      </c>
      <c r="L16" s="58" t="n">
        <f aca="false">'06_CONSTRUCTION'!L14*'06_CONSTRUCTION'!$C$9*'07_OPEX'!$C$9*'06_CONSTRUCTION'!L17</f>
        <v>0.643252716764054</v>
      </c>
      <c r="M16" s="58" t="n">
        <f aca="false">'06_CONSTRUCTION'!M14*'06_CONSTRUCTION'!$C$9*'07_OPEX'!$C$9*'06_CONSTRUCTION'!M17</f>
        <v>0.656117771099335</v>
      </c>
      <c r="N16" s="58" t="n">
        <f aca="false">'06_CONSTRUCTION'!N14*'06_CONSTRUCTION'!$C$9*'07_OPEX'!$C$9*'06_CONSTRUCTION'!N17</f>
        <v>0.669240126521322</v>
      </c>
      <c r="O16" s="58" t="n">
        <f aca="false">'06_CONSTRUCTION'!O14*'06_CONSTRUCTION'!$C$9*'07_OPEX'!$C$9*'06_CONSTRUCTION'!O17</f>
        <v>0.682624929051748</v>
      </c>
      <c r="P16" s="58" t="n">
        <f aca="false">'06_CONSTRUCTION'!P14*'06_CONSTRUCTION'!$C$9*'07_OPEX'!$C$9*'06_CONSTRUCTION'!P17</f>
        <v>0.696277427632783</v>
      </c>
      <c r="Q16" s="58" t="n">
        <f aca="false">'06_CONSTRUCTION'!Q14*'06_CONSTRUCTION'!$C$9*'07_OPEX'!$C$9*'06_CONSTRUCTION'!Q17</f>
        <v>0.710202976185439</v>
      </c>
      <c r="R16" s="58" t="n">
        <f aca="false">'06_CONSTRUCTION'!R14*'06_CONSTRUCTION'!$C$9*'07_OPEX'!$C$9*'06_CONSTRUCTION'!R17</f>
        <v>0.724407035709148</v>
      </c>
      <c r="S16" s="58" t="n">
        <f aca="false">'06_CONSTRUCTION'!S14*'06_CONSTRUCTION'!$C$9*'07_OPEX'!$C$9*'06_CONSTRUCTION'!S17</f>
        <v>0.738895176423331</v>
      </c>
      <c r="T16" s="58" t="n">
        <f aca="false">'06_CONSTRUCTION'!T14*'06_CONSTRUCTION'!$C$9*'07_OPEX'!$C$9*'06_CONSTRUCTION'!T17</f>
        <v>0.753673079951797</v>
      </c>
      <c r="U16" s="58" t="n">
        <f aca="false">'06_CONSTRUCTION'!U14*'06_CONSTRUCTION'!$C$9*'07_OPEX'!$C$9*'06_CONSTRUCTION'!U17</f>
        <v>0.768746541550833</v>
      </c>
      <c r="V16" s="58" t="n">
        <f aca="false">'06_CONSTRUCTION'!V14*'06_CONSTRUCTION'!$C$9*'07_OPEX'!$C$9*'06_CONSTRUCTION'!V17</f>
        <v>0.78412147238185</v>
      </c>
      <c r="W16" s="58" t="n">
        <f aca="false">'06_CONSTRUCTION'!W14*'06_CONSTRUCTION'!$C$9*'07_OPEX'!$C$9*'06_CONSTRUCTION'!W17</f>
        <v>0.799803901829487</v>
      </c>
      <c r="X16" s="58" t="n">
        <f aca="false">'06_CONSTRUCTION'!X14*'06_CONSTRUCTION'!$C$9*'07_OPEX'!$C$9*'06_CONSTRUCTION'!X17</f>
        <v>0.815799979866077</v>
      </c>
      <c r="Y16" s="58" t="n">
        <f aca="false">'06_CONSTRUCTION'!Y14*'06_CONSTRUCTION'!$C$9*'07_OPEX'!$C$9*'06_CONSTRUCTION'!Y17</f>
        <v>0.832115979463398</v>
      </c>
      <c r="Z16" s="58" t="n">
        <f aca="false">'06_CONSTRUCTION'!Z14*'06_CONSTRUCTION'!$C$9*'07_OPEX'!$C$9*'06_CONSTRUCTION'!Z17</f>
        <v>0.848758299052666</v>
      </c>
      <c r="AA16" s="58" t="n">
        <f aca="false">'06_CONSTRUCTION'!AA14*'06_CONSTRUCTION'!$C$9*'07_OPEX'!$C$9*'06_CONSTRUCTION'!AA17</f>
        <v>0.86573346503372</v>
      </c>
      <c r="AB16" s="58" t="n">
        <f aca="false">'06_CONSTRUCTION'!AB14*'06_CONSTRUCTION'!$C$9*'07_OPEX'!$C$9*'06_CONSTRUCTION'!AB17</f>
        <v>0.883048134334394</v>
      </c>
      <c r="AC16" s="58" t="n">
        <f aca="false">'06_CONSTRUCTION'!AC14*'06_CONSTRUCTION'!$C$9*'07_OPEX'!$C$9*'06_CONSTRUCTION'!AC17</f>
        <v>0.900709097021082</v>
      </c>
      <c r="AD16" s="58" t="n">
        <f aca="false">'06_CONSTRUCTION'!AD14*'06_CONSTRUCTION'!$C$9*'07_OPEX'!$C$9*'06_CONSTRUCTION'!AD17</f>
        <v>0.918723278961504</v>
      </c>
      <c r="AE16" s="58" t="n">
        <f aca="false">'06_CONSTRUCTION'!AE14*'06_CONSTRUCTION'!$C$9*'07_OPEX'!$C$9*'06_CONSTRUCTION'!AE17</f>
        <v>0.937097744540734</v>
      </c>
      <c r="AF16" s="58" t="n">
        <f aca="false">'06_CONSTRUCTION'!AF14*'06_CONSTRUCTION'!$C$9*'07_OPEX'!$C$9*'06_CONSTRUCTION'!AF17</f>
        <v>0.955839699431549</v>
      </c>
      <c r="AG16" s="58" t="n">
        <f aca="false">'06_CONSTRUCTION'!AG14*'06_CONSTRUCTION'!$C$9*'07_OPEX'!$C$9*'06_CONSTRUCTION'!AG17</f>
        <v>0</v>
      </c>
      <c r="AH16" s="58" t="n">
        <f aca="false">'06_CONSTRUCTION'!AH14*'06_CONSTRUCTION'!$C$9*'07_OPEX'!$C$9*'06_CONSTRUCTION'!AH17</f>
        <v>0</v>
      </c>
      <c r="AI16" s="58" t="n">
        <f aca="false">'06_CONSTRUCTION'!AI14*'06_CONSTRUCTION'!$C$9*'07_OPEX'!$C$9*'06_CONSTRUCTION'!AI17</f>
        <v>0</v>
      </c>
      <c r="AJ16" s="58" t="n">
        <f aca="false">'06_CONSTRUCTION'!AJ14*'06_CONSTRUCTION'!$C$9*'07_OPEX'!$C$9*'06_CONSTRUCTION'!AJ17</f>
        <v>0</v>
      </c>
      <c r="AK16" s="58" t="n">
        <f aca="false">'06_CONSTRUCTION'!AK14*'06_CONSTRUCTION'!$C$9*'07_OPEX'!$C$9*'06_CONSTRUCTION'!AK17</f>
        <v>0</v>
      </c>
      <c r="AL16" s="58" t="n">
        <f aca="false">'06_CONSTRUCTION'!AL14*'06_CONSTRUCTION'!$C$9*'07_OPEX'!$C$9*'06_CONSTRUCTION'!AL17</f>
        <v>0</v>
      </c>
      <c r="AM16" s="58" t="n">
        <f aca="false">'06_CONSTRUCTION'!AM14*'06_CONSTRUCTION'!$C$9*'07_OPEX'!$C$9*'06_CONSTRUCTION'!AM17</f>
        <v>0</v>
      </c>
      <c r="AN16" s="58" t="n">
        <f aca="false">'06_CONSTRUCTION'!AN14*'06_CONSTRUCTION'!$C$9*'07_OPEX'!$C$9*'06_CONSTRUCTION'!AN17</f>
        <v>0</v>
      </c>
      <c r="AO16" s="58" t="n">
        <f aca="false">'06_CONSTRUCTION'!AO14*'06_CONSTRUCTION'!$C$9*'07_OPEX'!$C$9*'06_CONSTRUCTION'!AO17</f>
        <v>0</v>
      </c>
      <c r="AP16" s="58" t="n">
        <f aca="false">'06_CONSTRUCTION'!AP14*'06_CONSTRUCTION'!$C$9*'07_OPEX'!$C$9*'06_CONSTRUCTION'!AP17</f>
        <v>0</v>
      </c>
      <c r="AQ16" s="58" t="n">
        <f aca="false">'06_CONSTRUCTION'!AQ14*'06_CONSTRUCTION'!$C$9*'07_OPEX'!$C$9*'06_CONSTRUCTION'!AQ17</f>
        <v>0</v>
      </c>
      <c r="AR16" s="58" t="n">
        <f aca="false">'06_CONSTRUCTION'!AR14*'06_CONSTRUCTION'!$C$9*'07_OPEX'!$C$9*'06_CONSTRUCTION'!AR17</f>
        <v>0</v>
      </c>
    </row>
    <row r="17" customFormat="false" ht="15" hidden="false" customHeight="true" outlineLevel="0" collapsed="false">
      <c r="A17" s="23" t="s">
        <v>416</v>
      </c>
      <c r="B17" s="23" t="s">
        <v>121</v>
      </c>
      <c r="C17" s="58" t="n">
        <f aca="false">SUM('07_OPEX'!$E$17:$AR$17)</f>
        <v>13.5960861878064</v>
      </c>
      <c r="E17" s="58" t="n">
        <f aca="false">'06_CONSTRUCTION'!E14*'06_CONSTRUCTION'!$C$9*'07_OPEX'!$C$10*'06_CONSTRUCTION'!E17</f>
        <v>0</v>
      </c>
      <c r="F17" s="58" t="n">
        <f aca="false">'06_CONSTRUCTION'!F14*'06_CONSTRUCTION'!$C$9*'07_OPEX'!$C$10*'06_CONSTRUCTION'!F17</f>
        <v>0</v>
      </c>
      <c r="G17" s="58" t="n">
        <f aca="false">'06_CONSTRUCTION'!G14*'06_CONSTRUCTION'!$C$9*'07_OPEX'!$C$10*'06_CONSTRUCTION'!G17</f>
        <v>0</v>
      </c>
      <c r="H17" s="58" t="n">
        <f aca="false">'06_CONSTRUCTION'!H14*'06_CONSTRUCTION'!$C$9*'07_OPEX'!$C$10*'06_CONSTRUCTION'!H17</f>
        <v>0.424475771544</v>
      </c>
      <c r="I17" s="58" t="n">
        <f aca="false">'06_CONSTRUCTION'!I14*'06_CONSTRUCTION'!$C$9*'07_OPEX'!$C$10*'06_CONSTRUCTION'!I17</f>
        <v>0.43296528697488</v>
      </c>
      <c r="J17" s="58" t="n">
        <f aca="false">'06_CONSTRUCTION'!J14*'06_CONSTRUCTION'!$C$9*'07_OPEX'!$C$10*'06_CONSTRUCTION'!J17</f>
        <v>0.441624592714378</v>
      </c>
      <c r="K17" s="58" t="n">
        <f aca="false">'06_CONSTRUCTION'!K14*'06_CONSTRUCTION'!$C$9*'07_OPEX'!$C$10*'06_CONSTRUCTION'!K17</f>
        <v>0.450457084568665</v>
      </c>
      <c r="L17" s="58" t="n">
        <f aca="false">'06_CONSTRUCTION'!L14*'06_CONSTRUCTION'!$C$9*'07_OPEX'!$C$10*'06_CONSTRUCTION'!L17</f>
        <v>0.459466226260039</v>
      </c>
      <c r="M17" s="58" t="n">
        <f aca="false">'06_CONSTRUCTION'!M14*'06_CONSTRUCTION'!$C$9*'07_OPEX'!$C$10*'06_CONSTRUCTION'!M17</f>
        <v>0.468655550785239</v>
      </c>
      <c r="N17" s="58" t="n">
        <f aca="false">'06_CONSTRUCTION'!N14*'06_CONSTRUCTION'!$C$9*'07_OPEX'!$C$10*'06_CONSTRUCTION'!N17</f>
        <v>0.478028661800944</v>
      </c>
      <c r="O17" s="58" t="n">
        <f aca="false">'06_CONSTRUCTION'!O14*'06_CONSTRUCTION'!$C$9*'07_OPEX'!$C$10*'06_CONSTRUCTION'!O17</f>
        <v>0.487589235036963</v>
      </c>
      <c r="P17" s="58" t="n">
        <f aca="false">'06_CONSTRUCTION'!P14*'06_CONSTRUCTION'!$C$9*'07_OPEX'!$C$10*'06_CONSTRUCTION'!P17</f>
        <v>0.497341019737702</v>
      </c>
      <c r="Q17" s="58" t="n">
        <f aca="false">'06_CONSTRUCTION'!Q14*'06_CONSTRUCTION'!$C$9*'07_OPEX'!$C$10*'06_CONSTRUCTION'!Q17</f>
        <v>0.507287840132456</v>
      </c>
      <c r="R17" s="58" t="n">
        <f aca="false">'06_CONSTRUCTION'!R14*'06_CONSTRUCTION'!$C$9*'07_OPEX'!$C$10*'06_CONSTRUCTION'!R17</f>
        <v>0.517433596935106</v>
      </c>
      <c r="S17" s="58" t="n">
        <f aca="false">'06_CONSTRUCTION'!S14*'06_CONSTRUCTION'!$C$9*'07_OPEX'!$C$10*'06_CONSTRUCTION'!S17</f>
        <v>0.527782268873808</v>
      </c>
      <c r="T17" s="58" t="n">
        <f aca="false">'06_CONSTRUCTION'!T14*'06_CONSTRUCTION'!$C$9*'07_OPEX'!$C$10*'06_CONSTRUCTION'!T17</f>
        <v>0.538337914251284</v>
      </c>
      <c r="U17" s="58" t="n">
        <f aca="false">'06_CONSTRUCTION'!U14*'06_CONSTRUCTION'!$C$9*'07_OPEX'!$C$10*'06_CONSTRUCTION'!U17</f>
        <v>0.54910467253631</v>
      </c>
      <c r="V17" s="58" t="n">
        <f aca="false">'06_CONSTRUCTION'!V14*'06_CONSTRUCTION'!$C$9*'07_OPEX'!$C$10*'06_CONSTRUCTION'!V17</f>
        <v>0.560086765987036</v>
      </c>
      <c r="W17" s="58" t="n">
        <f aca="false">'06_CONSTRUCTION'!W14*'06_CONSTRUCTION'!$C$9*'07_OPEX'!$C$10*'06_CONSTRUCTION'!W17</f>
        <v>0.571288501306776</v>
      </c>
      <c r="X17" s="58" t="n">
        <f aca="false">'06_CONSTRUCTION'!X14*'06_CONSTRUCTION'!$C$9*'07_OPEX'!$C$10*'06_CONSTRUCTION'!X17</f>
        <v>0.582714271332912</v>
      </c>
      <c r="Y17" s="58" t="n">
        <f aca="false">'06_CONSTRUCTION'!Y14*'06_CONSTRUCTION'!$C$9*'07_OPEX'!$C$10*'06_CONSTRUCTION'!Y17</f>
        <v>0.59436855675957</v>
      </c>
      <c r="Z17" s="58" t="n">
        <f aca="false">'06_CONSTRUCTION'!Z14*'06_CONSTRUCTION'!$C$9*'07_OPEX'!$C$10*'06_CONSTRUCTION'!Z17</f>
        <v>0.606255927894762</v>
      </c>
      <c r="AA17" s="58" t="n">
        <f aca="false">'06_CONSTRUCTION'!AA14*'06_CONSTRUCTION'!$C$9*'07_OPEX'!$C$10*'06_CONSTRUCTION'!AA17</f>
        <v>0.618381046452657</v>
      </c>
      <c r="AB17" s="58" t="n">
        <f aca="false">'06_CONSTRUCTION'!AB14*'06_CONSTRUCTION'!$C$9*'07_OPEX'!$C$10*'06_CONSTRUCTION'!AB17</f>
        <v>0.63074866738171</v>
      </c>
      <c r="AC17" s="58" t="n">
        <f aca="false">'06_CONSTRUCTION'!AC14*'06_CONSTRUCTION'!$C$9*'07_OPEX'!$C$10*'06_CONSTRUCTION'!AC17</f>
        <v>0.643363640729344</v>
      </c>
      <c r="AD17" s="58" t="n">
        <f aca="false">'06_CONSTRUCTION'!AD14*'06_CONSTRUCTION'!$C$9*'07_OPEX'!$C$10*'06_CONSTRUCTION'!AD17</f>
        <v>0.656230913543931</v>
      </c>
      <c r="AE17" s="58" t="n">
        <f aca="false">'06_CONSTRUCTION'!AE14*'06_CONSTRUCTION'!$C$9*'07_OPEX'!$C$10*'06_CONSTRUCTION'!AE17</f>
        <v>0.66935553181481</v>
      </c>
      <c r="AF17" s="58" t="n">
        <f aca="false">'06_CONSTRUCTION'!AF14*'06_CONSTRUCTION'!$C$9*'07_OPEX'!$C$10*'06_CONSTRUCTION'!AF17</f>
        <v>0.682742642451106</v>
      </c>
      <c r="AG17" s="58" t="n">
        <f aca="false">'06_CONSTRUCTION'!AG14*'06_CONSTRUCTION'!$C$9*'07_OPEX'!$C$10*'06_CONSTRUCTION'!AG17</f>
        <v>0</v>
      </c>
      <c r="AH17" s="58" t="n">
        <f aca="false">'06_CONSTRUCTION'!AH14*'06_CONSTRUCTION'!$C$9*'07_OPEX'!$C$10*'06_CONSTRUCTION'!AH17</f>
        <v>0</v>
      </c>
      <c r="AI17" s="58" t="n">
        <f aca="false">'06_CONSTRUCTION'!AI14*'06_CONSTRUCTION'!$C$9*'07_OPEX'!$C$10*'06_CONSTRUCTION'!AI17</f>
        <v>0</v>
      </c>
      <c r="AJ17" s="58" t="n">
        <f aca="false">'06_CONSTRUCTION'!AJ14*'06_CONSTRUCTION'!$C$9*'07_OPEX'!$C$10*'06_CONSTRUCTION'!AJ17</f>
        <v>0</v>
      </c>
      <c r="AK17" s="58" t="n">
        <f aca="false">'06_CONSTRUCTION'!AK14*'06_CONSTRUCTION'!$C$9*'07_OPEX'!$C$10*'06_CONSTRUCTION'!AK17</f>
        <v>0</v>
      </c>
      <c r="AL17" s="58" t="n">
        <f aca="false">'06_CONSTRUCTION'!AL14*'06_CONSTRUCTION'!$C$9*'07_OPEX'!$C$10*'06_CONSTRUCTION'!AL17</f>
        <v>0</v>
      </c>
      <c r="AM17" s="58" t="n">
        <f aca="false">'06_CONSTRUCTION'!AM14*'06_CONSTRUCTION'!$C$9*'07_OPEX'!$C$10*'06_CONSTRUCTION'!AM17</f>
        <v>0</v>
      </c>
      <c r="AN17" s="58" t="n">
        <f aca="false">'06_CONSTRUCTION'!AN14*'06_CONSTRUCTION'!$C$9*'07_OPEX'!$C$10*'06_CONSTRUCTION'!AN17</f>
        <v>0</v>
      </c>
      <c r="AO17" s="58" t="n">
        <f aca="false">'06_CONSTRUCTION'!AO14*'06_CONSTRUCTION'!$C$9*'07_OPEX'!$C$10*'06_CONSTRUCTION'!AO17</f>
        <v>0</v>
      </c>
      <c r="AP17" s="58" t="n">
        <f aca="false">'06_CONSTRUCTION'!AP14*'06_CONSTRUCTION'!$C$9*'07_OPEX'!$C$10*'06_CONSTRUCTION'!AP17</f>
        <v>0</v>
      </c>
      <c r="AQ17" s="58" t="n">
        <f aca="false">'06_CONSTRUCTION'!AQ14*'06_CONSTRUCTION'!$C$9*'07_OPEX'!$C$10*'06_CONSTRUCTION'!AQ17</f>
        <v>0</v>
      </c>
      <c r="AR17" s="58" t="n">
        <f aca="false">'06_CONSTRUCTION'!AR14*'06_CONSTRUCTION'!$C$9*'07_OPEX'!$C$10*'06_CONSTRUCTION'!AR17</f>
        <v>0</v>
      </c>
    </row>
    <row r="18" customFormat="false" ht="15" hidden="false" customHeight="true" outlineLevel="0" collapsed="false">
      <c r="A18" s="23" t="s">
        <v>417</v>
      </c>
      <c r="B18" s="23" t="s">
        <v>121</v>
      </c>
      <c r="C18" s="58" t="n">
        <f aca="false">SUM('07_OPEX'!$E$18:$AR$18)</f>
        <v>27.7365012118962</v>
      </c>
      <c r="E18" s="58" t="n">
        <f aca="false">'06_CONSTRUCTION'!E14*'07_OPEX'!$C$11*'27_SCENARIOS'!$C$39*'06_CONSTRUCTION'!E17</f>
        <v>0</v>
      </c>
      <c r="F18" s="58" t="n">
        <f aca="false">'06_CONSTRUCTION'!F14*'07_OPEX'!$C$11*'27_SCENARIOS'!$C$39*'06_CONSTRUCTION'!F17</f>
        <v>0</v>
      </c>
      <c r="G18" s="58" t="n">
        <f aca="false">'06_CONSTRUCTION'!G14*'07_OPEX'!$C$11*'27_SCENARIOS'!$C$39*'06_CONSTRUCTION'!G17</f>
        <v>0</v>
      </c>
      <c r="H18" s="58" t="n">
        <f aca="false">'06_CONSTRUCTION'!H14*'07_OPEX'!$C$11*'27_SCENARIOS'!$C$39*'06_CONSTRUCTION'!H17</f>
        <v>0.865945728</v>
      </c>
      <c r="I18" s="58" t="n">
        <f aca="false">'06_CONSTRUCTION'!I14*'07_OPEX'!$C$11*'27_SCENARIOS'!$C$39*'06_CONSTRUCTION'!I17</f>
        <v>0.88326464256</v>
      </c>
      <c r="J18" s="58" t="n">
        <f aca="false">'06_CONSTRUCTION'!J14*'07_OPEX'!$C$11*'27_SCENARIOS'!$C$39*'06_CONSTRUCTION'!J17</f>
        <v>0.9009299354112</v>
      </c>
      <c r="K18" s="58" t="n">
        <f aca="false">'06_CONSTRUCTION'!K14*'07_OPEX'!$C$11*'27_SCENARIOS'!$C$39*'06_CONSTRUCTION'!K17</f>
        <v>0.918948534119424</v>
      </c>
      <c r="L18" s="58" t="n">
        <f aca="false">'06_CONSTRUCTION'!L14*'07_OPEX'!$C$11*'27_SCENARIOS'!$C$39*'06_CONSTRUCTION'!L17</f>
        <v>0.937327504801813</v>
      </c>
      <c r="M18" s="58" t="n">
        <f aca="false">'06_CONSTRUCTION'!M14*'07_OPEX'!$C$11*'27_SCENARIOS'!$C$39*'06_CONSTRUCTION'!M17</f>
        <v>0.956074054897849</v>
      </c>
      <c r="N18" s="58" t="n">
        <f aca="false">'06_CONSTRUCTION'!N14*'07_OPEX'!$C$11*'27_SCENARIOS'!$C$39*'06_CONSTRUCTION'!N17</f>
        <v>0.975195535995806</v>
      </c>
      <c r="O18" s="58" t="n">
        <f aca="false">'06_CONSTRUCTION'!O14*'07_OPEX'!$C$11*'27_SCENARIOS'!$C$39*'06_CONSTRUCTION'!O17</f>
        <v>0.994699446715722</v>
      </c>
      <c r="P18" s="58" t="n">
        <f aca="false">'06_CONSTRUCTION'!P14*'07_OPEX'!$C$11*'27_SCENARIOS'!$C$39*'06_CONSTRUCTION'!P17</f>
        <v>1.01459343565004</v>
      </c>
      <c r="Q18" s="58" t="n">
        <f aca="false">'06_CONSTRUCTION'!Q14*'07_OPEX'!$C$11*'27_SCENARIOS'!$C$39*'06_CONSTRUCTION'!Q17</f>
        <v>1.03488530436304</v>
      </c>
      <c r="R18" s="58" t="n">
        <f aca="false">'06_CONSTRUCTION'!R14*'07_OPEX'!$C$11*'27_SCENARIOS'!$C$39*'06_CONSTRUCTION'!R17</f>
        <v>1.0555830104503</v>
      </c>
      <c r="S18" s="58" t="n">
        <f aca="false">'06_CONSTRUCTION'!S14*'07_OPEX'!$C$11*'27_SCENARIOS'!$C$39*'06_CONSTRUCTION'!S17</f>
        <v>1.0766946706593</v>
      </c>
      <c r="T18" s="58" t="n">
        <f aca="false">'06_CONSTRUCTION'!T14*'07_OPEX'!$C$11*'27_SCENARIOS'!$C$39*'06_CONSTRUCTION'!T17</f>
        <v>1.09822856407249</v>
      </c>
      <c r="U18" s="58" t="n">
        <f aca="false">'06_CONSTRUCTION'!U14*'07_OPEX'!$C$11*'27_SCENARIOS'!$C$39*'06_CONSTRUCTION'!U17</f>
        <v>1.12019313535394</v>
      </c>
      <c r="V18" s="58" t="n">
        <f aca="false">'06_CONSTRUCTION'!V14*'07_OPEX'!$C$11*'27_SCENARIOS'!$C$39*'06_CONSTRUCTION'!V17</f>
        <v>1.14259699806102</v>
      </c>
      <c r="W18" s="58" t="n">
        <f aca="false">'06_CONSTRUCTION'!W14*'07_OPEX'!$C$11*'27_SCENARIOS'!$C$39*'06_CONSTRUCTION'!W17</f>
        <v>1.16544893802224</v>
      </c>
      <c r="X18" s="58" t="n">
        <f aca="false">'06_CONSTRUCTION'!X14*'07_OPEX'!$C$11*'27_SCENARIOS'!$C$39*'06_CONSTRUCTION'!X17</f>
        <v>1.18875791678268</v>
      </c>
      <c r="Y18" s="58" t="n">
        <f aca="false">'06_CONSTRUCTION'!Y14*'07_OPEX'!$C$11*'27_SCENARIOS'!$C$39*'06_CONSTRUCTION'!Y17</f>
        <v>1.21253307511834</v>
      </c>
      <c r="Z18" s="58" t="n">
        <f aca="false">'06_CONSTRUCTION'!Z14*'07_OPEX'!$C$11*'27_SCENARIOS'!$C$39*'06_CONSTRUCTION'!Z17</f>
        <v>1.2367837366207</v>
      </c>
      <c r="AA18" s="58" t="n">
        <f aca="false">'06_CONSTRUCTION'!AA14*'07_OPEX'!$C$11*'27_SCENARIOS'!$C$39*'06_CONSTRUCTION'!AA17</f>
        <v>1.26151941135312</v>
      </c>
      <c r="AB18" s="58" t="n">
        <f aca="false">'06_CONSTRUCTION'!AB14*'07_OPEX'!$C$11*'27_SCENARIOS'!$C$39*'06_CONSTRUCTION'!AB17</f>
        <v>1.28674979958018</v>
      </c>
      <c r="AC18" s="58" t="n">
        <f aca="false">'06_CONSTRUCTION'!AC14*'07_OPEX'!$C$11*'27_SCENARIOS'!$C$39*'06_CONSTRUCTION'!AC17</f>
        <v>1.31248479557178</v>
      </c>
      <c r="AD18" s="58" t="n">
        <f aca="false">'06_CONSTRUCTION'!AD14*'07_OPEX'!$C$11*'27_SCENARIOS'!$C$39*'06_CONSTRUCTION'!AD17</f>
        <v>1.33873449148322</v>
      </c>
      <c r="AE18" s="58" t="n">
        <f aca="false">'06_CONSTRUCTION'!AE14*'07_OPEX'!$C$11*'27_SCENARIOS'!$C$39*'06_CONSTRUCTION'!AE17</f>
        <v>1.36550918131288</v>
      </c>
      <c r="AF18" s="58" t="n">
        <f aca="false">'06_CONSTRUCTION'!AF14*'07_OPEX'!$C$11*'27_SCENARIOS'!$C$39*'06_CONSTRUCTION'!AF17</f>
        <v>1.39281936493914</v>
      </c>
      <c r="AG18" s="58" t="n">
        <f aca="false">'06_CONSTRUCTION'!AG14*'07_OPEX'!$C$11*'27_SCENARIOS'!$C$39*'06_CONSTRUCTION'!AG17</f>
        <v>0</v>
      </c>
      <c r="AH18" s="58" t="n">
        <f aca="false">'06_CONSTRUCTION'!AH14*'07_OPEX'!$C$11*'27_SCENARIOS'!$C$39*'06_CONSTRUCTION'!AH17</f>
        <v>0</v>
      </c>
      <c r="AI18" s="58" t="n">
        <f aca="false">'06_CONSTRUCTION'!AI14*'07_OPEX'!$C$11*'27_SCENARIOS'!$C$39*'06_CONSTRUCTION'!AI17</f>
        <v>0</v>
      </c>
      <c r="AJ18" s="58" t="n">
        <f aca="false">'06_CONSTRUCTION'!AJ14*'07_OPEX'!$C$11*'27_SCENARIOS'!$C$39*'06_CONSTRUCTION'!AJ17</f>
        <v>0</v>
      </c>
      <c r="AK18" s="58" t="n">
        <f aca="false">'06_CONSTRUCTION'!AK14*'07_OPEX'!$C$11*'27_SCENARIOS'!$C$39*'06_CONSTRUCTION'!AK17</f>
        <v>0</v>
      </c>
      <c r="AL18" s="58" t="n">
        <f aca="false">'06_CONSTRUCTION'!AL14*'07_OPEX'!$C$11*'27_SCENARIOS'!$C$39*'06_CONSTRUCTION'!AL17</f>
        <v>0</v>
      </c>
      <c r="AM18" s="58" t="n">
        <f aca="false">'06_CONSTRUCTION'!AM14*'07_OPEX'!$C$11*'27_SCENARIOS'!$C$39*'06_CONSTRUCTION'!AM17</f>
        <v>0</v>
      </c>
      <c r="AN18" s="58" t="n">
        <f aca="false">'06_CONSTRUCTION'!AN14*'07_OPEX'!$C$11*'27_SCENARIOS'!$C$39*'06_CONSTRUCTION'!AN17</f>
        <v>0</v>
      </c>
      <c r="AO18" s="58" t="n">
        <f aca="false">'06_CONSTRUCTION'!AO14*'07_OPEX'!$C$11*'27_SCENARIOS'!$C$39*'06_CONSTRUCTION'!AO17</f>
        <v>0</v>
      </c>
      <c r="AP18" s="58" t="n">
        <f aca="false">'06_CONSTRUCTION'!AP14*'07_OPEX'!$C$11*'27_SCENARIOS'!$C$39*'06_CONSTRUCTION'!AP17</f>
        <v>0</v>
      </c>
      <c r="AQ18" s="58" t="n">
        <f aca="false">'06_CONSTRUCTION'!AQ14*'07_OPEX'!$C$11*'27_SCENARIOS'!$C$39*'06_CONSTRUCTION'!AQ17</f>
        <v>0</v>
      </c>
      <c r="AR18" s="58" t="n">
        <f aca="false">'06_CONSTRUCTION'!AR14*'07_OPEX'!$C$11*'27_SCENARIOS'!$C$39*'06_CONSTRUCTION'!AR17</f>
        <v>0</v>
      </c>
    </row>
    <row r="19" customFormat="false" ht="15" hidden="false" customHeight="true" outlineLevel="0" collapsed="false">
      <c r="A19" s="23" t="s">
        <v>418</v>
      </c>
      <c r="B19" s="23" t="s">
        <v>121</v>
      </c>
      <c r="C19" s="58" t="n">
        <f aca="false">SUM('07_OPEX'!$E$19:$AR$19)</f>
        <v>8.68499194197501</v>
      </c>
      <c r="E19" s="58" t="n">
        <f aca="false">IF('08_TRANSMISSION'!$C$17=2,'08_TRANSMISSION'!E34,0)+'08_TRANSMISSION'!E36</f>
        <v>0</v>
      </c>
      <c r="F19" s="58" t="n">
        <f aca="false">IF('08_TRANSMISSION'!$C$17=2,'08_TRANSMISSION'!F34,0)+'08_TRANSMISSION'!F36</f>
        <v>0</v>
      </c>
      <c r="G19" s="58" t="n">
        <f aca="false">IF('08_TRANSMISSION'!$C$17=2,'08_TRANSMISSION'!G34,0)+'08_TRANSMISSION'!G36</f>
        <v>0</v>
      </c>
      <c r="H19" s="58" t="n">
        <f aca="false">IF('08_TRANSMISSION'!$C$17=2,'08_TRANSMISSION'!H34,0)+'08_TRANSMISSION'!H36</f>
        <v>0.27114925608</v>
      </c>
      <c r="I19" s="58" t="n">
        <f aca="false">IF('08_TRANSMISSION'!$C$17=2,'08_TRANSMISSION'!I34,0)+'08_TRANSMISSION'!I36</f>
        <v>0.2765722412016</v>
      </c>
      <c r="J19" s="58" t="n">
        <f aca="false">IF('08_TRANSMISSION'!$C$17=2,'08_TRANSMISSION'!J34,0)+'08_TRANSMISSION'!J36</f>
        <v>0.282103686025632</v>
      </c>
      <c r="K19" s="58" t="n">
        <f aca="false">IF('08_TRANSMISSION'!$C$17=2,'08_TRANSMISSION'!K34,0)+'08_TRANSMISSION'!K36</f>
        <v>0.287745759746145</v>
      </c>
      <c r="L19" s="58" t="n">
        <f aca="false">IF('08_TRANSMISSION'!$C$17=2,'08_TRANSMISSION'!L34,0)+'08_TRANSMISSION'!L36</f>
        <v>0.293500674941068</v>
      </c>
      <c r="M19" s="58" t="n">
        <f aca="false">IF('08_TRANSMISSION'!$C$17=2,'08_TRANSMISSION'!M34,0)+'08_TRANSMISSION'!M36</f>
        <v>0.299370688439889</v>
      </c>
      <c r="N19" s="58" t="n">
        <f aca="false">IF('08_TRANSMISSION'!$C$17=2,'08_TRANSMISSION'!N34,0)+'08_TRANSMISSION'!N36</f>
        <v>0.305358102208687</v>
      </c>
      <c r="O19" s="58" t="n">
        <f aca="false">IF('08_TRANSMISSION'!$C$17=2,'08_TRANSMISSION'!O34,0)+'08_TRANSMISSION'!O36</f>
        <v>0.31146526425286</v>
      </c>
      <c r="P19" s="58" t="n">
        <f aca="false">IF('08_TRANSMISSION'!$C$17=2,'08_TRANSMISSION'!P34,0)+'08_TRANSMISSION'!P36</f>
        <v>0.317694569537918</v>
      </c>
      <c r="Q19" s="58" t="n">
        <f aca="false">IF('08_TRANSMISSION'!$C$17=2,'08_TRANSMISSION'!Q34,0)+'08_TRANSMISSION'!Q36</f>
        <v>0.324048460928676</v>
      </c>
      <c r="R19" s="58" t="n">
        <f aca="false">IF('08_TRANSMISSION'!$C$17=2,'08_TRANSMISSION'!R34,0)+'08_TRANSMISSION'!R36</f>
        <v>0.33052943014725</v>
      </c>
      <c r="S19" s="58" t="n">
        <f aca="false">IF('08_TRANSMISSION'!$C$17=2,'08_TRANSMISSION'!S34,0)+'08_TRANSMISSION'!S36</f>
        <v>0.337140018750195</v>
      </c>
      <c r="T19" s="58" t="n">
        <f aca="false">IF('08_TRANSMISSION'!$C$17=2,'08_TRANSMISSION'!T34,0)+'08_TRANSMISSION'!T36</f>
        <v>0.343882819125198</v>
      </c>
      <c r="U19" s="58" t="n">
        <f aca="false">IF('08_TRANSMISSION'!$C$17=2,'08_TRANSMISSION'!U34,0)+'08_TRANSMISSION'!U36</f>
        <v>0.350760475507702</v>
      </c>
      <c r="V19" s="58" t="n">
        <f aca="false">IF('08_TRANSMISSION'!$C$17=2,'08_TRANSMISSION'!V34,0)+'08_TRANSMISSION'!V36</f>
        <v>0.357775685017857</v>
      </c>
      <c r="W19" s="58" t="n">
        <f aca="false">IF('08_TRANSMISSION'!$C$17=2,'08_TRANSMISSION'!W34,0)+'08_TRANSMISSION'!W36</f>
        <v>0.364931198718214</v>
      </c>
      <c r="X19" s="58" t="n">
        <f aca="false">IF('08_TRANSMISSION'!$C$17=2,'08_TRANSMISSION'!X34,0)+'08_TRANSMISSION'!X36</f>
        <v>0.372229822692578</v>
      </c>
      <c r="Y19" s="58" t="n">
        <f aca="false">IF('08_TRANSMISSION'!$C$17=2,'08_TRANSMISSION'!Y34,0)+'08_TRANSMISSION'!Y36</f>
        <v>0.379674419146429</v>
      </c>
      <c r="Z19" s="58" t="n">
        <f aca="false">IF('08_TRANSMISSION'!$C$17=2,'08_TRANSMISSION'!Z34,0)+'08_TRANSMISSION'!Z36</f>
        <v>0.387267907529358</v>
      </c>
      <c r="AA19" s="58" t="n">
        <f aca="false">IF('08_TRANSMISSION'!$C$17=2,'08_TRANSMISSION'!AA34,0)+'08_TRANSMISSION'!AA36</f>
        <v>0.395013265679945</v>
      </c>
      <c r="AB19" s="58" t="n">
        <f aca="false">IF('08_TRANSMISSION'!$C$17=2,'08_TRANSMISSION'!AB34,0)+'08_TRANSMISSION'!AB36</f>
        <v>0.402913530993544</v>
      </c>
      <c r="AC19" s="58" t="n">
        <f aca="false">IF('08_TRANSMISSION'!$C$17=2,'08_TRANSMISSION'!AC34,0)+'08_TRANSMISSION'!AC36</f>
        <v>0.410971801613415</v>
      </c>
      <c r="AD19" s="58" t="n">
        <f aca="false">IF('08_TRANSMISSION'!$C$17=2,'08_TRANSMISSION'!AD34,0)+'08_TRANSMISSION'!AD36</f>
        <v>0.419191237645683</v>
      </c>
      <c r="AE19" s="58" t="n">
        <f aca="false">IF('08_TRANSMISSION'!$C$17=2,'08_TRANSMISSION'!AE34,0)+'08_TRANSMISSION'!AE36</f>
        <v>0.427575062398597</v>
      </c>
      <c r="AF19" s="58" t="n">
        <f aca="false">IF('08_TRANSMISSION'!$C$17=2,'08_TRANSMISSION'!AF34,0)+'08_TRANSMISSION'!AF36</f>
        <v>0.436126563646569</v>
      </c>
      <c r="AG19" s="58" t="n">
        <f aca="false">IF('08_TRANSMISSION'!$C$17=2,'08_TRANSMISSION'!AG34,0)+'08_TRANSMISSION'!AG36</f>
        <v>0</v>
      </c>
      <c r="AH19" s="58" t="n">
        <f aca="false">IF('08_TRANSMISSION'!$C$17=2,'08_TRANSMISSION'!AH34,0)+'08_TRANSMISSION'!AH36</f>
        <v>0</v>
      </c>
      <c r="AI19" s="58" t="n">
        <f aca="false">IF('08_TRANSMISSION'!$C$17=2,'08_TRANSMISSION'!AI34,0)+'08_TRANSMISSION'!AI36</f>
        <v>0</v>
      </c>
      <c r="AJ19" s="58" t="n">
        <f aca="false">IF('08_TRANSMISSION'!$C$17=2,'08_TRANSMISSION'!AJ34,0)+'08_TRANSMISSION'!AJ36</f>
        <v>0</v>
      </c>
      <c r="AK19" s="58" t="n">
        <f aca="false">IF('08_TRANSMISSION'!$C$17=2,'08_TRANSMISSION'!AK34,0)+'08_TRANSMISSION'!AK36</f>
        <v>0</v>
      </c>
      <c r="AL19" s="58" t="n">
        <f aca="false">IF('08_TRANSMISSION'!$C$17=2,'08_TRANSMISSION'!AL34,0)+'08_TRANSMISSION'!AL36</f>
        <v>0</v>
      </c>
      <c r="AM19" s="58" t="n">
        <f aca="false">IF('08_TRANSMISSION'!$C$17=2,'08_TRANSMISSION'!AM34,0)+'08_TRANSMISSION'!AM36</f>
        <v>0</v>
      </c>
      <c r="AN19" s="58" t="n">
        <f aca="false">IF('08_TRANSMISSION'!$C$17=2,'08_TRANSMISSION'!AN34,0)+'08_TRANSMISSION'!AN36</f>
        <v>0</v>
      </c>
      <c r="AO19" s="58" t="n">
        <f aca="false">IF('08_TRANSMISSION'!$C$17=2,'08_TRANSMISSION'!AO34,0)+'08_TRANSMISSION'!AO36</f>
        <v>0</v>
      </c>
      <c r="AP19" s="58" t="n">
        <f aca="false">IF('08_TRANSMISSION'!$C$17=2,'08_TRANSMISSION'!AP34,0)+'08_TRANSMISSION'!AP36</f>
        <v>0</v>
      </c>
      <c r="AQ19" s="58" t="n">
        <f aca="false">IF('08_TRANSMISSION'!$C$17=2,'08_TRANSMISSION'!AQ34,0)+'08_TRANSMISSION'!AQ36</f>
        <v>0</v>
      </c>
      <c r="AR19" s="58" t="n">
        <f aca="false">IF('08_TRANSMISSION'!$C$17=2,'08_TRANSMISSION'!AR34,0)+'08_TRANSMISSION'!AR36</f>
        <v>0</v>
      </c>
    </row>
    <row r="20" customFormat="false" ht="15" hidden="false" customHeight="true" outlineLevel="0" collapsed="false">
      <c r="A20" s="19" t="s">
        <v>419</v>
      </c>
      <c r="B20" s="23" t="s">
        <v>121</v>
      </c>
      <c r="C20" s="58" t="n">
        <f aca="false">SUM('07_OPEX'!$E$20:$AR$20)</f>
        <v>190.091128785216</v>
      </c>
      <c r="E20" s="72" t="n">
        <f aca="false">'07_OPEX'!E14+'07_OPEX'!E15+'07_OPEX'!E16+'07_OPEX'!E17+'07_OPEX'!E18+'07_OPEX'!E19</f>
        <v>0</v>
      </c>
      <c r="F20" s="72" t="n">
        <f aca="false">'07_OPEX'!F14+'07_OPEX'!F15+'07_OPEX'!F16+'07_OPEX'!F17+'07_OPEX'!F18+'07_OPEX'!F19</f>
        <v>0</v>
      </c>
      <c r="G20" s="72" t="n">
        <f aca="false">'07_OPEX'!G14+'07_OPEX'!G15+'07_OPEX'!G16+'07_OPEX'!G17+'07_OPEX'!G18+'07_OPEX'!G19</f>
        <v>0</v>
      </c>
      <c r="H20" s="72" t="n">
        <f aca="false">'07_OPEX'!H14+'07_OPEX'!H15+'07_OPEX'!H16+'07_OPEX'!H17+'07_OPEX'!H18+'07_OPEX'!H19</f>
        <v>5.88872231010618</v>
      </c>
      <c r="I20" s="72" t="n">
        <f aca="false">'07_OPEX'!I14+'07_OPEX'!I15+'07_OPEX'!I16+'07_OPEX'!I17+'07_OPEX'!I18+'07_OPEX'!I19</f>
        <v>6.054935217526</v>
      </c>
      <c r="J20" s="72" t="n">
        <f aca="false">'07_OPEX'!J14+'07_OPEX'!J15+'07_OPEX'!J16+'07_OPEX'!J17+'07_OPEX'!J18+'07_OPEX'!J19</f>
        <v>6.17603392187652</v>
      </c>
      <c r="K20" s="72" t="n">
        <f aca="false">'07_OPEX'!K14+'07_OPEX'!K15+'07_OPEX'!K16+'07_OPEX'!K17+'07_OPEX'!K18+'07_OPEX'!K19</f>
        <v>6.29955460031405</v>
      </c>
      <c r="L20" s="72" t="n">
        <f aca="false">'07_OPEX'!L14+'07_OPEX'!L15+'07_OPEX'!L16+'07_OPEX'!L17+'07_OPEX'!L18+'07_OPEX'!L19</f>
        <v>6.42554569232033</v>
      </c>
      <c r="M20" s="72" t="n">
        <f aca="false">'07_OPEX'!M14+'07_OPEX'!M15+'07_OPEX'!M16+'07_OPEX'!M17+'07_OPEX'!M18+'07_OPEX'!M19</f>
        <v>6.55405660616674</v>
      </c>
      <c r="N20" s="72" t="n">
        <f aca="false">'07_OPEX'!N14+'07_OPEX'!N15+'07_OPEX'!N16+'07_OPEX'!N17+'07_OPEX'!N18+'07_OPEX'!N19</f>
        <v>6.68513773829008</v>
      </c>
      <c r="O20" s="72" t="n">
        <f aca="false">'07_OPEX'!O14+'07_OPEX'!O15+'07_OPEX'!O16+'07_OPEX'!O17+'07_OPEX'!O18+'07_OPEX'!O19</f>
        <v>6.81884049305588</v>
      </c>
      <c r="P20" s="72" t="n">
        <f aca="false">'07_OPEX'!P14+'07_OPEX'!P15+'07_OPEX'!P16+'07_OPEX'!P17+'07_OPEX'!P18+'07_OPEX'!P19</f>
        <v>6.955217302917</v>
      </c>
      <c r="Q20" s="72" t="n">
        <f aca="false">'07_OPEX'!Q14+'07_OPEX'!Q15+'07_OPEX'!Q16+'07_OPEX'!Q17+'07_OPEX'!Q18+'07_OPEX'!Q19</f>
        <v>7.09432164897534</v>
      </c>
      <c r="R20" s="72" t="n">
        <f aca="false">'07_OPEX'!R14+'07_OPEX'!R15+'07_OPEX'!R16+'07_OPEX'!R17+'07_OPEX'!R18+'07_OPEX'!R19</f>
        <v>7.23620808195484</v>
      </c>
      <c r="S20" s="72" t="n">
        <f aca="false">'07_OPEX'!S14+'07_OPEX'!S15+'07_OPEX'!S16+'07_OPEX'!S17+'07_OPEX'!S18+'07_OPEX'!S19</f>
        <v>7.38093224359394</v>
      </c>
      <c r="T20" s="72" t="n">
        <f aca="false">'07_OPEX'!T14+'07_OPEX'!T15+'07_OPEX'!T16+'07_OPEX'!T17+'07_OPEX'!T18+'07_OPEX'!T19</f>
        <v>7.52855088846582</v>
      </c>
      <c r="U20" s="72" t="n">
        <f aca="false">'07_OPEX'!U14+'07_OPEX'!U15+'07_OPEX'!U16+'07_OPEX'!U17+'07_OPEX'!U18+'07_OPEX'!U19</f>
        <v>7.67912190623514</v>
      </c>
      <c r="V20" s="72" t="n">
        <f aca="false">'07_OPEX'!V14+'07_OPEX'!V15+'07_OPEX'!V16+'07_OPEX'!V17+'07_OPEX'!V18+'07_OPEX'!V19</f>
        <v>7.83270434435984</v>
      </c>
      <c r="W20" s="72" t="n">
        <f aca="false">'07_OPEX'!W14+'07_OPEX'!W15+'07_OPEX'!W16+'07_OPEX'!W17+'07_OPEX'!W18+'07_OPEX'!W19</f>
        <v>7.98935843124704</v>
      </c>
      <c r="X20" s="72" t="n">
        <f aca="false">'07_OPEX'!X14+'07_OPEX'!X15+'07_OPEX'!X16+'07_OPEX'!X17+'07_OPEX'!X18+'07_OPEX'!X19</f>
        <v>8.14914559987198</v>
      </c>
      <c r="Y20" s="72" t="n">
        <f aca="false">'07_OPEX'!Y14+'07_OPEX'!Y15+'07_OPEX'!Y16+'07_OPEX'!Y17+'07_OPEX'!Y18+'07_OPEX'!Y19</f>
        <v>8.31212851186942</v>
      </c>
      <c r="Z20" s="72" t="n">
        <f aca="false">'07_OPEX'!Z14+'07_OPEX'!Z15+'07_OPEX'!Z16+'07_OPEX'!Z17+'07_OPEX'!Z18+'07_OPEX'!Z19</f>
        <v>8.4783710821068</v>
      </c>
      <c r="AA20" s="72" t="n">
        <f aca="false">'07_OPEX'!AA14+'07_OPEX'!AA15+'07_OPEX'!AA16+'07_OPEX'!AA17+'07_OPEX'!AA18+'07_OPEX'!AA19</f>
        <v>8.64793850374894</v>
      </c>
      <c r="AB20" s="72" t="n">
        <f aca="false">'07_OPEX'!AB14+'07_OPEX'!AB15+'07_OPEX'!AB16+'07_OPEX'!AB17+'07_OPEX'!AB18+'07_OPEX'!AB19</f>
        <v>8.82089727382392</v>
      </c>
      <c r="AC20" s="72" t="n">
        <f aca="false">'07_OPEX'!AC14+'07_OPEX'!AC15+'07_OPEX'!AC16+'07_OPEX'!AC17+'07_OPEX'!AC18+'07_OPEX'!AC19</f>
        <v>8.9973152193004</v>
      </c>
      <c r="AD20" s="72" t="n">
        <f aca="false">'07_OPEX'!AD14+'07_OPEX'!AD15+'07_OPEX'!AD16+'07_OPEX'!AD17+'07_OPEX'!AD18+'07_OPEX'!AD19</f>
        <v>9.17726152368641</v>
      </c>
      <c r="AE20" s="72" t="n">
        <f aca="false">'07_OPEX'!AE14+'07_OPEX'!AE15+'07_OPEX'!AE16+'07_OPEX'!AE17+'07_OPEX'!AE18+'07_OPEX'!AE19</f>
        <v>9.36080675416014</v>
      </c>
      <c r="AF20" s="72" t="n">
        <f aca="false">'07_OPEX'!AF14+'07_OPEX'!AF15+'07_OPEX'!AF16+'07_OPEX'!AF17+'07_OPEX'!AF18+'07_OPEX'!AF19</f>
        <v>9.54802288924334</v>
      </c>
      <c r="AG20" s="72" t="n">
        <f aca="false">'07_OPEX'!AG14+'07_OPEX'!AG15+'07_OPEX'!AG16+'07_OPEX'!AG17+'07_OPEX'!AG18+'07_OPEX'!AG19</f>
        <v>0</v>
      </c>
      <c r="AH20" s="72" t="n">
        <f aca="false">'07_OPEX'!AH14+'07_OPEX'!AH15+'07_OPEX'!AH16+'07_OPEX'!AH17+'07_OPEX'!AH18+'07_OPEX'!AH19</f>
        <v>0</v>
      </c>
      <c r="AI20" s="72" t="n">
        <f aca="false">'07_OPEX'!AI14+'07_OPEX'!AI15+'07_OPEX'!AI16+'07_OPEX'!AI17+'07_OPEX'!AI18+'07_OPEX'!AI19</f>
        <v>0</v>
      </c>
      <c r="AJ20" s="72" t="n">
        <f aca="false">'07_OPEX'!AJ14+'07_OPEX'!AJ15+'07_OPEX'!AJ16+'07_OPEX'!AJ17+'07_OPEX'!AJ18+'07_OPEX'!AJ19</f>
        <v>0</v>
      </c>
      <c r="AK20" s="72" t="n">
        <f aca="false">'07_OPEX'!AK14+'07_OPEX'!AK15+'07_OPEX'!AK16+'07_OPEX'!AK17+'07_OPEX'!AK18+'07_OPEX'!AK19</f>
        <v>0</v>
      </c>
      <c r="AL20" s="72" t="n">
        <f aca="false">'07_OPEX'!AL14+'07_OPEX'!AL15+'07_OPEX'!AL16+'07_OPEX'!AL17+'07_OPEX'!AL18+'07_OPEX'!AL19</f>
        <v>0</v>
      </c>
      <c r="AM20" s="72" t="n">
        <f aca="false">'07_OPEX'!AM14+'07_OPEX'!AM15+'07_OPEX'!AM16+'07_OPEX'!AM17+'07_OPEX'!AM18+'07_OPEX'!AM19</f>
        <v>0</v>
      </c>
      <c r="AN20" s="72" t="n">
        <f aca="false">'07_OPEX'!AN14+'07_OPEX'!AN15+'07_OPEX'!AN16+'07_OPEX'!AN17+'07_OPEX'!AN18+'07_OPEX'!AN19</f>
        <v>0</v>
      </c>
      <c r="AO20" s="72" t="n">
        <f aca="false">'07_OPEX'!AO14+'07_OPEX'!AO15+'07_OPEX'!AO16+'07_OPEX'!AO17+'07_OPEX'!AO18+'07_OPEX'!AO19</f>
        <v>0</v>
      </c>
      <c r="AP20" s="72" t="n">
        <f aca="false">'07_OPEX'!AP14+'07_OPEX'!AP15+'07_OPEX'!AP16+'07_OPEX'!AP17+'07_OPEX'!AP18+'07_OPEX'!AP19</f>
        <v>0</v>
      </c>
      <c r="AQ20" s="72" t="n">
        <f aca="false">'07_OPEX'!AQ14+'07_OPEX'!AQ15+'07_OPEX'!AQ16+'07_OPEX'!AQ17+'07_OPEX'!AQ18+'07_OPEX'!AQ19</f>
        <v>0</v>
      </c>
      <c r="AR20" s="72" t="n">
        <f aca="false">'07_OPEX'!AR14+'07_OPEX'!AR15+'07_OPEX'!AR16+'07_OPEX'!AR17+'07_OPEX'!AR18+'07_OPEX'!AR19</f>
        <v>0</v>
      </c>
    </row>
    <row r="21" customFormat="false" ht="15" hidden="false" customHeight="true" outlineLevel="0" collapsed="false">
      <c r="A21" s="23" t="s">
        <v>420</v>
      </c>
      <c r="B21" s="23" t="s">
        <v>121</v>
      </c>
      <c r="C21" s="58" t="n">
        <f aca="false">SUM('07_OPEX'!$E$21:$AR$21)</f>
        <v>25.2325598325614</v>
      </c>
      <c r="E21" s="58" t="n">
        <f aca="false">'04_GENERATION'!E20*'07_OPEX'!$C$12*'06_CONSTRUCTION'!E17/1000</f>
        <v>0</v>
      </c>
      <c r="F21" s="58" t="n">
        <f aca="false">'04_GENERATION'!F20*'07_OPEX'!$C$12*'06_CONSTRUCTION'!F17/1000</f>
        <v>0</v>
      </c>
      <c r="G21" s="58" t="n">
        <f aca="false">'04_GENERATION'!G20*'07_OPEX'!$C$12*'06_CONSTRUCTION'!G17/1000</f>
        <v>0</v>
      </c>
      <c r="H21" s="58" t="n">
        <f aca="false">'04_GENERATION'!H20*'07_OPEX'!$C$12*'06_CONSTRUCTION'!H17/1000</f>
        <v>0.672756405801438</v>
      </c>
      <c r="I21" s="58" t="n">
        <f aca="false">'04_GENERATION'!I20*'07_OPEX'!$C$12*'06_CONSTRUCTION'!I17/1000</f>
        <v>0.807307686961726</v>
      </c>
      <c r="J21" s="58" t="n">
        <f aca="false">'04_GENERATION'!J20*'07_OPEX'!$C$12*'06_CONSTRUCTION'!J17/1000</f>
        <v>0.82345384070096</v>
      </c>
      <c r="K21" s="58" t="n">
        <f aca="false">'04_GENERATION'!K20*'07_OPEX'!$C$12*'06_CONSTRUCTION'!K17/1000</f>
        <v>0.839922917514979</v>
      </c>
      <c r="L21" s="58" t="n">
        <f aca="false">'04_GENERATION'!L20*'07_OPEX'!$C$12*'06_CONSTRUCTION'!L17/1000</f>
        <v>0.856721375865279</v>
      </c>
      <c r="M21" s="58" t="n">
        <f aca="false">'04_GENERATION'!M20*'07_OPEX'!$C$12*'06_CONSTRUCTION'!M17/1000</f>
        <v>0.873855803382585</v>
      </c>
      <c r="N21" s="58" t="n">
        <f aca="false">'04_GENERATION'!N20*'07_OPEX'!$C$12*'06_CONSTRUCTION'!N17/1000</f>
        <v>0.891332919450236</v>
      </c>
      <c r="O21" s="58" t="n">
        <f aca="false">'04_GENERATION'!O20*'07_OPEX'!$C$12*'06_CONSTRUCTION'!O17/1000</f>
        <v>0.909159577839241</v>
      </c>
      <c r="P21" s="58" t="n">
        <f aca="false">'04_GENERATION'!P20*'07_OPEX'!$C$12*'06_CONSTRUCTION'!P17/1000</f>
        <v>0.927342769396026</v>
      </c>
      <c r="Q21" s="58" t="n">
        <f aca="false">'04_GENERATION'!Q20*'07_OPEX'!$C$12*'06_CONSTRUCTION'!Q17/1000</f>
        <v>0.945889624783946</v>
      </c>
      <c r="R21" s="58" t="n">
        <f aca="false">'04_GENERATION'!R20*'07_OPEX'!$C$12*'06_CONSTRUCTION'!R17/1000</f>
        <v>0.964807417279625</v>
      </c>
      <c r="S21" s="58" t="n">
        <f aca="false">'04_GENERATION'!S20*'07_OPEX'!$C$12*'06_CONSTRUCTION'!S17/1000</f>
        <v>0.984103565625218</v>
      </c>
      <c r="T21" s="58" t="n">
        <f aca="false">'04_GENERATION'!T20*'07_OPEX'!$C$12*'06_CONSTRUCTION'!T17/1000</f>
        <v>1.00378563693772</v>
      </c>
      <c r="U21" s="58" t="n">
        <f aca="false">'04_GENERATION'!U20*'07_OPEX'!$C$12*'06_CONSTRUCTION'!U17/1000</f>
        <v>1.02386134967648</v>
      </c>
      <c r="V21" s="58" t="n">
        <f aca="false">'04_GENERATION'!V20*'07_OPEX'!$C$12*'06_CONSTRUCTION'!V17/1000</f>
        <v>1.04433857667001</v>
      </c>
      <c r="W21" s="58" t="n">
        <f aca="false">'04_GENERATION'!W20*'07_OPEX'!$C$12*'06_CONSTRUCTION'!W17/1000</f>
        <v>1.06522534820341</v>
      </c>
      <c r="X21" s="58" t="n">
        <f aca="false">'04_GENERATION'!X20*'07_OPEX'!$C$12*'06_CONSTRUCTION'!X17/1000</f>
        <v>1.08652985516747</v>
      </c>
      <c r="Y21" s="58" t="n">
        <f aca="false">'04_GENERATION'!Y20*'07_OPEX'!$C$12*'06_CONSTRUCTION'!Y17/1000</f>
        <v>1.10826045227082</v>
      </c>
      <c r="Z21" s="58" t="n">
        <f aca="false">'04_GENERATION'!Z20*'07_OPEX'!$C$12*'06_CONSTRUCTION'!Z17/1000</f>
        <v>1.13042566131624</v>
      </c>
      <c r="AA21" s="58" t="n">
        <f aca="false">'04_GENERATION'!AA20*'07_OPEX'!$C$12*'06_CONSTRUCTION'!AA17/1000</f>
        <v>1.15303417454257</v>
      </c>
      <c r="AB21" s="58" t="n">
        <f aca="false">'04_GENERATION'!AB20*'07_OPEX'!$C$12*'06_CONSTRUCTION'!AB17/1000</f>
        <v>1.17609485803342</v>
      </c>
      <c r="AC21" s="58" t="n">
        <f aca="false">'04_GENERATION'!AC20*'07_OPEX'!$C$12*'06_CONSTRUCTION'!AC17/1000</f>
        <v>1.19961675519409</v>
      </c>
      <c r="AD21" s="58" t="n">
        <f aca="false">'04_GENERATION'!AD20*'07_OPEX'!$C$12*'06_CONSTRUCTION'!AD17/1000</f>
        <v>1.22360909029797</v>
      </c>
      <c r="AE21" s="58" t="n">
        <f aca="false">'04_GENERATION'!AE20*'07_OPEX'!$C$12*'06_CONSTRUCTION'!AE17/1000</f>
        <v>1.24808127210393</v>
      </c>
      <c r="AF21" s="58" t="n">
        <f aca="false">'04_GENERATION'!AF20*'07_OPEX'!$C$12*'06_CONSTRUCTION'!AF17/1000</f>
        <v>1.273042897546</v>
      </c>
      <c r="AG21" s="58" t="n">
        <f aca="false">'04_GENERATION'!AG20*'07_OPEX'!$C$12*'06_CONSTRUCTION'!AG17/1000</f>
        <v>0</v>
      </c>
      <c r="AH21" s="58" t="n">
        <f aca="false">'04_GENERATION'!AH20*'07_OPEX'!$C$12*'06_CONSTRUCTION'!AH17/1000</f>
        <v>0</v>
      </c>
      <c r="AI21" s="58" t="n">
        <f aca="false">'04_GENERATION'!AI20*'07_OPEX'!$C$12*'06_CONSTRUCTION'!AI17/1000</f>
        <v>0</v>
      </c>
      <c r="AJ21" s="58" t="n">
        <f aca="false">'04_GENERATION'!AJ20*'07_OPEX'!$C$12*'06_CONSTRUCTION'!AJ17/1000</f>
        <v>0</v>
      </c>
      <c r="AK21" s="58" t="n">
        <f aca="false">'04_GENERATION'!AK20*'07_OPEX'!$C$12*'06_CONSTRUCTION'!AK17/1000</f>
        <v>0</v>
      </c>
      <c r="AL21" s="58" t="n">
        <f aca="false">'04_GENERATION'!AL20*'07_OPEX'!$C$12*'06_CONSTRUCTION'!AL17/1000</f>
        <v>0</v>
      </c>
      <c r="AM21" s="58" t="n">
        <f aca="false">'04_GENERATION'!AM20*'07_OPEX'!$C$12*'06_CONSTRUCTION'!AM17/1000</f>
        <v>0</v>
      </c>
      <c r="AN21" s="58" t="n">
        <f aca="false">'04_GENERATION'!AN20*'07_OPEX'!$C$12*'06_CONSTRUCTION'!AN17/1000</f>
        <v>0</v>
      </c>
      <c r="AO21" s="58" t="n">
        <f aca="false">'04_GENERATION'!AO20*'07_OPEX'!$C$12*'06_CONSTRUCTION'!AO17/1000</f>
        <v>0</v>
      </c>
      <c r="AP21" s="58" t="n">
        <f aca="false">'04_GENERATION'!AP20*'07_OPEX'!$C$12*'06_CONSTRUCTION'!AP17/1000</f>
        <v>0</v>
      </c>
      <c r="AQ21" s="58" t="n">
        <f aca="false">'04_GENERATION'!AQ20*'07_OPEX'!$C$12*'06_CONSTRUCTION'!AQ17/1000</f>
        <v>0</v>
      </c>
      <c r="AR21" s="58" t="n">
        <f aca="false">'04_GENERATION'!AR20*'07_OPEX'!$C$12*'06_CONSTRUCTION'!AR17/1000</f>
        <v>0</v>
      </c>
    </row>
    <row r="22" customFormat="false" ht="15" hidden="false" customHeight="true" outlineLevel="0" collapsed="false">
      <c r="A22" s="23" t="s">
        <v>421</v>
      </c>
      <c r="B22" s="23" t="s">
        <v>121</v>
      </c>
      <c r="C22" s="58" t="n">
        <f aca="false">SUM('07_OPEX'!$E$22:$AR$22)</f>
        <v>23.1421678757659</v>
      </c>
      <c r="E22" s="58" t="n">
        <f aca="false">'04_GENERATION'!E23*'07_OPEX'!$C$12*'06_CONSTRUCTION'!E17/1000</f>
        <v>0</v>
      </c>
      <c r="F22" s="58" t="n">
        <f aca="false">'04_GENERATION'!F23*'07_OPEX'!$C$12*'06_CONSTRUCTION'!F17/1000</f>
        <v>0</v>
      </c>
      <c r="G22" s="58" t="n">
        <f aca="false">'04_GENERATION'!G23*'07_OPEX'!$C$12*'06_CONSTRUCTION'!G17/1000</f>
        <v>0</v>
      </c>
      <c r="H22" s="58" t="n">
        <f aca="false">'04_GENERATION'!H23*'07_OPEX'!$C$12*'06_CONSTRUCTION'!H17/1000</f>
        <v>0.617021887032748</v>
      </c>
      <c r="I22" s="58" t="n">
        <f aca="false">'04_GENERATION'!I23*'07_OPEX'!$C$12*'06_CONSTRUCTION'!I17/1000</f>
        <v>0.740426264439298</v>
      </c>
      <c r="J22" s="58" t="n">
        <f aca="false">'04_GENERATION'!J23*'07_OPEX'!$C$12*'06_CONSTRUCTION'!J17/1000</f>
        <v>0.755234789728084</v>
      </c>
      <c r="K22" s="58" t="n">
        <f aca="false">'04_GENERATION'!K23*'07_OPEX'!$C$12*'06_CONSTRUCTION'!K17/1000</f>
        <v>0.770339485522645</v>
      </c>
      <c r="L22" s="58" t="n">
        <f aca="false">'04_GENERATION'!L23*'07_OPEX'!$C$12*'06_CONSTRUCTION'!L17/1000</f>
        <v>0.785746275233098</v>
      </c>
      <c r="M22" s="58" t="n">
        <f aca="false">'04_GENERATION'!M23*'07_OPEX'!$C$12*'06_CONSTRUCTION'!M17/1000</f>
        <v>0.80146120073776</v>
      </c>
      <c r="N22" s="58" t="n">
        <f aca="false">'04_GENERATION'!N23*'07_OPEX'!$C$12*'06_CONSTRUCTION'!N17/1000</f>
        <v>0.817490424752516</v>
      </c>
      <c r="O22" s="58" t="n">
        <f aca="false">'04_GENERATION'!O23*'07_OPEX'!$C$12*'06_CONSTRUCTION'!O17/1000</f>
        <v>0.833840233247566</v>
      </c>
      <c r="P22" s="58" t="n">
        <f aca="false">'04_GENERATION'!P23*'07_OPEX'!$C$12*'06_CONSTRUCTION'!P17/1000</f>
        <v>0.850517037912517</v>
      </c>
      <c r="Q22" s="58" t="n">
        <f aca="false">'04_GENERATION'!Q23*'07_OPEX'!$C$12*'06_CONSTRUCTION'!Q17/1000</f>
        <v>0.867527378670768</v>
      </c>
      <c r="R22" s="58" t="n">
        <f aca="false">'04_GENERATION'!R23*'07_OPEX'!$C$12*'06_CONSTRUCTION'!R17/1000</f>
        <v>0.884877926244183</v>
      </c>
      <c r="S22" s="58" t="n">
        <f aca="false">'04_GENERATION'!S23*'07_OPEX'!$C$12*'06_CONSTRUCTION'!S17/1000</f>
        <v>0.902575484769067</v>
      </c>
      <c r="T22" s="58" t="n">
        <f aca="false">'04_GENERATION'!T23*'07_OPEX'!$C$12*'06_CONSTRUCTION'!T17/1000</f>
        <v>0.920626994464448</v>
      </c>
      <c r="U22" s="58" t="n">
        <f aca="false">'04_GENERATION'!U23*'07_OPEX'!$C$12*'06_CONSTRUCTION'!U17/1000</f>
        <v>0.939039534353737</v>
      </c>
      <c r="V22" s="58" t="n">
        <f aca="false">'04_GENERATION'!V23*'07_OPEX'!$C$12*'06_CONSTRUCTION'!V17/1000</f>
        <v>0.957820325040812</v>
      </c>
      <c r="W22" s="58" t="n">
        <f aca="false">'04_GENERATION'!W23*'07_OPEX'!$C$12*'06_CONSTRUCTION'!W17/1000</f>
        <v>0.976976731541628</v>
      </c>
      <c r="X22" s="58" t="n">
        <f aca="false">'04_GENERATION'!X23*'07_OPEX'!$C$12*'06_CONSTRUCTION'!X17/1000</f>
        <v>0.996516266172461</v>
      </c>
      <c r="Y22" s="58" t="n">
        <f aca="false">'04_GENERATION'!Y23*'07_OPEX'!$C$12*'06_CONSTRUCTION'!Y17/1000</f>
        <v>1.01644659149591</v>
      </c>
      <c r="Z22" s="58" t="n">
        <f aca="false">'04_GENERATION'!Z23*'07_OPEX'!$C$12*'06_CONSTRUCTION'!Z17/1000</f>
        <v>1.03677552332583</v>
      </c>
      <c r="AA22" s="58" t="n">
        <f aca="false">'04_GENERATION'!AA23*'07_OPEX'!$C$12*'06_CONSTRUCTION'!AA17/1000</f>
        <v>1.05751103379234</v>
      </c>
      <c r="AB22" s="58" t="n">
        <f aca="false">'04_GENERATION'!AB23*'07_OPEX'!$C$12*'06_CONSTRUCTION'!AB17/1000</f>
        <v>1.07866125446819</v>
      </c>
      <c r="AC22" s="58" t="n">
        <f aca="false">'04_GENERATION'!AC23*'07_OPEX'!$C$12*'06_CONSTRUCTION'!AC17/1000</f>
        <v>1.10023447955756</v>
      </c>
      <c r="AD22" s="58" t="n">
        <f aca="false">'04_GENERATION'!AD23*'07_OPEX'!$C$12*'06_CONSTRUCTION'!AD17/1000</f>
        <v>1.12223916914871</v>
      </c>
      <c r="AE22" s="58" t="n">
        <f aca="false">'04_GENERATION'!AE23*'07_OPEX'!$C$12*'06_CONSTRUCTION'!AE17/1000</f>
        <v>1.14468395253168</v>
      </c>
      <c r="AF22" s="58" t="n">
        <f aca="false">'04_GENERATION'!AF23*'07_OPEX'!$C$12*'06_CONSTRUCTION'!AF17/1000</f>
        <v>1.16757763158231</v>
      </c>
      <c r="AG22" s="58" t="n">
        <f aca="false">'04_GENERATION'!AG23*'07_OPEX'!$C$12*'06_CONSTRUCTION'!AG17/1000</f>
        <v>0</v>
      </c>
      <c r="AH22" s="58" t="n">
        <f aca="false">'04_GENERATION'!AH23*'07_OPEX'!$C$12*'06_CONSTRUCTION'!AH17/1000</f>
        <v>0</v>
      </c>
      <c r="AI22" s="58" t="n">
        <f aca="false">'04_GENERATION'!AI23*'07_OPEX'!$C$12*'06_CONSTRUCTION'!AI17/1000</f>
        <v>0</v>
      </c>
      <c r="AJ22" s="58" t="n">
        <f aca="false">'04_GENERATION'!AJ23*'07_OPEX'!$C$12*'06_CONSTRUCTION'!AJ17/1000</f>
        <v>0</v>
      </c>
      <c r="AK22" s="58" t="n">
        <f aca="false">'04_GENERATION'!AK23*'07_OPEX'!$C$12*'06_CONSTRUCTION'!AK17/1000</f>
        <v>0</v>
      </c>
      <c r="AL22" s="58" t="n">
        <f aca="false">'04_GENERATION'!AL23*'07_OPEX'!$C$12*'06_CONSTRUCTION'!AL17/1000</f>
        <v>0</v>
      </c>
      <c r="AM22" s="58" t="n">
        <f aca="false">'04_GENERATION'!AM23*'07_OPEX'!$C$12*'06_CONSTRUCTION'!AM17/1000</f>
        <v>0</v>
      </c>
      <c r="AN22" s="58" t="n">
        <f aca="false">'04_GENERATION'!AN23*'07_OPEX'!$C$12*'06_CONSTRUCTION'!AN17/1000</f>
        <v>0</v>
      </c>
      <c r="AO22" s="58" t="n">
        <f aca="false">'04_GENERATION'!AO23*'07_OPEX'!$C$12*'06_CONSTRUCTION'!AO17/1000</f>
        <v>0</v>
      </c>
      <c r="AP22" s="58" t="n">
        <f aca="false">'04_GENERATION'!AP23*'07_OPEX'!$C$12*'06_CONSTRUCTION'!AP17/1000</f>
        <v>0</v>
      </c>
      <c r="AQ22" s="58" t="n">
        <f aca="false">'04_GENERATION'!AQ23*'07_OPEX'!$C$12*'06_CONSTRUCTION'!AQ17/1000</f>
        <v>0</v>
      </c>
      <c r="AR22" s="58" t="n">
        <f aca="false">'04_GENERATION'!AR23*'07_OPEX'!$C$12*'06_CONSTRUCTION'!AR17/1000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R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422</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423</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1" t="s">
        <v>402</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ustomFormat="false" ht="15" hidden="false" customHeight="true" outlineLevel="0" collapsed="false">
      <c r="A7" s="23" t="s">
        <v>424</v>
      </c>
      <c r="B7" s="23"/>
      <c r="C7" s="47" t="s">
        <v>425</v>
      </c>
    </row>
    <row r="8" customFormat="false" ht="15" hidden="false" customHeight="true" outlineLevel="0" collapsed="false">
      <c r="A8" s="23" t="s">
        <v>426</v>
      </c>
      <c r="B8" s="23" t="s">
        <v>427</v>
      </c>
      <c r="C8" s="51" t="n">
        <v>35</v>
      </c>
    </row>
    <row r="9" customFormat="false" ht="15" hidden="false" customHeight="true" outlineLevel="0" collapsed="false">
      <c r="A9" s="23" t="s">
        <v>428</v>
      </c>
      <c r="B9" s="23" t="s">
        <v>429</v>
      </c>
      <c r="C9" s="52" t="n">
        <v>132</v>
      </c>
    </row>
    <row r="10" customFormat="false" ht="15" hidden="false" customHeight="true" outlineLevel="0" collapsed="false">
      <c r="A10" s="23" t="s">
        <v>430</v>
      </c>
      <c r="B10" s="23" t="s">
        <v>232</v>
      </c>
      <c r="C10" s="51" t="n">
        <v>120</v>
      </c>
      <c r="D10" s="25" t="s">
        <v>431</v>
      </c>
    </row>
    <row r="11" customFormat="false" ht="15" hidden="false" customHeight="true" outlineLevel="0" collapsed="false">
      <c r="A11" s="23" t="s">
        <v>432</v>
      </c>
      <c r="B11" s="23" t="s">
        <v>433</v>
      </c>
      <c r="C11" s="73" t="n">
        <v>0.22</v>
      </c>
      <c r="D11" s="25" t="s">
        <v>434</v>
      </c>
    </row>
    <row r="12" customFormat="false" ht="15" hidden="false" customHeight="true" outlineLevel="0" collapsed="false">
      <c r="A12" s="23" t="s">
        <v>435</v>
      </c>
      <c r="B12" s="23" t="s">
        <v>121</v>
      </c>
      <c r="C12" s="65" t="n">
        <v>6</v>
      </c>
      <c r="D12" s="25" t="s">
        <v>241</v>
      </c>
    </row>
    <row r="13" customFormat="false" ht="15" hidden="false" customHeight="true" outlineLevel="0" collapsed="false">
      <c r="A13" s="23" t="s">
        <v>436</v>
      </c>
      <c r="B13" s="23" t="s">
        <v>121</v>
      </c>
      <c r="C13" s="65" t="n">
        <v>3</v>
      </c>
      <c r="D13" s="25" t="s">
        <v>437</v>
      </c>
    </row>
    <row r="14" customFormat="false" ht="15" hidden="false" customHeight="true" outlineLevel="0" collapsed="false">
      <c r="A14" s="23" t="s">
        <v>438</v>
      </c>
      <c r="B14" s="23" t="s">
        <v>147</v>
      </c>
      <c r="C14" s="35" t="n">
        <v>2</v>
      </c>
    </row>
    <row r="15" customFormat="false" ht="15" hidden="false" customHeight="true" outlineLevel="0" collapsed="false">
      <c r="A15" s="23" t="s">
        <v>439</v>
      </c>
      <c r="B15" s="23" t="s">
        <v>93</v>
      </c>
      <c r="C15" s="27" t="n">
        <v>0.02</v>
      </c>
      <c r="D15" s="25" t="s">
        <v>159</v>
      </c>
    </row>
    <row r="16" customFormat="false" ht="15" hidden="false" customHeight="true" outlineLevel="0" collapsed="false">
      <c r="A16" s="23" t="s">
        <v>440</v>
      </c>
      <c r="B16" s="23" t="s">
        <v>441</v>
      </c>
      <c r="C16" s="27" t="n">
        <v>0.015</v>
      </c>
      <c r="D16" s="25" t="s">
        <v>159</v>
      </c>
    </row>
    <row r="17" customFormat="false" ht="15" hidden="false" customHeight="true" outlineLevel="0" collapsed="false">
      <c r="A17" s="23" t="s">
        <v>442</v>
      </c>
      <c r="B17" s="23" t="s">
        <v>87</v>
      </c>
      <c r="C17" s="24" t="n">
        <v>2</v>
      </c>
      <c r="D17" s="25" t="s">
        <v>443</v>
      </c>
    </row>
    <row r="18" customFormat="false" ht="15" hidden="false" customHeight="true" outlineLevel="0" collapsed="false">
      <c r="A18" s="23" t="s">
        <v>444</v>
      </c>
      <c r="B18" s="23" t="s">
        <v>147</v>
      </c>
      <c r="C18" s="35" t="n">
        <v>0</v>
      </c>
    </row>
    <row r="19" customFormat="false" ht="15" hidden="false" customHeight="true" outlineLevel="0" collapsed="false">
      <c r="A19" s="23" t="s">
        <v>445</v>
      </c>
      <c r="B19" s="23" t="s">
        <v>232</v>
      </c>
      <c r="C19" s="52" t="n">
        <v>0</v>
      </c>
      <c r="D19" s="25" t="s">
        <v>446</v>
      </c>
    </row>
    <row r="20" customFormat="false" ht="15" hidden="false" customHeight="true" outlineLevel="0" collapsed="false">
      <c r="A20" s="23" t="s">
        <v>447</v>
      </c>
      <c r="B20" s="23" t="s">
        <v>448</v>
      </c>
      <c r="C20" s="36" t="n">
        <v>0</v>
      </c>
      <c r="D20" s="25" t="s">
        <v>449</v>
      </c>
    </row>
    <row r="21" customFormat="false" ht="15" hidden="false" customHeight="true" outlineLevel="0" collapsed="false">
      <c r="A21" s="23" t="s">
        <v>450</v>
      </c>
      <c r="B21" s="23" t="s">
        <v>90</v>
      </c>
      <c r="C21" s="24" t="n">
        <v>1</v>
      </c>
      <c r="D21" s="25" t="s">
        <v>451</v>
      </c>
    </row>
    <row r="22" customFormat="false" ht="15" hidden="false" customHeight="true" outlineLevel="0" collapsed="false">
      <c r="A22" s="21" t="s">
        <v>452</v>
      </c>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row>
    <row r="23" customFormat="false" ht="15" hidden="false" customHeight="true" outlineLevel="0" collapsed="false">
      <c r="A23" s="19" t="s">
        <v>453</v>
      </c>
      <c r="B23" s="23" t="s">
        <v>121</v>
      </c>
      <c r="C23" s="67" t="n">
        <f aca="false">('08_TRANSMISSION'!$C$8*'08_TRANSMISSION'!$C$11+'08_TRANSMISSION'!$C$12+'08_TRANSMISSION'!$C$13)*'27_SCENARIOS'!$C$27</f>
        <v>16.7</v>
      </c>
    </row>
    <row r="24" customFormat="false" ht="15" hidden="false" customHeight="true" outlineLevel="0" collapsed="false">
      <c r="A24" s="23" t="s">
        <v>454</v>
      </c>
      <c r="B24" s="23" t="s">
        <v>223</v>
      </c>
      <c r="C24" s="74" t="n">
        <f aca="false">'02_PROJECT_INPUTS'!$C$10+'02_PROJECT_INPUTS'!$C$12+'08_TRANSMISSION'!$C$18</f>
        <v>2030</v>
      </c>
    </row>
    <row r="25" customFormat="false" ht="15" hidden="false" customHeight="true" outlineLevel="0" collapsed="false">
      <c r="A25" s="19" t="s">
        <v>455</v>
      </c>
      <c r="B25" s="23" t="s">
        <v>223</v>
      </c>
      <c r="C25" s="71" t="n">
        <f aca="false">'08_TRANSMISSION'!$C$24+'27_SCENARIOS'!$C$37</f>
        <v>2030</v>
      </c>
    </row>
    <row r="26" customFormat="false" ht="15" hidden="false" customHeight="true" outlineLevel="0" collapsed="false">
      <c r="A26" s="19" t="s">
        <v>456</v>
      </c>
      <c r="B26" s="23" t="s">
        <v>147</v>
      </c>
      <c r="C26" s="75" t="n">
        <f aca="false">'08_TRANSMISSION'!$C$25-'06_CONSTRUCTION'!$C$8</f>
        <v>0</v>
      </c>
    </row>
    <row r="27" customFormat="false" ht="15" hidden="false" customHeight="true" outlineLevel="0" collapsed="false">
      <c r="A27" s="19" t="s">
        <v>457</v>
      </c>
      <c r="B27" s="23" t="s">
        <v>232</v>
      </c>
      <c r="C27" s="59" t="n">
        <f aca="false">MAX(0,'02_PROJECT_INPUTS'!$C$15-'09_GRID'!$C$20)</f>
        <v>0</v>
      </c>
    </row>
    <row r="28" customFormat="false" ht="15" hidden="false" customHeight="true" outlineLevel="0" collapsed="false">
      <c r="A28" s="23" t="s">
        <v>458</v>
      </c>
      <c r="B28" s="23" t="s">
        <v>353</v>
      </c>
      <c r="C28" s="62" t="n">
        <f aca="false">'08_TRANSMISSION'!$C$23/'02_PROJECT_INPUTS'!$C$15*1000</f>
        <v>278.333333333333</v>
      </c>
    </row>
    <row r="30" customFormat="false" ht="15" hidden="false" customHeight="true" outlineLevel="0" collapsed="false">
      <c r="A30" s="23" t="s">
        <v>459</v>
      </c>
      <c r="B30" s="23" t="s">
        <v>386</v>
      </c>
      <c r="E30" s="69" t="n">
        <f aca="false">IF('06_CONSTRUCTION'!E4&gt;='08_TRANSMISSION'!$C$25,1,0)</f>
        <v>0</v>
      </c>
      <c r="F30" s="69" t="n">
        <f aca="false">IF('06_CONSTRUCTION'!F4&gt;='08_TRANSMISSION'!$C$25,1,0)</f>
        <v>0</v>
      </c>
      <c r="G30" s="69" t="n">
        <f aca="false">IF('06_CONSTRUCTION'!G4&gt;='08_TRANSMISSION'!$C$25,1,0)</f>
        <v>0</v>
      </c>
      <c r="H30" s="69" t="n">
        <f aca="false">IF('06_CONSTRUCTION'!H4&gt;='08_TRANSMISSION'!$C$25,1,0)</f>
        <v>1</v>
      </c>
      <c r="I30" s="69" t="n">
        <f aca="false">IF('06_CONSTRUCTION'!I4&gt;='08_TRANSMISSION'!$C$25,1,0)</f>
        <v>1</v>
      </c>
      <c r="J30" s="69" t="n">
        <f aca="false">IF('06_CONSTRUCTION'!J4&gt;='08_TRANSMISSION'!$C$25,1,0)</f>
        <v>1</v>
      </c>
      <c r="K30" s="69" t="n">
        <f aca="false">IF('06_CONSTRUCTION'!K4&gt;='08_TRANSMISSION'!$C$25,1,0)</f>
        <v>1</v>
      </c>
      <c r="L30" s="69" t="n">
        <f aca="false">IF('06_CONSTRUCTION'!L4&gt;='08_TRANSMISSION'!$C$25,1,0)</f>
        <v>1</v>
      </c>
      <c r="M30" s="69" t="n">
        <f aca="false">IF('06_CONSTRUCTION'!M4&gt;='08_TRANSMISSION'!$C$25,1,0)</f>
        <v>1</v>
      </c>
      <c r="N30" s="69" t="n">
        <f aca="false">IF('06_CONSTRUCTION'!N4&gt;='08_TRANSMISSION'!$C$25,1,0)</f>
        <v>1</v>
      </c>
      <c r="O30" s="69" t="n">
        <f aca="false">IF('06_CONSTRUCTION'!O4&gt;='08_TRANSMISSION'!$C$25,1,0)</f>
        <v>1</v>
      </c>
      <c r="P30" s="69" t="n">
        <f aca="false">IF('06_CONSTRUCTION'!P4&gt;='08_TRANSMISSION'!$C$25,1,0)</f>
        <v>1</v>
      </c>
      <c r="Q30" s="69" t="n">
        <f aca="false">IF('06_CONSTRUCTION'!Q4&gt;='08_TRANSMISSION'!$C$25,1,0)</f>
        <v>1</v>
      </c>
      <c r="R30" s="69" t="n">
        <f aca="false">IF('06_CONSTRUCTION'!R4&gt;='08_TRANSMISSION'!$C$25,1,0)</f>
        <v>1</v>
      </c>
      <c r="S30" s="69" t="n">
        <f aca="false">IF('06_CONSTRUCTION'!S4&gt;='08_TRANSMISSION'!$C$25,1,0)</f>
        <v>1</v>
      </c>
      <c r="T30" s="69" t="n">
        <f aca="false">IF('06_CONSTRUCTION'!T4&gt;='08_TRANSMISSION'!$C$25,1,0)</f>
        <v>1</v>
      </c>
      <c r="U30" s="69" t="n">
        <f aca="false">IF('06_CONSTRUCTION'!U4&gt;='08_TRANSMISSION'!$C$25,1,0)</f>
        <v>1</v>
      </c>
      <c r="V30" s="69" t="n">
        <f aca="false">IF('06_CONSTRUCTION'!V4&gt;='08_TRANSMISSION'!$C$25,1,0)</f>
        <v>1</v>
      </c>
      <c r="W30" s="69" t="n">
        <f aca="false">IF('06_CONSTRUCTION'!W4&gt;='08_TRANSMISSION'!$C$25,1,0)</f>
        <v>1</v>
      </c>
      <c r="X30" s="69" t="n">
        <f aca="false">IF('06_CONSTRUCTION'!X4&gt;='08_TRANSMISSION'!$C$25,1,0)</f>
        <v>1</v>
      </c>
      <c r="Y30" s="69" t="n">
        <f aca="false">IF('06_CONSTRUCTION'!Y4&gt;='08_TRANSMISSION'!$C$25,1,0)</f>
        <v>1</v>
      </c>
      <c r="Z30" s="69" t="n">
        <f aca="false">IF('06_CONSTRUCTION'!Z4&gt;='08_TRANSMISSION'!$C$25,1,0)</f>
        <v>1</v>
      </c>
      <c r="AA30" s="69" t="n">
        <f aca="false">IF('06_CONSTRUCTION'!AA4&gt;='08_TRANSMISSION'!$C$25,1,0)</f>
        <v>1</v>
      </c>
      <c r="AB30" s="69" t="n">
        <f aca="false">IF('06_CONSTRUCTION'!AB4&gt;='08_TRANSMISSION'!$C$25,1,0)</f>
        <v>1</v>
      </c>
      <c r="AC30" s="69" t="n">
        <f aca="false">IF('06_CONSTRUCTION'!AC4&gt;='08_TRANSMISSION'!$C$25,1,0)</f>
        <v>1</v>
      </c>
      <c r="AD30" s="69" t="n">
        <f aca="false">IF('06_CONSTRUCTION'!AD4&gt;='08_TRANSMISSION'!$C$25,1,0)</f>
        <v>1</v>
      </c>
      <c r="AE30" s="69" t="n">
        <f aca="false">IF('06_CONSTRUCTION'!AE4&gt;='08_TRANSMISSION'!$C$25,1,0)</f>
        <v>1</v>
      </c>
      <c r="AF30" s="69" t="n">
        <f aca="false">IF('06_CONSTRUCTION'!AF4&gt;='08_TRANSMISSION'!$C$25,1,0)</f>
        <v>1</v>
      </c>
      <c r="AG30" s="69" t="n">
        <f aca="false">IF('06_CONSTRUCTION'!AG4&gt;='08_TRANSMISSION'!$C$25,1,0)</f>
        <v>1</v>
      </c>
      <c r="AH30" s="69" t="n">
        <f aca="false">IF('06_CONSTRUCTION'!AH4&gt;='08_TRANSMISSION'!$C$25,1,0)</f>
        <v>1</v>
      </c>
      <c r="AI30" s="69" t="n">
        <f aca="false">IF('06_CONSTRUCTION'!AI4&gt;='08_TRANSMISSION'!$C$25,1,0)</f>
        <v>1</v>
      </c>
      <c r="AJ30" s="69" t="n">
        <f aca="false">IF('06_CONSTRUCTION'!AJ4&gt;='08_TRANSMISSION'!$C$25,1,0)</f>
        <v>1</v>
      </c>
      <c r="AK30" s="69" t="n">
        <f aca="false">IF('06_CONSTRUCTION'!AK4&gt;='08_TRANSMISSION'!$C$25,1,0)</f>
        <v>1</v>
      </c>
      <c r="AL30" s="69" t="n">
        <f aca="false">IF('06_CONSTRUCTION'!AL4&gt;='08_TRANSMISSION'!$C$25,1,0)</f>
        <v>1</v>
      </c>
      <c r="AM30" s="69" t="n">
        <f aca="false">IF('06_CONSTRUCTION'!AM4&gt;='08_TRANSMISSION'!$C$25,1,0)</f>
        <v>1</v>
      </c>
      <c r="AN30" s="69" t="n">
        <f aca="false">IF('06_CONSTRUCTION'!AN4&gt;='08_TRANSMISSION'!$C$25,1,0)</f>
        <v>1</v>
      </c>
      <c r="AO30" s="69" t="n">
        <f aca="false">IF('06_CONSTRUCTION'!AO4&gt;='08_TRANSMISSION'!$C$25,1,0)</f>
        <v>1</v>
      </c>
      <c r="AP30" s="69" t="n">
        <f aca="false">IF('06_CONSTRUCTION'!AP4&gt;='08_TRANSMISSION'!$C$25,1,0)</f>
        <v>1</v>
      </c>
      <c r="AQ30" s="69" t="n">
        <f aca="false">IF('06_CONSTRUCTION'!AQ4&gt;='08_TRANSMISSION'!$C$25,1,0)</f>
        <v>1</v>
      </c>
      <c r="AR30" s="69" t="n">
        <f aca="false">IF('06_CONSTRUCTION'!AR4&gt;='08_TRANSMISSION'!$C$25,1,0)</f>
        <v>1</v>
      </c>
    </row>
    <row r="31" customFormat="false" ht="15" hidden="false" customHeight="true" outlineLevel="0" collapsed="false">
      <c r="A31" s="23" t="s">
        <v>460</v>
      </c>
      <c r="B31" s="23" t="s">
        <v>121</v>
      </c>
      <c r="C31" s="58" t="n">
        <f aca="false">SUM('08_TRANSMISSION'!$E$31:$AR$31)</f>
        <v>17.76475546875</v>
      </c>
      <c r="E31" s="58" t="n">
        <f aca="false">IF(AND('06_CONSTRUCTION'!E4&gt;='08_TRANSMISSION'!$C$24-'08_TRANSMISSION'!$C$14,'06_CONSTRUCTION'!E4&lt;'08_TRANSMISSION'!$C$25),'08_TRANSMISSION'!$C$23*(1+'05_PLANT_CAPEX'!$C$17*'27_SCENARIOS'!$C$37)/('08_TRANSMISSION'!$C$14+'27_SCENARIOS'!$C$37)*'06_CONSTRUCTION'!E21,0)</f>
        <v>0</v>
      </c>
      <c r="F31" s="58" t="n">
        <f aca="false">IF(AND('06_CONSTRUCTION'!F4&gt;='08_TRANSMISSION'!$C$24-'08_TRANSMISSION'!$C$14,'06_CONSTRUCTION'!F4&lt;'08_TRANSMISSION'!$C$25),'08_TRANSMISSION'!$C$23*(1+'05_PLANT_CAPEX'!$C$17*'27_SCENARIOS'!$C$37)/('08_TRANSMISSION'!$C$14+'27_SCENARIOS'!$C$37)*'06_CONSTRUCTION'!F21,0)</f>
        <v>8.77271875</v>
      </c>
      <c r="G31" s="58" t="n">
        <f aca="false">IF(AND('06_CONSTRUCTION'!G4&gt;='08_TRANSMISSION'!$C$24-'08_TRANSMISSION'!$C$14,'06_CONSTRUCTION'!G4&lt;'08_TRANSMISSION'!$C$25),'08_TRANSMISSION'!$C$23*(1+'05_PLANT_CAPEX'!$C$17*'27_SCENARIOS'!$C$37)/('08_TRANSMISSION'!$C$14+'27_SCENARIOS'!$C$37)*'06_CONSTRUCTION'!G21,0)</f>
        <v>8.99203671875</v>
      </c>
      <c r="H31" s="58" t="n">
        <f aca="false">IF(AND('06_CONSTRUCTION'!H4&gt;='08_TRANSMISSION'!$C$24-'08_TRANSMISSION'!$C$14,'06_CONSTRUCTION'!H4&lt;'08_TRANSMISSION'!$C$25),'08_TRANSMISSION'!$C$23*(1+'05_PLANT_CAPEX'!$C$17*'27_SCENARIOS'!$C$37)/('08_TRANSMISSION'!$C$14+'27_SCENARIOS'!$C$37)*'06_CONSTRUCTION'!H21,0)</f>
        <v>0</v>
      </c>
      <c r="I31" s="58" t="n">
        <f aca="false">IF(AND('06_CONSTRUCTION'!I4&gt;='08_TRANSMISSION'!$C$24-'08_TRANSMISSION'!$C$14,'06_CONSTRUCTION'!I4&lt;'08_TRANSMISSION'!$C$25),'08_TRANSMISSION'!$C$23*(1+'05_PLANT_CAPEX'!$C$17*'27_SCENARIOS'!$C$37)/('08_TRANSMISSION'!$C$14+'27_SCENARIOS'!$C$37)*'06_CONSTRUCTION'!I21,0)</f>
        <v>0</v>
      </c>
      <c r="J31" s="58" t="n">
        <f aca="false">IF(AND('06_CONSTRUCTION'!J4&gt;='08_TRANSMISSION'!$C$24-'08_TRANSMISSION'!$C$14,'06_CONSTRUCTION'!J4&lt;'08_TRANSMISSION'!$C$25),'08_TRANSMISSION'!$C$23*(1+'05_PLANT_CAPEX'!$C$17*'27_SCENARIOS'!$C$37)/('08_TRANSMISSION'!$C$14+'27_SCENARIOS'!$C$37)*'06_CONSTRUCTION'!J21,0)</f>
        <v>0</v>
      </c>
      <c r="K31" s="58" t="n">
        <f aca="false">IF(AND('06_CONSTRUCTION'!K4&gt;='08_TRANSMISSION'!$C$24-'08_TRANSMISSION'!$C$14,'06_CONSTRUCTION'!K4&lt;'08_TRANSMISSION'!$C$25),'08_TRANSMISSION'!$C$23*(1+'05_PLANT_CAPEX'!$C$17*'27_SCENARIOS'!$C$37)/('08_TRANSMISSION'!$C$14+'27_SCENARIOS'!$C$37)*'06_CONSTRUCTION'!K21,0)</f>
        <v>0</v>
      </c>
      <c r="L31" s="58" t="n">
        <f aca="false">IF(AND('06_CONSTRUCTION'!L4&gt;='08_TRANSMISSION'!$C$24-'08_TRANSMISSION'!$C$14,'06_CONSTRUCTION'!L4&lt;'08_TRANSMISSION'!$C$25),'08_TRANSMISSION'!$C$23*(1+'05_PLANT_CAPEX'!$C$17*'27_SCENARIOS'!$C$37)/('08_TRANSMISSION'!$C$14+'27_SCENARIOS'!$C$37)*'06_CONSTRUCTION'!L21,0)</f>
        <v>0</v>
      </c>
      <c r="M31" s="58" t="n">
        <f aca="false">IF(AND('06_CONSTRUCTION'!M4&gt;='08_TRANSMISSION'!$C$24-'08_TRANSMISSION'!$C$14,'06_CONSTRUCTION'!M4&lt;'08_TRANSMISSION'!$C$25),'08_TRANSMISSION'!$C$23*(1+'05_PLANT_CAPEX'!$C$17*'27_SCENARIOS'!$C$37)/('08_TRANSMISSION'!$C$14+'27_SCENARIOS'!$C$37)*'06_CONSTRUCTION'!M21,0)</f>
        <v>0</v>
      </c>
      <c r="N31" s="58" t="n">
        <f aca="false">IF(AND('06_CONSTRUCTION'!N4&gt;='08_TRANSMISSION'!$C$24-'08_TRANSMISSION'!$C$14,'06_CONSTRUCTION'!N4&lt;'08_TRANSMISSION'!$C$25),'08_TRANSMISSION'!$C$23*(1+'05_PLANT_CAPEX'!$C$17*'27_SCENARIOS'!$C$37)/('08_TRANSMISSION'!$C$14+'27_SCENARIOS'!$C$37)*'06_CONSTRUCTION'!N21,0)</f>
        <v>0</v>
      </c>
      <c r="O31" s="58" t="n">
        <f aca="false">IF(AND('06_CONSTRUCTION'!O4&gt;='08_TRANSMISSION'!$C$24-'08_TRANSMISSION'!$C$14,'06_CONSTRUCTION'!O4&lt;'08_TRANSMISSION'!$C$25),'08_TRANSMISSION'!$C$23*(1+'05_PLANT_CAPEX'!$C$17*'27_SCENARIOS'!$C$37)/('08_TRANSMISSION'!$C$14+'27_SCENARIOS'!$C$37)*'06_CONSTRUCTION'!O21,0)</f>
        <v>0</v>
      </c>
      <c r="P31" s="58" t="n">
        <f aca="false">IF(AND('06_CONSTRUCTION'!P4&gt;='08_TRANSMISSION'!$C$24-'08_TRANSMISSION'!$C$14,'06_CONSTRUCTION'!P4&lt;'08_TRANSMISSION'!$C$25),'08_TRANSMISSION'!$C$23*(1+'05_PLANT_CAPEX'!$C$17*'27_SCENARIOS'!$C$37)/('08_TRANSMISSION'!$C$14+'27_SCENARIOS'!$C$37)*'06_CONSTRUCTION'!P21,0)</f>
        <v>0</v>
      </c>
      <c r="Q31" s="58" t="n">
        <f aca="false">IF(AND('06_CONSTRUCTION'!Q4&gt;='08_TRANSMISSION'!$C$24-'08_TRANSMISSION'!$C$14,'06_CONSTRUCTION'!Q4&lt;'08_TRANSMISSION'!$C$25),'08_TRANSMISSION'!$C$23*(1+'05_PLANT_CAPEX'!$C$17*'27_SCENARIOS'!$C$37)/('08_TRANSMISSION'!$C$14+'27_SCENARIOS'!$C$37)*'06_CONSTRUCTION'!Q21,0)</f>
        <v>0</v>
      </c>
      <c r="R31" s="58" t="n">
        <f aca="false">IF(AND('06_CONSTRUCTION'!R4&gt;='08_TRANSMISSION'!$C$24-'08_TRANSMISSION'!$C$14,'06_CONSTRUCTION'!R4&lt;'08_TRANSMISSION'!$C$25),'08_TRANSMISSION'!$C$23*(1+'05_PLANT_CAPEX'!$C$17*'27_SCENARIOS'!$C$37)/('08_TRANSMISSION'!$C$14+'27_SCENARIOS'!$C$37)*'06_CONSTRUCTION'!R21,0)</f>
        <v>0</v>
      </c>
      <c r="S31" s="58" t="n">
        <f aca="false">IF(AND('06_CONSTRUCTION'!S4&gt;='08_TRANSMISSION'!$C$24-'08_TRANSMISSION'!$C$14,'06_CONSTRUCTION'!S4&lt;'08_TRANSMISSION'!$C$25),'08_TRANSMISSION'!$C$23*(1+'05_PLANT_CAPEX'!$C$17*'27_SCENARIOS'!$C$37)/('08_TRANSMISSION'!$C$14+'27_SCENARIOS'!$C$37)*'06_CONSTRUCTION'!S21,0)</f>
        <v>0</v>
      </c>
      <c r="T31" s="58" t="n">
        <f aca="false">IF(AND('06_CONSTRUCTION'!T4&gt;='08_TRANSMISSION'!$C$24-'08_TRANSMISSION'!$C$14,'06_CONSTRUCTION'!T4&lt;'08_TRANSMISSION'!$C$25),'08_TRANSMISSION'!$C$23*(1+'05_PLANT_CAPEX'!$C$17*'27_SCENARIOS'!$C$37)/('08_TRANSMISSION'!$C$14+'27_SCENARIOS'!$C$37)*'06_CONSTRUCTION'!T21,0)</f>
        <v>0</v>
      </c>
      <c r="U31" s="58" t="n">
        <f aca="false">IF(AND('06_CONSTRUCTION'!U4&gt;='08_TRANSMISSION'!$C$24-'08_TRANSMISSION'!$C$14,'06_CONSTRUCTION'!U4&lt;'08_TRANSMISSION'!$C$25),'08_TRANSMISSION'!$C$23*(1+'05_PLANT_CAPEX'!$C$17*'27_SCENARIOS'!$C$37)/('08_TRANSMISSION'!$C$14+'27_SCENARIOS'!$C$37)*'06_CONSTRUCTION'!U21,0)</f>
        <v>0</v>
      </c>
      <c r="V31" s="58" t="n">
        <f aca="false">IF(AND('06_CONSTRUCTION'!V4&gt;='08_TRANSMISSION'!$C$24-'08_TRANSMISSION'!$C$14,'06_CONSTRUCTION'!V4&lt;'08_TRANSMISSION'!$C$25),'08_TRANSMISSION'!$C$23*(1+'05_PLANT_CAPEX'!$C$17*'27_SCENARIOS'!$C$37)/('08_TRANSMISSION'!$C$14+'27_SCENARIOS'!$C$37)*'06_CONSTRUCTION'!V21,0)</f>
        <v>0</v>
      </c>
      <c r="W31" s="58" t="n">
        <f aca="false">IF(AND('06_CONSTRUCTION'!W4&gt;='08_TRANSMISSION'!$C$24-'08_TRANSMISSION'!$C$14,'06_CONSTRUCTION'!W4&lt;'08_TRANSMISSION'!$C$25),'08_TRANSMISSION'!$C$23*(1+'05_PLANT_CAPEX'!$C$17*'27_SCENARIOS'!$C$37)/('08_TRANSMISSION'!$C$14+'27_SCENARIOS'!$C$37)*'06_CONSTRUCTION'!W21,0)</f>
        <v>0</v>
      </c>
      <c r="X31" s="58" t="n">
        <f aca="false">IF(AND('06_CONSTRUCTION'!X4&gt;='08_TRANSMISSION'!$C$24-'08_TRANSMISSION'!$C$14,'06_CONSTRUCTION'!X4&lt;'08_TRANSMISSION'!$C$25),'08_TRANSMISSION'!$C$23*(1+'05_PLANT_CAPEX'!$C$17*'27_SCENARIOS'!$C$37)/('08_TRANSMISSION'!$C$14+'27_SCENARIOS'!$C$37)*'06_CONSTRUCTION'!X21,0)</f>
        <v>0</v>
      </c>
      <c r="Y31" s="58" t="n">
        <f aca="false">IF(AND('06_CONSTRUCTION'!Y4&gt;='08_TRANSMISSION'!$C$24-'08_TRANSMISSION'!$C$14,'06_CONSTRUCTION'!Y4&lt;'08_TRANSMISSION'!$C$25),'08_TRANSMISSION'!$C$23*(1+'05_PLANT_CAPEX'!$C$17*'27_SCENARIOS'!$C$37)/('08_TRANSMISSION'!$C$14+'27_SCENARIOS'!$C$37)*'06_CONSTRUCTION'!Y21,0)</f>
        <v>0</v>
      </c>
      <c r="Z31" s="58" t="n">
        <f aca="false">IF(AND('06_CONSTRUCTION'!Z4&gt;='08_TRANSMISSION'!$C$24-'08_TRANSMISSION'!$C$14,'06_CONSTRUCTION'!Z4&lt;'08_TRANSMISSION'!$C$25),'08_TRANSMISSION'!$C$23*(1+'05_PLANT_CAPEX'!$C$17*'27_SCENARIOS'!$C$37)/('08_TRANSMISSION'!$C$14+'27_SCENARIOS'!$C$37)*'06_CONSTRUCTION'!Z21,0)</f>
        <v>0</v>
      </c>
      <c r="AA31" s="58" t="n">
        <f aca="false">IF(AND('06_CONSTRUCTION'!AA4&gt;='08_TRANSMISSION'!$C$24-'08_TRANSMISSION'!$C$14,'06_CONSTRUCTION'!AA4&lt;'08_TRANSMISSION'!$C$25),'08_TRANSMISSION'!$C$23*(1+'05_PLANT_CAPEX'!$C$17*'27_SCENARIOS'!$C$37)/('08_TRANSMISSION'!$C$14+'27_SCENARIOS'!$C$37)*'06_CONSTRUCTION'!AA21,0)</f>
        <v>0</v>
      </c>
      <c r="AB31" s="58" t="n">
        <f aca="false">IF(AND('06_CONSTRUCTION'!AB4&gt;='08_TRANSMISSION'!$C$24-'08_TRANSMISSION'!$C$14,'06_CONSTRUCTION'!AB4&lt;'08_TRANSMISSION'!$C$25),'08_TRANSMISSION'!$C$23*(1+'05_PLANT_CAPEX'!$C$17*'27_SCENARIOS'!$C$37)/('08_TRANSMISSION'!$C$14+'27_SCENARIOS'!$C$37)*'06_CONSTRUCTION'!AB21,0)</f>
        <v>0</v>
      </c>
      <c r="AC31" s="58" t="n">
        <f aca="false">IF(AND('06_CONSTRUCTION'!AC4&gt;='08_TRANSMISSION'!$C$24-'08_TRANSMISSION'!$C$14,'06_CONSTRUCTION'!AC4&lt;'08_TRANSMISSION'!$C$25),'08_TRANSMISSION'!$C$23*(1+'05_PLANT_CAPEX'!$C$17*'27_SCENARIOS'!$C$37)/('08_TRANSMISSION'!$C$14+'27_SCENARIOS'!$C$37)*'06_CONSTRUCTION'!AC21,0)</f>
        <v>0</v>
      </c>
      <c r="AD31" s="58" t="n">
        <f aca="false">IF(AND('06_CONSTRUCTION'!AD4&gt;='08_TRANSMISSION'!$C$24-'08_TRANSMISSION'!$C$14,'06_CONSTRUCTION'!AD4&lt;'08_TRANSMISSION'!$C$25),'08_TRANSMISSION'!$C$23*(1+'05_PLANT_CAPEX'!$C$17*'27_SCENARIOS'!$C$37)/('08_TRANSMISSION'!$C$14+'27_SCENARIOS'!$C$37)*'06_CONSTRUCTION'!AD21,0)</f>
        <v>0</v>
      </c>
      <c r="AE31" s="58" t="n">
        <f aca="false">IF(AND('06_CONSTRUCTION'!AE4&gt;='08_TRANSMISSION'!$C$24-'08_TRANSMISSION'!$C$14,'06_CONSTRUCTION'!AE4&lt;'08_TRANSMISSION'!$C$25),'08_TRANSMISSION'!$C$23*(1+'05_PLANT_CAPEX'!$C$17*'27_SCENARIOS'!$C$37)/('08_TRANSMISSION'!$C$14+'27_SCENARIOS'!$C$37)*'06_CONSTRUCTION'!AE21,0)</f>
        <v>0</v>
      </c>
      <c r="AF31" s="58" t="n">
        <f aca="false">IF(AND('06_CONSTRUCTION'!AF4&gt;='08_TRANSMISSION'!$C$24-'08_TRANSMISSION'!$C$14,'06_CONSTRUCTION'!AF4&lt;'08_TRANSMISSION'!$C$25),'08_TRANSMISSION'!$C$23*(1+'05_PLANT_CAPEX'!$C$17*'27_SCENARIOS'!$C$37)/('08_TRANSMISSION'!$C$14+'27_SCENARIOS'!$C$37)*'06_CONSTRUCTION'!AF21,0)</f>
        <v>0</v>
      </c>
      <c r="AG31" s="58" t="n">
        <f aca="false">IF(AND('06_CONSTRUCTION'!AG4&gt;='08_TRANSMISSION'!$C$24-'08_TRANSMISSION'!$C$14,'06_CONSTRUCTION'!AG4&lt;'08_TRANSMISSION'!$C$25),'08_TRANSMISSION'!$C$23*(1+'05_PLANT_CAPEX'!$C$17*'27_SCENARIOS'!$C$37)/('08_TRANSMISSION'!$C$14+'27_SCENARIOS'!$C$37)*'06_CONSTRUCTION'!AG21,0)</f>
        <v>0</v>
      </c>
      <c r="AH31" s="58" t="n">
        <f aca="false">IF(AND('06_CONSTRUCTION'!AH4&gt;='08_TRANSMISSION'!$C$24-'08_TRANSMISSION'!$C$14,'06_CONSTRUCTION'!AH4&lt;'08_TRANSMISSION'!$C$25),'08_TRANSMISSION'!$C$23*(1+'05_PLANT_CAPEX'!$C$17*'27_SCENARIOS'!$C$37)/('08_TRANSMISSION'!$C$14+'27_SCENARIOS'!$C$37)*'06_CONSTRUCTION'!AH21,0)</f>
        <v>0</v>
      </c>
      <c r="AI31" s="58" t="n">
        <f aca="false">IF(AND('06_CONSTRUCTION'!AI4&gt;='08_TRANSMISSION'!$C$24-'08_TRANSMISSION'!$C$14,'06_CONSTRUCTION'!AI4&lt;'08_TRANSMISSION'!$C$25),'08_TRANSMISSION'!$C$23*(1+'05_PLANT_CAPEX'!$C$17*'27_SCENARIOS'!$C$37)/('08_TRANSMISSION'!$C$14+'27_SCENARIOS'!$C$37)*'06_CONSTRUCTION'!AI21,0)</f>
        <v>0</v>
      </c>
      <c r="AJ31" s="58" t="n">
        <f aca="false">IF(AND('06_CONSTRUCTION'!AJ4&gt;='08_TRANSMISSION'!$C$24-'08_TRANSMISSION'!$C$14,'06_CONSTRUCTION'!AJ4&lt;'08_TRANSMISSION'!$C$25),'08_TRANSMISSION'!$C$23*(1+'05_PLANT_CAPEX'!$C$17*'27_SCENARIOS'!$C$37)/('08_TRANSMISSION'!$C$14+'27_SCENARIOS'!$C$37)*'06_CONSTRUCTION'!AJ21,0)</f>
        <v>0</v>
      </c>
      <c r="AK31" s="58" t="n">
        <f aca="false">IF(AND('06_CONSTRUCTION'!AK4&gt;='08_TRANSMISSION'!$C$24-'08_TRANSMISSION'!$C$14,'06_CONSTRUCTION'!AK4&lt;'08_TRANSMISSION'!$C$25),'08_TRANSMISSION'!$C$23*(1+'05_PLANT_CAPEX'!$C$17*'27_SCENARIOS'!$C$37)/('08_TRANSMISSION'!$C$14+'27_SCENARIOS'!$C$37)*'06_CONSTRUCTION'!AK21,0)</f>
        <v>0</v>
      </c>
      <c r="AL31" s="58" t="n">
        <f aca="false">IF(AND('06_CONSTRUCTION'!AL4&gt;='08_TRANSMISSION'!$C$24-'08_TRANSMISSION'!$C$14,'06_CONSTRUCTION'!AL4&lt;'08_TRANSMISSION'!$C$25),'08_TRANSMISSION'!$C$23*(1+'05_PLANT_CAPEX'!$C$17*'27_SCENARIOS'!$C$37)/('08_TRANSMISSION'!$C$14+'27_SCENARIOS'!$C$37)*'06_CONSTRUCTION'!AL21,0)</f>
        <v>0</v>
      </c>
      <c r="AM31" s="58" t="n">
        <f aca="false">IF(AND('06_CONSTRUCTION'!AM4&gt;='08_TRANSMISSION'!$C$24-'08_TRANSMISSION'!$C$14,'06_CONSTRUCTION'!AM4&lt;'08_TRANSMISSION'!$C$25),'08_TRANSMISSION'!$C$23*(1+'05_PLANT_CAPEX'!$C$17*'27_SCENARIOS'!$C$37)/('08_TRANSMISSION'!$C$14+'27_SCENARIOS'!$C$37)*'06_CONSTRUCTION'!AM21,0)</f>
        <v>0</v>
      </c>
      <c r="AN31" s="58" t="n">
        <f aca="false">IF(AND('06_CONSTRUCTION'!AN4&gt;='08_TRANSMISSION'!$C$24-'08_TRANSMISSION'!$C$14,'06_CONSTRUCTION'!AN4&lt;'08_TRANSMISSION'!$C$25),'08_TRANSMISSION'!$C$23*(1+'05_PLANT_CAPEX'!$C$17*'27_SCENARIOS'!$C$37)/('08_TRANSMISSION'!$C$14+'27_SCENARIOS'!$C$37)*'06_CONSTRUCTION'!AN21,0)</f>
        <v>0</v>
      </c>
      <c r="AO31" s="58" t="n">
        <f aca="false">IF(AND('06_CONSTRUCTION'!AO4&gt;='08_TRANSMISSION'!$C$24-'08_TRANSMISSION'!$C$14,'06_CONSTRUCTION'!AO4&lt;'08_TRANSMISSION'!$C$25),'08_TRANSMISSION'!$C$23*(1+'05_PLANT_CAPEX'!$C$17*'27_SCENARIOS'!$C$37)/('08_TRANSMISSION'!$C$14+'27_SCENARIOS'!$C$37)*'06_CONSTRUCTION'!AO21,0)</f>
        <v>0</v>
      </c>
      <c r="AP31" s="58" t="n">
        <f aca="false">IF(AND('06_CONSTRUCTION'!AP4&gt;='08_TRANSMISSION'!$C$24-'08_TRANSMISSION'!$C$14,'06_CONSTRUCTION'!AP4&lt;'08_TRANSMISSION'!$C$25),'08_TRANSMISSION'!$C$23*(1+'05_PLANT_CAPEX'!$C$17*'27_SCENARIOS'!$C$37)/('08_TRANSMISSION'!$C$14+'27_SCENARIOS'!$C$37)*'06_CONSTRUCTION'!AP21,0)</f>
        <v>0</v>
      </c>
      <c r="AQ31" s="58" t="n">
        <f aca="false">IF(AND('06_CONSTRUCTION'!AQ4&gt;='08_TRANSMISSION'!$C$24-'08_TRANSMISSION'!$C$14,'06_CONSTRUCTION'!AQ4&lt;'08_TRANSMISSION'!$C$25),'08_TRANSMISSION'!$C$23*(1+'05_PLANT_CAPEX'!$C$17*'27_SCENARIOS'!$C$37)/('08_TRANSMISSION'!$C$14+'27_SCENARIOS'!$C$37)*'06_CONSTRUCTION'!AQ21,0)</f>
        <v>0</v>
      </c>
      <c r="AR31" s="58" t="n">
        <f aca="false">IF(AND('06_CONSTRUCTION'!AR4&gt;='08_TRANSMISSION'!$C$24-'08_TRANSMISSION'!$C$14,'06_CONSTRUCTION'!AR4&lt;'08_TRANSMISSION'!$C$25),'08_TRANSMISSION'!$C$23*(1+'05_PLANT_CAPEX'!$C$17*'27_SCENARIOS'!$C$37)/('08_TRANSMISSION'!$C$14+'27_SCENARIOS'!$C$37)*'06_CONSTRUCTION'!AR21,0)</f>
        <v>0</v>
      </c>
    </row>
    <row r="32" customFormat="false" ht="15" hidden="false" customHeight="true" outlineLevel="0" collapsed="false">
      <c r="A32" s="23" t="s">
        <v>461</v>
      </c>
      <c r="B32" s="23" t="s">
        <v>121</v>
      </c>
      <c r="C32" s="58" t="n">
        <f aca="false">SUM('08_TRANSMISSION'!$E$32:$AR$32)</f>
        <v>0</v>
      </c>
      <c r="E32" s="58" t="n">
        <f aca="false">IF('08_TRANSMISSION'!$C$17=1,'08_TRANSMISSION'!E31,0)</f>
        <v>0</v>
      </c>
      <c r="F32" s="58" t="n">
        <f aca="false">IF('08_TRANSMISSION'!$C$17=1,'08_TRANSMISSION'!F31,0)</f>
        <v>0</v>
      </c>
      <c r="G32" s="58" t="n">
        <f aca="false">IF('08_TRANSMISSION'!$C$17=1,'08_TRANSMISSION'!G31,0)</f>
        <v>0</v>
      </c>
      <c r="H32" s="58" t="n">
        <f aca="false">IF('08_TRANSMISSION'!$C$17=1,'08_TRANSMISSION'!H31,0)</f>
        <v>0</v>
      </c>
      <c r="I32" s="58" t="n">
        <f aca="false">IF('08_TRANSMISSION'!$C$17=1,'08_TRANSMISSION'!I31,0)</f>
        <v>0</v>
      </c>
      <c r="J32" s="58" t="n">
        <f aca="false">IF('08_TRANSMISSION'!$C$17=1,'08_TRANSMISSION'!J31,0)</f>
        <v>0</v>
      </c>
      <c r="K32" s="58" t="n">
        <f aca="false">IF('08_TRANSMISSION'!$C$17=1,'08_TRANSMISSION'!K31,0)</f>
        <v>0</v>
      </c>
      <c r="L32" s="58" t="n">
        <f aca="false">IF('08_TRANSMISSION'!$C$17=1,'08_TRANSMISSION'!L31,0)</f>
        <v>0</v>
      </c>
      <c r="M32" s="58" t="n">
        <f aca="false">IF('08_TRANSMISSION'!$C$17=1,'08_TRANSMISSION'!M31,0)</f>
        <v>0</v>
      </c>
      <c r="N32" s="58" t="n">
        <f aca="false">IF('08_TRANSMISSION'!$C$17=1,'08_TRANSMISSION'!N31,0)</f>
        <v>0</v>
      </c>
      <c r="O32" s="58" t="n">
        <f aca="false">IF('08_TRANSMISSION'!$C$17=1,'08_TRANSMISSION'!O31,0)</f>
        <v>0</v>
      </c>
      <c r="P32" s="58" t="n">
        <f aca="false">IF('08_TRANSMISSION'!$C$17=1,'08_TRANSMISSION'!P31,0)</f>
        <v>0</v>
      </c>
      <c r="Q32" s="58" t="n">
        <f aca="false">IF('08_TRANSMISSION'!$C$17=1,'08_TRANSMISSION'!Q31,0)</f>
        <v>0</v>
      </c>
      <c r="R32" s="58" t="n">
        <f aca="false">IF('08_TRANSMISSION'!$C$17=1,'08_TRANSMISSION'!R31,0)</f>
        <v>0</v>
      </c>
      <c r="S32" s="58" t="n">
        <f aca="false">IF('08_TRANSMISSION'!$C$17=1,'08_TRANSMISSION'!S31,0)</f>
        <v>0</v>
      </c>
      <c r="T32" s="58" t="n">
        <f aca="false">IF('08_TRANSMISSION'!$C$17=1,'08_TRANSMISSION'!T31,0)</f>
        <v>0</v>
      </c>
      <c r="U32" s="58" t="n">
        <f aca="false">IF('08_TRANSMISSION'!$C$17=1,'08_TRANSMISSION'!U31,0)</f>
        <v>0</v>
      </c>
      <c r="V32" s="58" t="n">
        <f aca="false">IF('08_TRANSMISSION'!$C$17=1,'08_TRANSMISSION'!V31,0)</f>
        <v>0</v>
      </c>
      <c r="W32" s="58" t="n">
        <f aca="false">IF('08_TRANSMISSION'!$C$17=1,'08_TRANSMISSION'!W31,0)</f>
        <v>0</v>
      </c>
      <c r="X32" s="58" t="n">
        <f aca="false">IF('08_TRANSMISSION'!$C$17=1,'08_TRANSMISSION'!X31,0)</f>
        <v>0</v>
      </c>
      <c r="Y32" s="58" t="n">
        <f aca="false">IF('08_TRANSMISSION'!$C$17=1,'08_TRANSMISSION'!Y31,0)</f>
        <v>0</v>
      </c>
      <c r="Z32" s="58" t="n">
        <f aca="false">IF('08_TRANSMISSION'!$C$17=1,'08_TRANSMISSION'!Z31,0)</f>
        <v>0</v>
      </c>
      <c r="AA32" s="58" t="n">
        <f aca="false">IF('08_TRANSMISSION'!$C$17=1,'08_TRANSMISSION'!AA31,0)</f>
        <v>0</v>
      </c>
      <c r="AB32" s="58" t="n">
        <f aca="false">IF('08_TRANSMISSION'!$C$17=1,'08_TRANSMISSION'!AB31,0)</f>
        <v>0</v>
      </c>
      <c r="AC32" s="58" t="n">
        <f aca="false">IF('08_TRANSMISSION'!$C$17=1,'08_TRANSMISSION'!AC31,0)</f>
        <v>0</v>
      </c>
      <c r="AD32" s="58" t="n">
        <f aca="false">IF('08_TRANSMISSION'!$C$17=1,'08_TRANSMISSION'!AD31,0)</f>
        <v>0</v>
      </c>
      <c r="AE32" s="58" t="n">
        <f aca="false">IF('08_TRANSMISSION'!$C$17=1,'08_TRANSMISSION'!AE31,0)</f>
        <v>0</v>
      </c>
      <c r="AF32" s="58" t="n">
        <f aca="false">IF('08_TRANSMISSION'!$C$17=1,'08_TRANSMISSION'!AF31,0)</f>
        <v>0</v>
      </c>
      <c r="AG32" s="58" t="n">
        <f aca="false">IF('08_TRANSMISSION'!$C$17=1,'08_TRANSMISSION'!AG31,0)</f>
        <v>0</v>
      </c>
      <c r="AH32" s="58" t="n">
        <f aca="false">IF('08_TRANSMISSION'!$C$17=1,'08_TRANSMISSION'!AH31,0)</f>
        <v>0</v>
      </c>
      <c r="AI32" s="58" t="n">
        <f aca="false">IF('08_TRANSMISSION'!$C$17=1,'08_TRANSMISSION'!AI31,0)</f>
        <v>0</v>
      </c>
      <c r="AJ32" s="58" t="n">
        <f aca="false">IF('08_TRANSMISSION'!$C$17=1,'08_TRANSMISSION'!AJ31,0)</f>
        <v>0</v>
      </c>
      <c r="AK32" s="58" t="n">
        <f aca="false">IF('08_TRANSMISSION'!$C$17=1,'08_TRANSMISSION'!AK31,0)</f>
        <v>0</v>
      </c>
      <c r="AL32" s="58" t="n">
        <f aca="false">IF('08_TRANSMISSION'!$C$17=1,'08_TRANSMISSION'!AL31,0)</f>
        <v>0</v>
      </c>
      <c r="AM32" s="58" t="n">
        <f aca="false">IF('08_TRANSMISSION'!$C$17=1,'08_TRANSMISSION'!AM31,0)</f>
        <v>0</v>
      </c>
      <c r="AN32" s="58" t="n">
        <f aca="false">IF('08_TRANSMISSION'!$C$17=1,'08_TRANSMISSION'!AN31,0)</f>
        <v>0</v>
      </c>
      <c r="AO32" s="58" t="n">
        <f aca="false">IF('08_TRANSMISSION'!$C$17=1,'08_TRANSMISSION'!AO31,0)</f>
        <v>0</v>
      </c>
      <c r="AP32" s="58" t="n">
        <f aca="false">IF('08_TRANSMISSION'!$C$17=1,'08_TRANSMISSION'!AP31,0)</f>
        <v>0</v>
      </c>
      <c r="AQ32" s="58" t="n">
        <f aca="false">IF('08_TRANSMISSION'!$C$17=1,'08_TRANSMISSION'!AQ31,0)</f>
        <v>0</v>
      </c>
      <c r="AR32" s="58" t="n">
        <f aca="false">IF('08_TRANSMISSION'!$C$17=1,'08_TRANSMISSION'!AR31,0)</f>
        <v>0</v>
      </c>
    </row>
    <row r="33" customFormat="false" ht="15" hidden="false" customHeight="true" outlineLevel="0" collapsed="false">
      <c r="A33" s="23" t="s">
        <v>462</v>
      </c>
      <c r="B33" s="23" t="s">
        <v>121</v>
      </c>
      <c r="C33" s="58" t="n">
        <f aca="false">SUM('08_TRANSMISSION'!$E$33:$AR$33)</f>
        <v>17.76475546875</v>
      </c>
      <c r="E33" s="58" t="n">
        <f aca="false">IF('08_TRANSMISSION'!$C$17=2,'08_TRANSMISSION'!E31,0)</f>
        <v>0</v>
      </c>
      <c r="F33" s="58" t="n">
        <f aca="false">IF('08_TRANSMISSION'!$C$17=2,'08_TRANSMISSION'!F31,0)</f>
        <v>8.77271875</v>
      </c>
      <c r="G33" s="58" t="n">
        <f aca="false">IF('08_TRANSMISSION'!$C$17=2,'08_TRANSMISSION'!G31,0)</f>
        <v>8.99203671875</v>
      </c>
      <c r="H33" s="58" t="n">
        <f aca="false">IF('08_TRANSMISSION'!$C$17=2,'08_TRANSMISSION'!H31,0)</f>
        <v>0</v>
      </c>
      <c r="I33" s="58" t="n">
        <f aca="false">IF('08_TRANSMISSION'!$C$17=2,'08_TRANSMISSION'!I31,0)</f>
        <v>0</v>
      </c>
      <c r="J33" s="58" t="n">
        <f aca="false">IF('08_TRANSMISSION'!$C$17=2,'08_TRANSMISSION'!J31,0)</f>
        <v>0</v>
      </c>
      <c r="K33" s="58" t="n">
        <f aca="false">IF('08_TRANSMISSION'!$C$17=2,'08_TRANSMISSION'!K31,0)</f>
        <v>0</v>
      </c>
      <c r="L33" s="58" t="n">
        <f aca="false">IF('08_TRANSMISSION'!$C$17=2,'08_TRANSMISSION'!L31,0)</f>
        <v>0</v>
      </c>
      <c r="M33" s="58" t="n">
        <f aca="false">IF('08_TRANSMISSION'!$C$17=2,'08_TRANSMISSION'!M31,0)</f>
        <v>0</v>
      </c>
      <c r="N33" s="58" t="n">
        <f aca="false">IF('08_TRANSMISSION'!$C$17=2,'08_TRANSMISSION'!N31,0)</f>
        <v>0</v>
      </c>
      <c r="O33" s="58" t="n">
        <f aca="false">IF('08_TRANSMISSION'!$C$17=2,'08_TRANSMISSION'!O31,0)</f>
        <v>0</v>
      </c>
      <c r="P33" s="58" t="n">
        <f aca="false">IF('08_TRANSMISSION'!$C$17=2,'08_TRANSMISSION'!P31,0)</f>
        <v>0</v>
      </c>
      <c r="Q33" s="58" t="n">
        <f aca="false">IF('08_TRANSMISSION'!$C$17=2,'08_TRANSMISSION'!Q31,0)</f>
        <v>0</v>
      </c>
      <c r="R33" s="58" t="n">
        <f aca="false">IF('08_TRANSMISSION'!$C$17=2,'08_TRANSMISSION'!R31,0)</f>
        <v>0</v>
      </c>
      <c r="S33" s="58" t="n">
        <f aca="false">IF('08_TRANSMISSION'!$C$17=2,'08_TRANSMISSION'!S31,0)</f>
        <v>0</v>
      </c>
      <c r="T33" s="58" t="n">
        <f aca="false">IF('08_TRANSMISSION'!$C$17=2,'08_TRANSMISSION'!T31,0)</f>
        <v>0</v>
      </c>
      <c r="U33" s="58" t="n">
        <f aca="false">IF('08_TRANSMISSION'!$C$17=2,'08_TRANSMISSION'!U31,0)</f>
        <v>0</v>
      </c>
      <c r="V33" s="58" t="n">
        <f aca="false">IF('08_TRANSMISSION'!$C$17=2,'08_TRANSMISSION'!V31,0)</f>
        <v>0</v>
      </c>
      <c r="W33" s="58" t="n">
        <f aca="false">IF('08_TRANSMISSION'!$C$17=2,'08_TRANSMISSION'!W31,0)</f>
        <v>0</v>
      </c>
      <c r="X33" s="58" t="n">
        <f aca="false">IF('08_TRANSMISSION'!$C$17=2,'08_TRANSMISSION'!X31,0)</f>
        <v>0</v>
      </c>
      <c r="Y33" s="58" t="n">
        <f aca="false">IF('08_TRANSMISSION'!$C$17=2,'08_TRANSMISSION'!Y31,0)</f>
        <v>0</v>
      </c>
      <c r="Z33" s="58" t="n">
        <f aca="false">IF('08_TRANSMISSION'!$C$17=2,'08_TRANSMISSION'!Z31,0)</f>
        <v>0</v>
      </c>
      <c r="AA33" s="58" t="n">
        <f aca="false">IF('08_TRANSMISSION'!$C$17=2,'08_TRANSMISSION'!AA31,0)</f>
        <v>0</v>
      </c>
      <c r="AB33" s="58" t="n">
        <f aca="false">IF('08_TRANSMISSION'!$C$17=2,'08_TRANSMISSION'!AB31,0)</f>
        <v>0</v>
      </c>
      <c r="AC33" s="58" t="n">
        <f aca="false">IF('08_TRANSMISSION'!$C$17=2,'08_TRANSMISSION'!AC31,0)</f>
        <v>0</v>
      </c>
      <c r="AD33" s="58" t="n">
        <f aca="false">IF('08_TRANSMISSION'!$C$17=2,'08_TRANSMISSION'!AD31,0)</f>
        <v>0</v>
      </c>
      <c r="AE33" s="58" t="n">
        <f aca="false">IF('08_TRANSMISSION'!$C$17=2,'08_TRANSMISSION'!AE31,0)</f>
        <v>0</v>
      </c>
      <c r="AF33" s="58" t="n">
        <f aca="false">IF('08_TRANSMISSION'!$C$17=2,'08_TRANSMISSION'!AF31,0)</f>
        <v>0</v>
      </c>
      <c r="AG33" s="58" t="n">
        <f aca="false">IF('08_TRANSMISSION'!$C$17=2,'08_TRANSMISSION'!AG31,0)</f>
        <v>0</v>
      </c>
      <c r="AH33" s="58" t="n">
        <f aca="false">IF('08_TRANSMISSION'!$C$17=2,'08_TRANSMISSION'!AH31,0)</f>
        <v>0</v>
      </c>
      <c r="AI33" s="58" t="n">
        <f aca="false">IF('08_TRANSMISSION'!$C$17=2,'08_TRANSMISSION'!AI31,0)</f>
        <v>0</v>
      </c>
      <c r="AJ33" s="58" t="n">
        <f aca="false">IF('08_TRANSMISSION'!$C$17=2,'08_TRANSMISSION'!AJ31,0)</f>
        <v>0</v>
      </c>
      <c r="AK33" s="58" t="n">
        <f aca="false">IF('08_TRANSMISSION'!$C$17=2,'08_TRANSMISSION'!AK31,0)</f>
        <v>0</v>
      </c>
      <c r="AL33" s="58" t="n">
        <f aca="false">IF('08_TRANSMISSION'!$C$17=2,'08_TRANSMISSION'!AL31,0)</f>
        <v>0</v>
      </c>
      <c r="AM33" s="58" t="n">
        <f aca="false">IF('08_TRANSMISSION'!$C$17=2,'08_TRANSMISSION'!AM31,0)</f>
        <v>0</v>
      </c>
      <c r="AN33" s="58" t="n">
        <f aca="false">IF('08_TRANSMISSION'!$C$17=2,'08_TRANSMISSION'!AN31,0)</f>
        <v>0</v>
      </c>
      <c r="AO33" s="58" t="n">
        <f aca="false">IF('08_TRANSMISSION'!$C$17=2,'08_TRANSMISSION'!AO31,0)</f>
        <v>0</v>
      </c>
      <c r="AP33" s="58" t="n">
        <f aca="false">IF('08_TRANSMISSION'!$C$17=2,'08_TRANSMISSION'!AP31,0)</f>
        <v>0</v>
      </c>
      <c r="AQ33" s="58" t="n">
        <f aca="false">IF('08_TRANSMISSION'!$C$17=2,'08_TRANSMISSION'!AQ31,0)</f>
        <v>0</v>
      </c>
      <c r="AR33" s="58" t="n">
        <f aca="false">IF('08_TRANSMISSION'!$C$17=2,'08_TRANSMISSION'!AR31,0)</f>
        <v>0</v>
      </c>
    </row>
    <row r="34" customFormat="false" ht="15" hidden="false" customHeight="true" outlineLevel="0" collapsed="false">
      <c r="A34" s="23" t="s">
        <v>463</v>
      </c>
      <c r="B34" s="23" t="s">
        <v>121</v>
      </c>
      <c r="C34" s="58" t="n">
        <f aca="false">SUM('08_TRANSMISSION'!$E$34:$AR$34)</f>
        <v>8.68499194197501</v>
      </c>
      <c r="E34" s="58" t="n">
        <f aca="false">'08_TRANSMISSION'!E30*'06_CONSTRUCTION'!E14*'08_TRANSMISSION'!$C$23*'08_TRANSMISSION'!$C$16*'06_CONSTRUCTION'!E17</f>
        <v>0</v>
      </c>
      <c r="F34" s="58" t="n">
        <f aca="false">'08_TRANSMISSION'!F30*'06_CONSTRUCTION'!F14*'08_TRANSMISSION'!$C$23*'08_TRANSMISSION'!$C$16*'06_CONSTRUCTION'!F17</f>
        <v>0</v>
      </c>
      <c r="G34" s="58" t="n">
        <f aca="false">'08_TRANSMISSION'!G30*'06_CONSTRUCTION'!G14*'08_TRANSMISSION'!$C$23*'08_TRANSMISSION'!$C$16*'06_CONSTRUCTION'!G17</f>
        <v>0</v>
      </c>
      <c r="H34" s="58" t="n">
        <f aca="false">'08_TRANSMISSION'!H30*'06_CONSTRUCTION'!H14*'08_TRANSMISSION'!$C$23*'08_TRANSMISSION'!$C$16*'06_CONSTRUCTION'!H17</f>
        <v>0.27114925608</v>
      </c>
      <c r="I34" s="58" t="n">
        <f aca="false">'08_TRANSMISSION'!I30*'06_CONSTRUCTION'!I14*'08_TRANSMISSION'!$C$23*'08_TRANSMISSION'!$C$16*'06_CONSTRUCTION'!I17</f>
        <v>0.2765722412016</v>
      </c>
      <c r="J34" s="58" t="n">
        <f aca="false">'08_TRANSMISSION'!J30*'06_CONSTRUCTION'!J14*'08_TRANSMISSION'!$C$23*'08_TRANSMISSION'!$C$16*'06_CONSTRUCTION'!J17</f>
        <v>0.282103686025632</v>
      </c>
      <c r="K34" s="58" t="n">
        <f aca="false">'08_TRANSMISSION'!K30*'06_CONSTRUCTION'!K14*'08_TRANSMISSION'!$C$23*'08_TRANSMISSION'!$C$16*'06_CONSTRUCTION'!K17</f>
        <v>0.287745759746145</v>
      </c>
      <c r="L34" s="58" t="n">
        <f aca="false">'08_TRANSMISSION'!L30*'06_CONSTRUCTION'!L14*'08_TRANSMISSION'!$C$23*'08_TRANSMISSION'!$C$16*'06_CONSTRUCTION'!L17</f>
        <v>0.293500674941068</v>
      </c>
      <c r="M34" s="58" t="n">
        <f aca="false">'08_TRANSMISSION'!M30*'06_CONSTRUCTION'!M14*'08_TRANSMISSION'!$C$23*'08_TRANSMISSION'!$C$16*'06_CONSTRUCTION'!M17</f>
        <v>0.299370688439889</v>
      </c>
      <c r="N34" s="58" t="n">
        <f aca="false">'08_TRANSMISSION'!N30*'06_CONSTRUCTION'!N14*'08_TRANSMISSION'!$C$23*'08_TRANSMISSION'!$C$16*'06_CONSTRUCTION'!N17</f>
        <v>0.305358102208687</v>
      </c>
      <c r="O34" s="58" t="n">
        <f aca="false">'08_TRANSMISSION'!O30*'06_CONSTRUCTION'!O14*'08_TRANSMISSION'!$C$23*'08_TRANSMISSION'!$C$16*'06_CONSTRUCTION'!O17</f>
        <v>0.31146526425286</v>
      </c>
      <c r="P34" s="58" t="n">
        <f aca="false">'08_TRANSMISSION'!P30*'06_CONSTRUCTION'!P14*'08_TRANSMISSION'!$C$23*'08_TRANSMISSION'!$C$16*'06_CONSTRUCTION'!P17</f>
        <v>0.317694569537918</v>
      </c>
      <c r="Q34" s="58" t="n">
        <f aca="false">'08_TRANSMISSION'!Q30*'06_CONSTRUCTION'!Q14*'08_TRANSMISSION'!$C$23*'08_TRANSMISSION'!$C$16*'06_CONSTRUCTION'!Q17</f>
        <v>0.324048460928676</v>
      </c>
      <c r="R34" s="58" t="n">
        <f aca="false">'08_TRANSMISSION'!R30*'06_CONSTRUCTION'!R14*'08_TRANSMISSION'!$C$23*'08_TRANSMISSION'!$C$16*'06_CONSTRUCTION'!R17</f>
        <v>0.33052943014725</v>
      </c>
      <c r="S34" s="58" t="n">
        <f aca="false">'08_TRANSMISSION'!S30*'06_CONSTRUCTION'!S14*'08_TRANSMISSION'!$C$23*'08_TRANSMISSION'!$C$16*'06_CONSTRUCTION'!S17</f>
        <v>0.337140018750195</v>
      </c>
      <c r="T34" s="58" t="n">
        <f aca="false">'08_TRANSMISSION'!T30*'06_CONSTRUCTION'!T14*'08_TRANSMISSION'!$C$23*'08_TRANSMISSION'!$C$16*'06_CONSTRUCTION'!T17</f>
        <v>0.343882819125198</v>
      </c>
      <c r="U34" s="58" t="n">
        <f aca="false">'08_TRANSMISSION'!U30*'06_CONSTRUCTION'!U14*'08_TRANSMISSION'!$C$23*'08_TRANSMISSION'!$C$16*'06_CONSTRUCTION'!U17</f>
        <v>0.350760475507702</v>
      </c>
      <c r="V34" s="58" t="n">
        <f aca="false">'08_TRANSMISSION'!V30*'06_CONSTRUCTION'!V14*'08_TRANSMISSION'!$C$23*'08_TRANSMISSION'!$C$16*'06_CONSTRUCTION'!V17</f>
        <v>0.357775685017857</v>
      </c>
      <c r="W34" s="58" t="n">
        <f aca="false">'08_TRANSMISSION'!W30*'06_CONSTRUCTION'!W14*'08_TRANSMISSION'!$C$23*'08_TRANSMISSION'!$C$16*'06_CONSTRUCTION'!W17</f>
        <v>0.364931198718214</v>
      </c>
      <c r="X34" s="58" t="n">
        <f aca="false">'08_TRANSMISSION'!X30*'06_CONSTRUCTION'!X14*'08_TRANSMISSION'!$C$23*'08_TRANSMISSION'!$C$16*'06_CONSTRUCTION'!X17</f>
        <v>0.372229822692578</v>
      </c>
      <c r="Y34" s="58" t="n">
        <f aca="false">'08_TRANSMISSION'!Y30*'06_CONSTRUCTION'!Y14*'08_TRANSMISSION'!$C$23*'08_TRANSMISSION'!$C$16*'06_CONSTRUCTION'!Y17</f>
        <v>0.379674419146429</v>
      </c>
      <c r="Z34" s="58" t="n">
        <f aca="false">'08_TRANSMISSION'!Z30*'06_CONSTRUCTION'!Z14*'08_TRANSMISSION'!$C$23*'08_TRANSMISSION'!$C$16*'06_CONSTRUCTION'!Z17</f>
        <v>0.387267907529358</v>
      </c>
      <c r="AA34" s="58" t="n">
        <f aca="false">'08_TRANSMISSION'!AA30*'06_CONSTRUCTION'!AA14*'08_TRANSMISSION'!$C$23*'08_TRANSMISSION'!$C$16*'06_CONSTRUCTION'!AA17</f>
        <v>0.395013265679945</v>
      </c>
      <c r="AB34" s="58" t="n">
        <f aca="false">'08_TRANSMISSION'!AB30*'06_CONSTRUCTION'!AB14*'08_TRANSMISSION'!$C$23*'08_TRANSMISSION'!$C$16*'06_CONSTRUCTION'!AB17</f>
        <v>0.402913530993544</v>
      </c>
      <c r="AC34" s="58" t="n">
        <f aca="false">'08_TRANSMISSION'!AC30*'06_CONSTRUCTION'!AC14*'08_TRANSMISSION'!$C$23*'08_TRANSMISSION'!$C$16*'06_CONSTRUCTION'!AC17</f>
        <v>0.410971801613415</v>
      </c>
      <c r="AD34" s="58" t="n">
        <f aca="false">'08_TRANSMISSION'!AD30*'06_CONSTRUCTION'!AD14*'08_TRANSMISSION'!$C$23*'08_TRANSMISSION'!$C$16*'06_CONSTRUCTION'!AD17</f>
        <v>0.419191237645683</v>
      </c>
      <c r="AE34" s="58" t="n">
        <f aca="false">'08_TRANSMISSION'!AE30*'06_CONSTRUCTION'!AE14*'08_TRANSMISSION'!$C$23*'08_TRANSMISSION'!$C$16*'06_CONSTRUCTION'!AE17</f>
        <v>0.427575062398597</v>
      </c>
      <c r="AF34" s="58" t="n">
        <f aca="false">'08_TRANSMISSION'!AF30*'06_CONSTRUCTION'!AF14*'08_TRANSMISSION'!$C$23*'08_TRANSMISSION'!$C$16*'06_CONSTRUCTION'!AF17</f>
        <v>0.436126563646569</v>
      </c>
      <c r="AG34" s="58" t="n">
        <f aca="false">'08_TRANSMISSION'!AG30*'06_CONSTRUCTION'!AG14*'08_TRANSMISSION'!$C$23*'08_TRANSMISSION'!$C$16*'06_CONSTRUCTION'!AG17</f>
        <v>0</v>
      </c>
      <c r="AH34" s="58" t="n">
        <f aca="false">'08_TRANSMISSION'!AH30*'06_CONSTRUCTION'!AH14*'08_TRANSMISSION'!$C$23*'08_TRANSMISSION'!$C$16*'06_CONSTRUCTION'!AH17</f>
        <v>0</v>
      </c>
      <c r="AI34" s="58" t="n">
        <f aca="false">'08_TRANSMISSION'!AI30*'06_CONSTRUCTION'!AI14*'08_TRANSMISSION'!$C$23*'08_TRANSMISSION'!$C$16*'06_CONSTRUCTION'!AI17</f>
        <v>0</v>
      </c>
      <c r="AJ34" s="58" t="n">
        <f aca="false">'08_TRANSMISSION'!AJ30*'06_CONSTRUCTION'!AJ14*'08_TRANSMISSION'!$C$23*'08_TRANSMISSION'!$C$16*'06_CONSTRUCTION'!AJ17</f>
        <v>0</v>
      </c>
      <c r="AK34" s="58" t="n">
        <f aca="false">'08_TRANSMISSION'!AK30*'06_CONSTRUCTION'!AK14*'08_TRANSMISSION'!$C$23*'08_TRANSMISSION'!$C$16*'06_CONSTRUCTION'!AK17</f>
        <v>0</v>
      </c>
      <c r="AL34" s="58" t="n">
        <f aca="false">'08_TRANSMISSION'!AL30*'06_CONSTRUCTION'!AL14*'08_TRANSMISSION'!$C$23*'08_TRANSMISSION'!$C$16*'06_CONSTRUCTION'!AL17</f>
        <v>0</v>
      </c>
      <c r="AM34" s="58" t="n">
        <f aca="false">'08_TRANSMISSION'!AM30*'06_CONSTRUCTION'!AM14*'08_TRANSMISSION'!$C$23*'08_TRANSMISSION'!$C$16*'06_CONSTRUCTION'!AM17</f>
        <v>0</v>
      </c>
      <c r="AN34" s="58" t="n">
        <f aca="false">'08_TRANSMISSION'!AN30*'06_CONSTRUCTION'!AN14*'08_TRANSMISSION'!$C$23*'08_TRANSMISSION'!$C$16*'06_CONSTRUCTION'!AN17</f>
        <v>0</v>
      </c>
      <c r="AO34" s="58" t="n">
        <f aca="false">'08_TRANSMISSION'!AO30*'06_CONSTRUCTION'!AO14*'08_TRANSMISSION'!$C$23*'08_TRANSMISSION'!$C$16*'06_CONSTRUCTION'!AO17</f>
        <v>0</v>
      </c>
      <c r="AP34" s="58" t="n">
        <f aca="false">'08_TRANSMISSION'!AP30*'06_CONSTRUCTION'!AP14*'08_TRANSMISSION'!$C$23*'08_TRANSMISSION'!$C$16*'06_CONSTRUCTION'!AP17</f>
        <v>0</v>
      </c>
      <c r="AQ34" s="58" t="n">
        <f aca="false">'08_TRANSMISSION'!AQ30*'06_CONSTRUCTION'!AQ14*'08_TRANSMISSION'!$C$23*'08_TRANSMISSION'!$C$16*'06_CONSTRUCTION'!AQ17</f>
        <v>0</v>
      </c>
      <c r="AR34" s="58" t="n">
        <f aca="false">'08_TRANSMISSION'!AR30*'06_CONSTRUCTION'!AR14*'08_TRANSMISSION'!$C$23*'08_TRANSMISSION'!$C$16*'06_CONSTRUCTION'!AR17</f>
        <v>0</v>
      </c>
    </row>
    <row r="35" customFormat="false" ht="15" hidden="false" customHeight="true" outlineLevel="0" collapsed="false">
      <c r="A35" s="23" t="s">
        <v>464</v>
      </c>
      <c r="B35" s="23" t="s">
        <v>299</v>
      </c>
      <c r="C35" s="56" t="n">
        <f aca="false">SUM('08_TRANSMISSION'!$E$35:$AR$35)</f>
        <v>145.36324488464</v>
      </c>
      <c r="E35" s="56" t="n">
        <f aca="false">'04_GENERATION'!E20*'08_TRANSMISSION'!$C$15</f>
        <v>0</v>
      </c>
      <c r="F35" s="56" t="n">
        <f aca="false">'04_GENERATION'!F20*'08_TRANSMISSION'!$C$15</f>
        <v>0</v>
      </c>
      <c r="G35" s="56" t="n">
        <f aca="false">'04_GENERATION'!G20*'08_TRANSMISSION'!$C$15</f>
        <v>0</v>
      </c>
      <c r="H35" s="56" t="n">
        <f aca="false">'04_GENERATION'!H20*'08_TRANSMISSION'!$C$15</f>
        <v>4.97218342663757</v>
      </c>
      <c r="I35" s="56" t="n">
        <f aca="false">'04_GENERATION'!I20*'08_TRANSMISSION'!$C$15</f>
        <v>5.84962756075008</v>
      </c>
      <c r="J35" s="56" t="n">
        <f aca="false">'04_GENERATION'!J20*'08_TRANSMISSION'!$C$15</f>
        <v>5.84962756075008</v>
      </c>
      <c r="K35" s="56" t="n">
        <f aca="false">'04_GENERATION'!K20*'08_TRANSMISSION'!$C$15</f>
        <v>5.84962756075008</v>
      </c>
      <c r="L35" s="56" t="n">
        <f aca="false">'04_GENERATION'!L20*'08_TRANSMISSION'!$C$15</f>
        <v>5.84962756075008</v>
      </c>
      <c r="M35" s="56" t="n">
        <f aca="false">'04_GENERATION'!M20*'08_TRANSMISSION'!$C$15</f>
        <v>5.84962756075008</v>
      </c>
      <c r="N35" s="56" t="n">
        <f aca="false">'04_GENERATION'!N20*'08_TRANSMISSION'!$C$15</f>
        <v>5.84962756075008</v>
      </c>
      <c r="O35" s="56" t="n">
        <f aca="false">'04_GENERATION'!O20*'08_TRANSMISSION'!$C$15</f>
        <v>5.84962756075008</v>
      </c>
      <c r="P35" s="56" t="n">
        <f aca="false">'04_GENERATION'!P20*'08_TRANSMISSION'!$C$15</f>
        <v>5.84962756075008</v>
      </c>
      <c r="Q35" s="56" t="n">
        <f aca="false">'04_GENERATION'!Q20*'08_TRANSMISSION'!$C$15</f>
        <v>5.84962756075008</v>
      </c>
      <c r="R35" s="56" t="n">
        <f aca="false">'04_GENERATION'!R20*'08_TRANSMISSION'!$C$15</f>
        <v>5.84962756075008</v>
      </c>
      <c r="S35" s="56" t="n">
        <f aca="false">'04_GENERATION'!S20*'08_TRANSMISSION'!$C$15</f>
        <v>5.84962756075008</v>
      </c>
      <c r="T35" s="56" t="n">
        <f aca="false">'04_GENERATION'!T20*'08_TRANSMISSION'!$C$15</f>
        <v>5.84962756075008</v>
      </c>
      <c r="U35" s="56" t="n">
        <f aca="false">'04_GENERATION'!U20*'08_TRANSMISSION'!$C$15</f>
        <v>5.84962756075008</v>
      </c>
      <c r="V35" s="56" t="n">
        <f aca="false">'04_GENERATION'!V20*'08_TRANSMISSION'!$C$15</f>
        <v>5.84962756075008</v>
      </c>
      <c r="W35" s="56" t="n">
        <f aca="false">'04_GENERATION'!W20*'08_TRANSMISSION'!$C$15</f>
        <v>5.84962756075008</v>
      </c>
      <c r="X35" s="56" t="n">
        <f aca="false">'04_GENERATION'!X20*'08_TRANSMISSION'!$C$15</f>
        <v>5.84962756075008</v>
      </c>
      <c r="Y35" s="56" t="n">
        <f aca="false">'04_GENERATION'!Y20*'08_TRANSMISSION'!$C$15</f>
        <v>5.84962756075008</v>
      </c>
      <c r="Z35" s="56" t="n">
        <f aca="false">'04_GENERATION'!Z20*'08_TRANSMISSION'!$C$15</f>
        <v>5.84962756075008</v>
      </c>
      <c r="AA35" s="56" t="n">
        <f aca="false">'04_GENERATION'!AA20*'08_TRANSMISSION'!$C$15</f>
        <v>5.84962756075008</v>
      </c>
      <c r="AB35" s="56" t="n">
        <f aca="false">'04_GENERATION'!AB20*'08_TRANSMISSION'!$C$15</f>
        <v>5.84962756075008</v>
      </c>
      <c r="AC35" s="56" t="n">
        <f aca="false">'04_GENERATION'!AC20*'08_TRANSMISSION'!$C$15</f>
        <v>5.84962756075008</v>
      </c>
      <c r="AD35" s="56" t="n">
        <f aca="false">'04_GENERATION'!AD20*'08_TRANSMISSION'!$C$15</f>
        <v>5.84962756075008</v>
      </c>
      <c r="AE35" s="56" t="n">
        <f aca="false">'04_GENERATION'!AE20*'08_TRANSMISSION'!$C$15</f>
        <v>5.84962756075008</v>
      </c>
      <c r="AF35" s="56" t="n">
        <f aca="false">'04_GENERATION'!AF20*'08_TRANSMISSION'!$C$15</f>
        <v>5.84962756075008</v>
      </c>
      <c r="AG35" s="56" t="n">
        <f aca="false">'04_GENERATION'!AG20*'08_TRANSMISSION'!$C$15</f>
        <v>0</v>
      </c>
      <c r="AH35" s="56" t="n">
        <f aca="false">'04_GENERATION'!AH20*'08_TRANSMISSION'!$C$15</f>
        <v>0</v>
      </c>
      <c r="AI35" s="56" t="n">
        <f aca="false">'04_GENERATION'!AI20*'08_TRANSMISSION'!$C$15</f>
        <v>0</v>
      </c>
      <c r="AJ35" s="56" t="n">
        <f aca="false">'04_GENERATION'!AJ20*'08_TRANSMISSION'!$C$15</f>
        <v>0</v>
      </c>
      <c r="AK35" s="56" t="n">
        <f aca="false">'04_GENERATION'!AK20*'08_TRANSMISSION'!$C$15</f>
        <v>0</v>
      </c>
      <c r="AL35" s="56" t="n">
        <f aca="false">'04_GENERATION'!AL20*'08_TRANSMISSION'!$C$15</f>
        <v>0</v>
      </c>
      <c r="AM35" s="56" t="n">
        <f aca="false">'04_GENERATION'!AM20*'08_TRANSMISSION'!$C$15</f>
        <v>0</v>
      </c>
      <c r="AN35" s="56" t="n">
        <f aca="false">'04_GENERATION'!AN20*'08_TRANSMISSION'!$C$15</f>
        <v>0</v>
      </c>
      <c r="AO35" s="56" t="n">
        <f aca="false">'04_GENERATION'!AO20*'08_TRANSMISSION'!$C$15</f>
        <v>0</v>
      </c>
      <c r="AP35" s="56" t="n">
        <f aca="false">'04_GENERATION'!AP20*'08_TRANSMISSION'!$C$15</f>
        <v>0</v>
      </c>
      <c r="AQ35" s="56" t="n">
        <f aca="false">'04_GENERATION'!AQ20*'08_TRANSMISSION'!$C$15</f>
        <v>0</v>
      </c>
      <c r="AR35" s="56" t="n">
        <f aca="false">'04_GENERATION'!AR20*'08_TRANSMISSION'!$C$15</f>
        <v>0</v>
      </c>
    </row>
    <row r="36" customFormat="false" ht="15" hidden="false" customHeight="true" outlineLevel="0" collapsed="false">
      <c r="A36" s="23" t="s">
        <v>465</v>
      </c>
      <c r="B36" s="23" t="s">
        <v>121</v>
      </c>
      <c r="C36" s="58" t="n">
        <f aca="false">SUM('08_TRANSMISSION'!$E$36:$AR$36)</f>
        <v>0</v>
      </c>
      <c r="E36" s="58" t="n">
        <f aca="false">'04_GENERATION'!E20*'08_TRANSMISSION'!$C$20*'06_CONSTRUCTION'!E17/1000</f>
        <v>0</v>
      </c>
      <c r="F36" s="58" t="n">
        <f aca="false">'04_GENERATION'!F20*'08_TRANSMISSION'!$C$20*'06_CONSTRUCTION'!F17/1000</f>
        <v>0</v>
      </c>
      <c r="G36" s="58" t="n">
        <f aca="false">'04_GENERATION'!G20*'08_TRANSMISSION'!$C$20*'06_CONSTRUCTION'!G17/1000</f>
        <v>0</v>
      </c>
      <c r="H36" s="58" t="n">
        <f aca="false">'04_GENERATION'!H20*'08_TRANSMISSION'!$C$20*'06_CONSTRUCTION'!H17/1000</f>
        <v>0</v>
      </c>
      <c r="I36" s="58" t="n">
        <f aca="false">'04_GENERATION'!I20*'08_TRANSMISSION'!$C$20*'06_CONSTRUCTION'!I17/1000</f>
        <v>0</v>
      </c>
      <c r="J36" s="58" t="n">
        <f aca="false">'04_GENERATION'!J20*'08_TRANSMISSION'!$C$20*'06_CONSTRUCTION'!J17/1000</f>
        <v>0</v>
      </c>
      <c r="K36" s="58" t="n">
        <f aca="false">'04_GENERATION'!K20*'08_TRANSMISSION'!$C$20*'06_CONSTRUCTION'!K17/1000</f>
        <v>0</v>
      </c>
      <c r="L36" s="58" t="n">
        <f aca="false">'04_GENERATION'!L20*'08_TRANSMISSION'!$C$20*'06_CONSTRUCTION'!L17/1000</f>
        <v>0</v>
      </c>
      <c r="M36" s="58" t="n">
        <f aca="false">'04_GENERATION'!M20*'08_TRANSMISSION'!$C$20*'06_CONSTRUCTION'!M17/1000</f>
        <v>0</v>
      </c>
      <c r="N36" s="58" t="n">
        <f aca="false">'04_GENERATION'!N20*'08_TRANSMISSION'!$C$20*'06_CONSTRUCTION'!N17/1000</f>
        <v>0</v>
      </c>
      <c r="O36" s="58" t="n">
        <f aca="false">'04_GENERATION'!O20*'08_TRANSMISSION'!$C$20*'06_CONSTRUCTION'!O17/1000</f>
        <v>0</v>
      </c>
      <c r="P36" s="58" t="n">
        <f aca="false">'04_GENERATION'!P20*'08_TRANSMISSION'!$C$20*'06_CONSTRUCTION'!P17/1000</f>
        <v>0</v>
      </c>
      <c r="Q36" s="58" t="n">
        <f aca="false">'04_GENERATION'!Q20*'08_TRANSMISSION'!$C$20*'06_CONSTRUCTION'!Q17/1000</f>
        <v>0</v>
      </c>
      <c r="R36" s="58" t="n">
        <f aca="false">'04_GENERATION'!R20*'08_TRANSMISSION'!$C$20*'06_CONSTRUCTION'!R17/1000</f>
        <v>0</v>
      </c>
      <c r="S36" s="58" t="n">
        <f aca="false">'04_GENERATION'!S20*'08_TRANSMISSION'!$C$20*'06_CONSTRUCTION'!S17/1000</f>
        <v>0</v>
      </c>
      <c r="T36" s="58" t="n">
        <f aca="false">'04_GENERATION'!T20*'08_TRANSMISSION'!$C$20*'06_CONSTRUCTION'!T17/1000</f>
        <v>0</v>
      </c>
      <c r="U36" s="58" t="n">
        <f aca="false">'04_GENERATION'!U20*'08_TRANSMISSION'!$C$20*'06_CONSTRUCTION'!U17/1000</f>
        <v>0</v>
      </c>
      <c r="V36" s="58" t="n">
        <f aca="false">'04_GENERATION'!V20*'08_TRANSMISSION'!$C$20*'06_CONSTRUCTION'!V17/1000</f>
        <v>0</v>
      </c>
      <c r="W36" s="58" t="n">
        <f aca="false">'04_GENERATION'!W20*'08_TRANSMISSION'!$C$20*'06_CONSTRUCTION'!W17/1000</f>
        <v>0</v>
      </c>
      <c r="X36" s="58" t="n">
        <f aca="false">'04_GENERATION'!X20*'08_TRANSMISSION'!$C$20*'06_CONSTRUCTION'!X17/1000</f>
        <v>0</v>
      </c>
      <c r="Y36" s="58" t="n">
        <f aca="false">'04_GENERATION'!Y20*'08_TRANSMISSION'!$C$20*'06_CONSTRUCTION'!Y17/1000</f>
        <v>0</v>
      </c>
      <c r="Z36" s="58" t="n">
        <f aca="false">'04_GENERATION'!Z20*'08_TRANSMISSION'!$C$20*'06_CONSTRUCTION'!Z17/1000</f>
        <v>0</v>
      </c>
      <c r="AA36" s="58" t="n">
        <f aca="false">'04_GENERATION'!AA20*'08_TRANSMISSION'!$C$20*'06_CONSTRUCTION'!AA17/1000</f>
        <v>0</v>
      </c>
      <c r="AB36" s="58" t="n">
        <f aca="false">'04_GENERATION'!AB20*'08_TRANSMISSION'!$C$20*'06_CONSTRUCTION'!AB17/1000</f>
        <v>0</v>
      </c>
      <c r="AC36" s="58" t="n">
        <f aca="false">'04_GENERATION'!AC20*'08_TRANSMISSION'!$C$20*'06_CONSTRUCTION'!AC17/1000</f>
        <v>0</v>
      </c>
      <c r="AD36" s="58" t="n">
        <f aca="false">'04_GENERATION'!AD20*'08_TRANSMISSION'!$C$20*'06_CONSTRUCTION'!AD17/1000</f>
        <v>0</v>
      </c>
      <c r="AE36" s="58" t="n">
        <f aca="false">'04_GENERATION'!AE20*'08_TRANSMISSION'!$C$20*'06_CONSTRUCTION'!AE17/1000</f>
        <v>0</v>
      </c>
      <c r="AF36" s="58" t="n">
        <f aca="false">'04_GENERATION'!AF20*'08_TRANSMISSION'!$C$20*'06_CONSTRUCTION'!AF17/1000</f>
        <v>0</v>
      </c>
      <c r="AG36" s="58" t="n">
        <f aca="false">'04_GENERATION'!AG20*'08_TRANSMISSION'!$C$20*'06_CONSTRUCTION'!AG17/1000</f>
        <v>0</v>
      </c>
      <c r="AH36" s="58" t="n">
        <f aca="false">'04_GENERATION'!AH20*'08_TRANSMISSION'!$C$20*'06_CONSTRUCTION'!AH17/1000</f>
        <v>0</v>
      </c>
      <c r="AI36" s="58" t="n">
        <f aca="false">'04_GENERATION'!AI20*'08_TRANSMISSION'!$C$20*'06_CONSTRUCTION'!AI17/1000</f>
        <v>0</v>
      </c>
      <c r="AJ36" s="58" t="n">
        <f aca="false">'04_GENERATION'!AJ20*'08_TRANSMISSION'!$C$20*'06_CONSTRUCTION'!AJ17/1000</f>
        <v>0</v>
      </c>
      <c r="AK36" s="58" t="n">
        <f aca="false">'04_GENERATION'!AK20*'08_TRANSMISSION'!$C$20*'06_CONSTRUCTION'!AK17/1000</f>
        <v>0</v>
      </c>
      <c r="AL36" s="58" t="n">
        <f aca="false">'04_GENERATION'!AL20*'08_TRANSMISSION'!$C$20*'06_CONSTRUCTION'!AL17/1000</f>
        <v>0</v>
      </c>
      <c r="AM36" s="58" t="n">
        <f aca="false">'04_GENERATION'!AM20*'08_TRANSMISSION'!$C$20*'06_CONSTRUCTION'!AM17/1000</f>
        <v>0</v>
      </c>
      <c r="AN36" s="58" t="n">
        <f aca="false">'04_GENERATION'!AN20*'08_TRANSMISSION'!$C$20*'06_CONSTRUCTION'!AN17/1000</f>
        <v>0</v>
      </c>
      <c r="AO36" s="58" t="n">
        <f aca="false">'04_GENERATION'!AO20*'08_TRANSMISSION'!$C$20*'06_CONSTRUCTION'!AO17/1000</f>
        <v>0</v>
      </c>
      <c r="AP36" s="58" t="n">
        <f aca="false">'04_GENERATION'!AP20*'08_TRANSMISSION'!$C$20*'06_CONSTRUCTION'!AP17/1000</f>
        <v>0</v>
      </c>
      <c r="AQ36" s="58" t="n">
        <f aca="false">'04_GENERATION'!AQ20*'08_TRANSMISSION'!$C$20*'06_CONSTRUCTION'!AQ17/1000</f>
        <v>0</v>
      </c>
      <c r="AR36" s="58" t="n">
        <f aca="false">'04_GENERATION'!AR20*'08_TRANSMISSION'!$C$20*'06_CONSTRUCTION'!AR17/1000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R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466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467</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1" t="s">
        <v>402</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ustomFormat="false" ht="15" hidden="false" customHeight="true" outlineLevel="0" collapsed="false">
      <c r="A7" s="23" t="s">
        <v>468</v>
      </c>
      <c r="B7" s="23" t="s">
        <v>232</v>
      </c>
      <c r="C7" s="51" t="n">
        <v>1450</v>
      </c>
      <c r="D7" s="25" t="s">
        <v>241</v>
      </c>
    </row>
    <row r="8" customFormat="false" ht="15" hidden="false" customHeight="true" outlineLevel="0" collapsed="false">
      <c r="A8" s="23" t="s">
        <v>469</v>
      </c>
      <c r="B8" s="23" t="s">
        <v>93</v>
      </c>
      <c r="C8" s="27" t="n">
        <v>0.6</v>
      </c>
    </row>
    <row r="9" customFormat="false" ht="15" hidden="false" customHeight="true" outlineLevel="0" collapsed="false">
      <c r="A9" s="23" t="s">
        <v>470</v>
      </c>
      <c r="B9" s="23" t="s">
        <v>232</v>
      </c>
      <c r="C9" s="52" t="n">
        <v>300</v>
      </c>
      <c r="D9" s="25" t="s">
        <v>471</v>
      </c>
    </row>
    <row r="10" customFormat="false" ht="15" hidden="false" customHeight="true" outlineLevel="0" collapsed="false">
      <c r="A10" s="23" t="s">
        <v>472</v>
      </c>
      <c r="B10" s="23" t="s">
        <v>232</v>
      </c>
      <c r="C10" s="52" t="n">
        <v>100</v>
      </c>
    </row>
    <row r="11" customFormat="false" ht="15" hidden="false" customHeight="true" outlineLevel="0" collapsed="false">
      <c r="A11" s="23" t="s">
        <v>473</v>
      </c>
      <c r="B11" s="23" t="s">
        <v>232</v>
      </c>
      <c r="C11" s="52" t="n">
        <v>2100</v>
      </c>
    </row>
    <row r="12" customFormat="false" ht="15" hidden="false" customHeight="true" outlineLevel="0" collapsed="false">
      <c r="A12" s="21" t="s">
        <v>452</v>
      </c>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row>
    <row r="13" customFormat="false" ht="15" hidden="false" customHeight="true" outlineLevel="0" collapsed="false">
      <c r="A13" s="23" t="s">
        <v>474</v>
      </c>
      <c r="B13" s="23" t="s">
        <v>232</v>
      </c>
      <c r="E13" s="56" t="n">
        <f aca="false">'09_GRID'!$C$7*'10_DEMAND'!E27/'10_DEMAND'!$C$99</f>
        <v>1539.38356164384</v>
      </c>
      <c r="F13" s="56" t="n">
        <f aca="false">'09_GRID'!$C$7*'10_DEMAND'!F27/'10_DEMAND'!$C$99</f>
        <v>1634.46979452055</v>
      </c>
      <c r="G13" s="56" t="n">
        <f aca="false">'09_GRID'!$C$7*'10_DEMAND'!G27/'10_DEMAND'!$C$99</f>
        <v>1735.63571849315</v>
      </c>
      <c r="H13" s="56" t="n">
        <f aca="false">'09_GRID'!$C$7*'10_DEMAND'!H27/'10_DEMAND'!$C$99</f>
        <v>1843.2842454589</v>
      </c>
      <c r="I13" s="56" t="n">
        <f aca="false">'09_GRID'!$C$7*'10_DEMAND'!I27/'10_DEMAND'!$C$99</f>
        <v>1957.84603230034</v>
      </c>
      <c r="J13" s="56" t="n">
        <f aca="false">'09_GRID'!$C$7*'10_DEMAND'!J27/'10_DEMAND'!$C$99</f>
        <v>2079.78147244202</v>
      </c>
      <c r="K13" s="56" t="n">
        <f aca="false">'09_GRID'!$C$7*'10_DEMAND'!K27/'10_DEMAND'!$C$99</f>
        <v>2209.58283686933</v>
      </c>
      <c r="L13" s="56" t="n">
        <f aca="false">'09_GRID'!$C$7*'10_DEMAND'!L27/'10_DEMAND'!$C$99</f>
        <v>2347.77657635566</v>
      </c>
      <c r="M13" s="56" t="n">
        <f aca="false">'09_GRID'!$C$7*'10_DEMAND'!M27/'10_DEMAND'!$C$99</f>
        <v>2494.92579761021</v>
      </c>
      <c r="N13" s="56" t="n">
        <f aca="false">'09_GRID'!$C$7*'10_DEMAND'!N27/'10_DEMAND'!$C$99</f>
        <v>2651.63292710766</v>
      </c>
      <c r="O13" s="56" t="n">
        <f aca="false">'09_GRID'!$C$7*'10_DEMAND'!O27/'10_DEMAND'!$C$99</f>
        <v>2818.54257749997</v>
      </c>
      <c r="P13" s="56" t="n">
        <f aca="false">'09_GRID'!$C$7*'10_DEMAND'!P27/'10_DEMAND'!$C$99</f>
        <v>2996.34463274809</v>
      </c>
      <c r="Q13" s="56" t="n">
        <f aca="false">'09_GRID'!$C$7*'10_DEMAND'!Q27/'10_DEMAND'!$C$99</f>
        <v>3185.77756945586</v>
      </c>
      <c r="R13" s="56" t="n">
        <f aca="false">'09_GRID'!$C$7*'10_DEMAND'!R27/'10_DEMAND'!$C$99</f>
        <v>3387.63203334922</v>
      </c>
      <c r="S13" s="56" t="n">
        <f aca="false">'09_GRID'!$C$7*'10_DEMAND'!S27/'10_DEMAND'!$C$99</f>
        <v>3602.75469143279</v>
      </c>
      <c r="T13" s="56" t="n">
        <f aca="false">'09_GRID'!$C$7*'10_DEMAND'!T27/'10_DEMAND'!$C$99</f>
        <v>3832.0523820821</v>
      </c>
      <c r="U13" s="56" t="n">
        <f aca="false">'09_GRID'!$C$7*'10_DEMAND'!U27/'10_DEMAND'!$C$99</f>
        <v>4076.49658720827</v>
      </c>
      <c r="V13" s="56" t="n">
        <f aca="false">'09_GRID'!$C$7*'10_DEMAND'!V27/'10_DEMAND'!$C$99</f>
        <v>4337.12825267455</v>
      </c>
      <c r="W13" s="56" t="n">
        <f aca="false">'09_GRID'!$C$7*'10_DEMAND'!W27/'10_DEMAND'!$C$99</f>
        <v>4615.06298536684</v>
      </c>
      <c r="X13" s="56" t="n">
        <f aca="false">'09_GRID'!$C$7*'10_DEMAND'!X27/'10_DEMAND'!$C$99</f>
        <v>4911.49665773883</v>
      </c>
      <c r="Y13" s="56" t="n">
        <f aca="false">'09_GRID'!$C$7*'10_DEMAND'!Y27/'10_DEMAND'!$C$99</f>
        <v>5227.711453285</v>
      </c>
      <c r="Z13" s="56" t="n">
        <f aca="false">'09_GRID'!$C$7*'10_DEMAND'!Z27/'10_DEMAND'!$C$99</f>
        <v>5565.08238926094</v>
      </c>
      <c r="AA13" s="56" t="n">
        <f aca="false">'09_GRID'!$C$7*'10_DEMAND'!AA27/'10_DEMAND'!$C$99</f>
        <v>5925.08435609097</v>
      </c>
      <c r="AB13" s="56" t="n">
        <f aca="false">'09_GRID'!$C$7*'10_DEMAND'!AB27/'10_DEMAND'!$C$99</f>
        <v>6309.29971630256</v>
      </c>
      <c r="AC13" s="56" t="n">
        <f aca="false">'09_GRID'!$C$7*'10_DEMAND'!AC27/'10_DEMAND'!$C$99</f>
        <v>6719.42650952924</v>
      </c>
      <c r="AD13" s="56" t="n">
        <f aca="false">'09_GRID'!$C$7*'10_DEMAND'!AD27/'10_DEMAND'!$C$99</f>
        <v>7157.28731415871</v>
      </c>
      <c r="AE13" s="56" t="n">
        <f aca="false">'09_GRID'!$C$7*'10_DEMAND'!AE27/'10_DEMAND'!$C$99</f>
        <v>7624.83882059908</v>
      </c>
      <c r="AF13" s="56" t="n">
        <f aca="false">'09_GRID'!$C$7*'10_DEMAND'!AF27/'10_DEMAND'!$C$99</f>
        <v>8124.18217592901</v>
      </c>
      <c r="AG13" s="56" t="n">
        <f aca="false">'09_GRID'!$C$7*'10_DEMAND'!AG27/'10_DEMAND'!$C$99</f>
        <v>8657.57416492189</v>
      </c>
      <c r="AH13" s="56" t="n">
        <f aca="false">'09_GRID'!$C$7*'10_DEMAND'!AH27/'10_DEMAND'!$C$99</f>
        <v>9227.43929813198</v>
      </c>
      <c r="AI13" s="56" t="n">
        <f aca="false">'09_GRID'!$C$7*'10_DEMAND'!AI27/'10_DEMAND'!$C$99</f>
        <v>9836.38288394344</v>
      </c>
      <c r="AJ13" s="56" t="n">
        <f aca="false">'09_GRID'!$C$7*'10_DEMAND'!AJ27/'10_DEMAND'!$C$99</f>
        <v>10487.2051682617</v>
      </c>
      <c r="AK13" s="56" t="n">
        <f aca="false">'09_GRID'!$C$7*'10_DEMAND'!AK27/'10_DEMAND'!$C$99</f>
        <v>11182.9166329213</v>
      </c>
      <c r="AL13" s="56" t="n">
        <f aca="false">'09_GRID'!$C$7*'10_DEMAND'!AL27/'10_DEMAND'!$C$99</f>
        <v>11926.7545519543</v>
      </c>
      <c r="AM13" s="56" t="n">
        <f aca="false">'09_GRID'!$C$7*'10_DEMAND'!AM27/'10_DEMAND'!$C$99</f>
        <v>12722.2009136702</v>
      </c>
      <c r="AN13" s="56" t="n">
        <f aca="false">'09_GRID'!$C$7*'10_DEMAND'!AN27/'10_DEMAND'!$C$99</f>
        <v>13573.0018261133</v>
      </c>
      <c r="AO13" s="56" t="n">
        <f aca="false">'09_GRID'!$C$7*'10_DEMAND'!AO27/'10_DEMAND'!$C$99</f>
        <v>14483.1885339606</v>
      </c>
      <c r="AP13" s="56" t="n">
        <f aca="false">'09_GRID'!$C$7*'10_DEMAND'!AP27/'10_DEMAND'!$C$99</f>
        <v>15457.1001863839</v>
      </c>
      <c r="AQ13" s="56" t="n">
        <f aca="false">'09_GRID'!$C$7*'10_DEMAND'!AQ27/'10_DEMAND'!$C$99</f>
        <v>16499.4085079211</v>
      </c>
      <c r="AR13" s="56" t="n">
        <f aca="false">'09_GRID'!$C$7*'10_DEMAND'!AR27/'10_DEMAND'!$C$99</f>
        <v>17615.1445380761</v>
      </c>
    </row>
    <row r="14" customFormat="false" ht="15" hidden="false" customHeight="true" outlineLevel="0" collapsed="false">
      <c r="A14" s="23" t="s">
        <v>475</v>
      </c>
      <c r="B14" s="23" t="s">
        <v>232</v>
      </c>
      <c r="E14" s="56" t="n">
        <f aca="false">MAX(0,'09_GRID'!E13*'09_GRID'!$C$8-'09_GRID'!$C$9)+'09_GRID'!$C$10</f>
        <v>723.630136986301</v>
      </c>
      <c r="F14" s="56" t="n">
        <f aca="false">MAX(0,'09_GRID'!F13*'09_GRID'!$C$8-'09_GRID'!$C$9)+'09_GRID'!$C$10</f>
        <v>780.681876712329</v>
      </c>
      <c r="G14" s="56" t="n">
        <f aca="false">MAX(0,'09_GRID'!G13*'09_GRID'!$C$8-'09_GRID'!$C$9)+'09_GRID'!$C$10</f>
        <v>841.38143109589</v>
      </c>
      <c r="H14" s="56" t="n">
        <f aca="false">MAX(0,'09_GRID'!H13*'09_GRID'!$C$8-'09_GRID'!$C$9)+'09_GRID'!$C$10</f>
        <v>905.970547275343</v>
      </c>
      <c r="I14" s="56" t="n">
        <f aca="false">MAX(0,'09_GRID'!I13*'09_GRID'!$C$8-'09_GRID'!$C$9)+'09_GRID'!$C$10</f>
        <v>974.707619380206</v>
      </c>
      <c r="J14" s="56" t="n">
        <f aca="false">MAX(0,'09_GRID'!J13*'09_GRID'!$C$8-'09_GRID'!$C$9)+'09_GRID'!$C$10</f>
        <v>1047.86888346521</v>
      </c>
      <c r="K14" s="56" t="n">
        <f aca="false">MAX(0,'09_GRID'!K13*'09_GRID'!$C$8-'09_GRID'!$C$9)+'09_GRID'!$C$10</f>
        <v>1125.7497021216</v>
      </c>
      <c r="L14" s="56" t="n">
        <f aca="false">MAX(0,'09_GRID'!L13*'09_GRID'!$C$8-'09_GRID'!$C$9)+'09_GRID'!$C$10</f>
        <v>1208.66594581339</v>
      </c>
      <c r="M14" s="56" t="n">
        <f aca="false">MAX(0,'09_GRID'!M13*'09_GRID'!$C$8-'09_GRID'!$C$9)+'09_GRID'!$C$10</f>
        <v>1296.95547856613</v>
      </c>
      <c r="N14" s="56" t="n">
        <f aca="false">MAX(0,'09_GRID'!N13*'09_GRID'!$C$8-'09_GRID'!$C$9)+'09_GRID'!$C$10</f>
        <v>1390.9797562646</v>
      </c>
      <c r="O14" s="56" t="n">
        <f aca="false">MAX(0,'09_GRID'!O13*'09_GRID'!$C$8-'09_GRID'!$C$9)+'09_GRID'!$C$10</f>
        <v>1491.12554649998</v>
      </c>
      <c r="P14" s="56" t="n">
        <f aca="false">MAX(0,'09_GRID'!P13*'09_GRID'!$C$8-'09_GRID'!$C$9)+'09_GRID'!$C$10</f>
        <v>1597.80677964886</v>
      </c>
      <c r="Q14" s="56" t="n">
        <f aca="false">MAX(0,'09_GRID'!Q13*'09_GRID'!$C$8-'09_GRID'!$C$9)+'09_GRID'!$C$10</f>
        <v>1711.46654167351</v>
      </c>
      <c r="R14" s="56" t="n">
        <f aca="false">MAX(0,'09_GRID'!R13*'09_GRID'!$C$8-'09_GRID'!$C$9)+'09_GRID'!$C$10</f>
        <v>1832.57922000953</v>
      </c>
      <c r="S14" s="56" t="n">
        <f aca="false">MAX(0,'09_GRID'!S13*'09_GRID'!$C$8-'09_GRID'!$C$9)+'09_GRID'!$C$10</f>
        <v>1961.65281485967</v>
      </c>
      <c r="T14" s="56" t="n">
        <f aca="false">MAX(0,'09_GRID'!T13*'09_GRID'!$C$8-'09_GRID'!$C$9)+'09_GRID'!$C$10</f>
        <v>2099.23142924926</v>
      </c>
      <c r="U14" s="56" t="n">
        <f aca="false">MAX(0,'09_GRID'!U13*'09_GRID'!$C$8-'09_GRID'!$C$9)+'09_GRID'!$C$10</f>
        <v>2245.89795232496</v>
      </c>
      <c r="V14" s="56" t="n">
        <f aca="false">MAX(0,'09_GRID'!V13*'09_GRID'!$C$8-'09_GRID'!$C$9)+'09_GRID'!$C$10</f>
        <v>2402.27695160473</v>
      </c>
      <c r="W14" s="56" t="n">
        <f aca="false">MAX(0,'09_GRID'!W13*'09_GRID'!$C$8-'09_GRID'!$C$9)+'09_GRID'!$C$10</f>
        <v>2569.0377912201</v>
      </c>
      <c r="X14" s="56" t="n">
        <f aca="false">MAX(0,'09_GRID'!X13*'09_GRID'!$C$8-'09_GRID'!$C$9)+'09_GRID'!$C$10</f>
        <v>2746.8979946433</v>
      </c>
      <c r="Y14" s="56" t="n">
        <f aca="false">MAX(0,'09_GRID'!Y13*'09_GRID'!$C$8-'09_GRID'!$C$9)+'09_GRID'!$C$10</f>
        <v>2936.626871971</v>
      </c>
      <c r="Z14" s="56" t="n">
        <f aca="false">MAX(0,'09_GRID'!Z13*'09_GRID'!$C$8-'09_GRID'!$C$9)+'09_GRID'!$C$10</f>
        <v>3139.04943355656</v>
      </c>
      <c r="AA14" s="56" t="n">
        <f aca="false">MAX(0,'09_GRID'!AA13*'09_GRID'!$C$8-'09_GRID'!$C$9)+'09_GRID'!$C$10</f>
        <v>3355.05061365458</v>
      </c>
      <c r="AB14" s="56" t="n">
        <f aca="false">MAX(0,'09_GRID'!AB13*'09_GRID'!$C$8-'09_GRID'!$C$9)+'09_GRID'!$C$10</f>
        <v>3585.57982978154</v>
      </c>
      <c r="AC14" s="56" t="n">
        <f aca="false">MAX(0,'09_GRID'!AC13*'09_GRID'!$C$8-'09_GRID'!$C$9)+'09_GRID'!$C$10</f>
        <v>3831.65590571755</v>
      </c>
      <c r="AD14" s="56" t="n">
        <f aca="false">MAX(0,'09_GRID'!AD13*'09_GRID'!$C$8-'09_GRID'!$C$9)+'09_GRID'!$C$10</f>
        <v>4094.37238849523</v>
      </c>
      <c r="AE14" s="56" t="n">
        <f aca="false">MAX(0,'09_GRID'!AE13*'09_GRID'!$C$8-'09_GRID'!$C$9)+'09_GRID'!$C$10</f>
        <v>4374.90329235945</v>
      </c>
      <c r="AF14" s="56" t="n">
        <f aca="false">MAX(0,'09_GRID'!AF13*'09_GRID'!$C$8-'09_GRID'!$C$9)+'09_GRID'!$C$10</f>
        <v>4674.50930555741</v>
      </c>
      <c r="AG14" s="56" t="n">
        <f aca="false">MAX(0,'09_GRID'!AG13*'09_GRID'!$C$8-'09_GRID'!$C$9)+'09_GRID'!$C$10</f>
        <v>4994.54449895314</v>
      </c>
      <c r="AH14" s="56" t="n">
        <f aca="false">MAX(0,'09_GRID'!AH13*'09_GRID'!$C$8-'09_GRID'!$C$9)+'09_GRID'!$C$10</f>
        <v>5336.46357887919</v>
      </c>
      <c r="AI14" s="56" t="n">
        <f aca="false">MAX(0,'09_GRID'!AI13*'09_GRID'!$C$8-'09_GRID'!$C$9)+'09_GRID'!$C$10</f>
        <v>5701.82973036606</v>
      </c>
      <c r="AJ14" s="56" t="n">
        <f aca="false">MAX(0,'09_GRID'!AJ13*'09_GRID'!$C$8-'09_GRID'!$C$9)+'09_GRID'!$C$10</f>
        <v>6092.32310095702</v>
      </c>
      <c r="AK14" s="56" t="n">
        <f aca="false">MAX(0,'09_GRID'!AK13*'09_GRID'!$C$8-'09_GRID'!$C$9)+'09_GRID'!$C$10</f>
        <v>6509.7499797528</v>
      </c>
      <c r="AL14" s="56" t="n">
        <f aca="false">MAX(0,'09_GRID'!AL13*'09_GRID'!$C$8-'09_GRID'!$C$9)+'09_GRID'!$C$10</f>
        <v>6956.0527311726</v>
      </c>
      <c r="AM14" s="56" t="n">
        <f aca="false">MAX(0,'09_GRID'!AM13*'09_GRID'!$C$8-'09_GRID'!$C$9)+'09_GRID'!$C$10</f>
        <v>7433.32054820211</v>
      </c>
      <c r="AN14" s="56" t="n">
        <f aca="false">MAX(0,'09_GRID'!AN13*'09_GRID'!$C$8-'09_GRID'!$C$9)+'09_GRID'!$C$10</f>
        <v>7943.80109566799</v>
      </c>
      <c r="AO14" s="56" t="n">
        <f aca="false">MAX(0,'09_GRID'!AO13*'09_GRID'!$C$8-'09_GRID'!$C$9)+'09_GRID'!$C$10</f>
        <v>8489.91312037637</v>
      </c>
      <c r="AP14" s="56" t="n">
        <f aca="false">MAX(0,'09_GRID'!AP13*'09_GRID'!$C$8-'09_GRID'!$C$9)+'09_GRID'!$C$10</f>
        <v>9074.26011183031</v>
      </c>
      <c r="AQ14" s="56" t="n">
        <f aca="false">MAX(0,'09_GRID'!AQ13*'09_GRID'!$C$8-'09_GRID'!$C$9)+'09_GRID'!$C$10</f>
        <v>9699.64510475265</v>
      </c>
      <c r="AR14" s="56" t="n">
        <f aca="false">MAX(0,'09_GRID'!AR13*'09_GRID'!$C$8-'09_GRID'!$C$9)+'09_GRID'!$C$10</f>
        <v>10369.0867228457</v>
      </c>
    </row>
    <row r="15" customFormat="false" ht="15" hidden="false" customHeight="true" outlineLevel="0" collapsed="false">
      <c r="A15" s="23" t="s">
        <v>476</v>
      </c>
      <c r="B15" s="23" t="s">
        <v>232</v>
      </c>
      <c r="E15" s="56" t="n">
        <f aca="false">IF('08_TRANSMISSION'!E30=1,'08_TRANSMISSION'!$C$10,'08_TRANSMISSION'!$C$19)</f>
        <v>0</v>
      </c>
      <c r="F15" s="56" t="n">
        <f aca="false">IF('08_TRANSMISSION'!F30=1,'08_TRANSMISSION'!$C$10,'08_TRANSMISSION'!$C$19)</f>
        <v>0</v>
      </c>
      <c r="G15" s="56" t="n">
        <f aca="false">IF('08_TRANSMISSION'!G30=1,'08_TRANSMISSION'!$C$10,'08_TRANSMISSION'!$C$19)</f>
        <v>0</v>
      </c>
      <c r="H15" s="56" t="n">
        <f aca="false">IF('08_TRANSMISSION'!H30=1,'08_TRANSMISSION'!$C$10,'08_TRANSMISSION'!$C$19)</f>
        <v>120</v>
      </c>
      <c r="I15" s="56" t="n">
        <f aca="false">IF('08_TRANSMISSION'!I30=1,'08_TRANSMISSION'!$C$10,'08_TRANSMISSION'!$C$19)</f>
        <v>120</v>
      </c>
      <c r="J15" s="56" t="n">
        <f aca="false">IF('08_TRANSMISSION'!J30=1,'08_TRANSMISSION'!$C$10,'08_TRANSMISSION'!$C$19)</f>
        <v>120</v>
      </c>
      <c r="K15" s="56" t="n">
        <f aca="false">IF('08_TRANSMISSION'!K30=1,'08_TRANSMISSION'!$C$10,'08_TRANSMISSION'!$C$19)</f>
        <v>120</v>
      </c>
      <c r="L15" s="56" t="n">
        <f aca="false">IF('08_TRANSMISSION'!L30=1,'08_TRANSMISSION'!$C$10,'08_TRANSMISSION'!$C$19)</f>
        <v>120</v>
      </c>
      <c r="M15" s="56" t="n">
        <f aca="false">IF('08_TRANSMISSION'!M30=1,'08_TRANSMISSION'!$C$10,'08_TRANSMISSION'!$C$19)</f>
        <v>120</v>
      </c>
      <c r="N15" s="56" t="n">
        <f aca="false">IF('08_TRANSMISSION'!N30=1,'08_TRANSMISSION'!$C$10,'08_TRANSMISSION'!$C$19)</f>
        <v>120</v>
      </c>
      <c r="O15" s="56" t="n">
        <f aca="false">IF('08_TRANSMISSION'!O30=1,'08_TRANSMISSION'!$C$10,'08_TRANSMISSION'!$C$19)</f>
        <v>120</v>
      </c>
      <c r="P15" s="56" t="n">
        <f aca="false">IF('08_TRANSMISSION'!P30=1,'08_TRANSMISSION'!$C$10,'08_TRANSMISSION'!$C$19)</f>
        <v>120</v>
      </c>
      <c r="Q15" s="56" t="n">
        <f aca="false">IF('08_TRANSMISSION'!Q30=1,'08_TRANSMISSION'!$C$10,'08_TRANSMISSION'!$C$19)</f>
        <v>120</v>
      </c>
      <c r="R15" s="56" t="n">
        <f aca="false">IF('08_TRANSMISSION'!R30=1,'08_TRANSMISSION'!$C$10,'08_TRANSMISSION'!$C$19)</f>
        <v>120</v>
      </c>
      <c r="S15" s="56" t="n">
        <f aca="false">IF('08_TRANSMISSION'!S30=1,'08_TRANSMISSION'!$C$10,'08_TRANSMISSION'!$C$19)</f>
        <v>120</v>
      </c>
      <c r="T15" s="56" t="n">
        <f aca="false">IF('08_TRANSMISSION'!T30=1,'08_TRANSMISSION'!$C$10,'08_TRANSMISSION'!$C$19)</f>
        <v>120</v>
      </c>
      <c r="U15" s="56" t="n">
        <f aca="false">IF('08_TRANSMISSION'!U30=1,'08_TRANSMISSION'!$C$10,'08_TRANSMISSION'!$C$19)</f>
        <v>120</v>
      </c>
      <c r="V15" s="56" t="n">
        <f aca="false">IF('08_TRANSMISSION'!V30=1,'08_TRANSMISSION'!$C$10,'08_TRANSMISSION'!$C$19)</f>
        <v>120</v>
      </c>
      <c r="W15" s="56" t="n">
        <f aca="false">IF('08_TRANSMISSION'!W30=1,'08_TRANSMISSION'!$C$10,'08_TRANSMISSION'!$C$19)</f>
        <v>120</v>
      </c>
      <c r="X15" s="56" t="n">
        <f aca="false">IF('08_TRANSMISSION'!X30=1,'08_TRANSMISSION'!$C$10,'08_TRANSMISSION'!$C$19)</f>
        <v>120</v>
      </c>
      <c r="Y15" s="56" t="n">
        <f aca="false">IF('08_TRANSMISSION'!Y30=1,'08_TRANSMISSION'!$C$10,'08_TRANSMISSION'!$C$19)</f>
        <v>120</v>
      </c>
      <c r="Z15" s="56" t="n">
        <f aca="false">IF('08_TRANSMISSION'!Z30=1,'08_TRANSMISSION'!$C$10,'08_TRANSMISSION'!$C$19)</f>
        <v>120</v>
      </c>
      <c r="AA15" s="56" t="n">
        <f aca="false">IF('08_TRANSMISSION'!AA30=1,'08_TRANSMISSION'!$C$10,'08_TRANSMISSION'!$C$19)</f>
        <v>120</v>
      </c>
      <c r="AB15" s="56" t="n">
        <f aca="false">IF('08_TRANSMISSION'!AB30=1,'08_TRANSMISSION'!$C$10,'08_TRANSMISSION'!$C$19)</f>
        <v>120</v>
      </c>
      <c r="AC15" s="56" t="n">
        <f aca="false">IF('08_TRANSMISSION'!AC30=1,'08_TRANSMISSION'!$C$10,'08_TRANSMISSION'!$C$19)</f>
        <v>120</v>
      </c>
      <c r="AD15" s="56" t="n">
        <f aca="false">IF('08_TRANSMISSION'!AD30=1,'08_TRANSMISSION'!$C$10,'08_TRANSMISSION'!$C$19)</f>
        <v>120</v>
      </c>
      <c r="AE15" s="56" t="n">
        <f aca="false">IF('08_TRANSMISSION'!AE30=1,'08_TRANSMISSION'!$C$10,'08_TRANSMISSION'!$C$19)</f>
        <v>120</v>
      </c>
      <c r="AF15" s="56" t="n">
        <f aca="false">IF('08_TRANSMISSION'!AF30=1,'08_TRANSMISSION'!$C$10,'08_TRANSMISSION'!$C$19)</f>
        <v>120</v>
      </c>
      <c r="AG15" s="56" t="n">
        <f aca="false">IF('08_TRANSMISSION'!AG30=1,'08_TRANSMISSION'!$C$10,'08_TRANSMISSION'!$C$19)</f>
        <v>120</v>
      </c>
      <c r="AH15" s="56" t="n">
        <f aca="false">IF('08_TRANSMISSION'!AH30=1,'08_TRANSMISSION'!$C$10,'08_TRANSMISSION'!$C$19)</f>
        <v>120</v>
      </c>
      <c r="AI15" s="56" t="n">
        <f aca="false">IF('08_TRANSMISSION'!AI30=1,'08_TRANSMISSION'!$C$10,'08_TRANSMISSION'!$C$19)</f>
        <v>120</v>
      </c>
      <c r="AJ15" s="56" t="n">
        <f aca="false">IF('08_TRANSMISSION'!AJ30=1,'08_TRANSMISSION'!$C$10,'08_TRANSMISSION'!$C$19)</f>
        <v>120</v>
      </c>
      <c r="AK15" s="56" t="n">
        <f aca="false">IF('08_TRANSMISSION'!AK30=1,'08_TRANSMISSION'!$C$10,'08_TRANSMISSION'!$C$19)</f>
        <v>120</v>
      </c>
      <c r="AL15" s="56" t="n">
        <f aca="false">IF('08_TRANSMISSION'!AL30=1,'08_TRANSMISSION'!$C$10,'08_TRANSMISSION'!$C$19)</f>
        <v>120</v>
      </c>
      <c r="AM15" s="56" t="n">
        <f aca="false">IF('08_TRANSMISSION'!AM30=1,'08_TRANSMISSION'!$C$10,'08_TRANSMISSION'!$C$19)</f>
        <v>120</v>
      </c>
      <c r="AN15" s="56" t="n">
        <f aca="false">IF('08_TRANSMISSION'!AN30=1,'08_TRANSMISSION'!$C$10,'08_TRANSMISSION'!$C$19)</f>
        <v>120</v>
      </c>
      <c r="AO15" s="56" t="n">
        <f aca="false">IF('08_TRANSMISSION'!AO30=1,'08_TRANSMISSION'!$C$10,'08_TRANSMISSION'!$C$19)</f>
        <v>120</v>
      </c>
      <c r="AP15" s="56" t="n">
        <f aca="false">IF('08_TRANSMISSION'!AP30=1,'08_TRANSMISSION'!$C$10,'08_TRANSMISSION'!$C$19)</f>
        <v>120</v>
      </c>
      <c r="AQ15" s="56" t="n">
        <f aca="false">IF('08_TRANSMISSION'!AQ30=1,'08_TRANSMISSION'!$C$10,'08_TRANSMISSION'!$C$19)</f>
        <v>120</v>
      </c>
      <c r="AR15" s="56" t="n">
        <f aca="false">IF('08_TRANSMISSION'!AR30=1,'08_TRANSMISSION'!$C$10,'08_TRANSMISSION'!$C$19)</f>
        <v>120</v>
      </c>
    </row>
    <row r="16" customFormat="false" ht="15" hidden="false" customHeight="true" outlineLevel="0" collapsed="false">
      <c r="A16" s="19" t="s">
        <v>477</v>
      </c>
      <c r="B16" s="23" t="s">
        <v>232</v>
      </c>
      <c r="E16" s="64" t="n">
        <f aca="false">MIN('09_GRID'!E15,'09_GRID'!E14)</f>
        <v>0</v>
      </c>
      <c r="F16" s="64" t="n">
        <f aca="false">MIN('09_GRID'!F15,'09_GRID'!F14)</f>
        <v>0</v>
      </c>
      <c r="G16" s="64" t="n">
        <f aca="false">MIN('09_GRID'!G15,'09_GRID'!G14)</f>
        <v>0</v>
      </c>
      <c r="H16" s="64" t="n">
        <f aca="false">MIN('09_GRID'!H15,'09_GRID'!H14)</f>
        <v>120</v>
      </c>
      <c r="I16" s="64" t="n">
        <f aca="false">MIN('09_GRID'!I15,'09_GRID'!I14)</f>
        <v>120</v>
      </c>
      <c r="J16" s="64" t="n">
        <f aca="false">MIN('09_GRID'!J15,'09_GRID'!J14)</f>
        <v>120</v>
      </c>
      <c r="K16" s="64" t="n">
        <f aca="false">MIN('09_GRID'!K15,'09_GRID'!K14)</f>
        <v>120</v>
      </c>
      <c r="L16" s="64" t="n">
        <f aca="false">MIN('09_GRID'!L15,'09_GRID'!L14)</f>
        <v>120</v>
      </c>
      <c r="M16" s="64" t="n">
        <f aca="false">MIN('09_GRID'!M15,'09_GRID'!M14)</f>
        <v>120</v>
      </c>
      <c r="N16" s="64" t="n">
        <f aca="false">MIN('09_GRID'!N15,'09_GRID'!N14)</f>
        <v>120</v>
      </c>
      <c r="O16" s="64" t="n">
        <f aca="false">MIN('09_GRID'!O15,'09_GRID'!O14)</f>
        <v>120</v>
      </c>
      <c r="P16" s="64" t="n">
        <f aca="false">MIN('09_GRID'!P15,'09_GRID'!P14)</f>
        <v>120</v>
      </c>
      <c r="Q16" s="64" t="n">
        <f aca="false">MIN('09_GRID'!Q15,'09_GRID'!Q14)</f>
        <v>120</v>
      </c>
      <c r="R16" s="64" t="n">
        <f aca="false">MIN('09_GRID'!R15,'09_GRID'!R14)</f>
        <v>120</v>
      </c>
      <c r="S16" s="64" t="n">
        <f aca="false">MIN('09_GRID'!S15,'09_GRID'!S14)</f>
        <v>120</v>
      </c>
      <c r="T16" s="64" t="n">
        <f aca="false">MIN('09_GRID'!T15,'09_GRID'!T14)</f>
        <v>120</v>
      </c>
      <c r="U16" s="64" t="n">
        <f aca="false">MIN('09_GRID'!U15,'09_GRID'!U14)</f>
        <v>120</v>
      </c>
      <c r="V16" s="64" t="n">
        <f aca="false">MIN('09_GRID'!V15,'09_GRID'!V14)</f>
        <v>120</v>
      </c>
      <c r="W16" s="64" t="n">
        <f aca="false">MIN('09_GRID'!W15,'09_GRID'!W14)</f>
        <v>120</v>
      </c>
      <c r="X16" s="64" t="n">
        <f aca="false">MIN('09_GRID'!X15,'09_GRID'!X14)</f>
        <v>120</v>
      </c>
      <c r="Y16" s="64" t="n">
        <f aca="false">MIN('09_GRID'!Y15,'09_GRID'!Y14)</f>
        <v>120</v>
      </c>
      <c r="Z16" s="64" t="n">
        <f aca="false">MIN('09_GRID'!Z15,'09_GRID'!Z14)</f>
        <v>120</v>
      </c>
      <c r="AA16" s="64" t="n">
        <f aca="false">MIN('09_GRID'!AA15,'09_GRID'!AA14)</f>
        <v>120</v>
      </c>
      <c r="AB16" s="64" t="n">
        <f aca="false">MIN('09_GRID'!AB15,'09_GRID'!AB14)</f>
        <v>120</v>
      </c>
      <c r="AC16" s="64" t="n">
        <f aca="false">MIN('09_GRID'!AC15,'09_GRID'!AC14)</f>
        <v>120</v>
      </c>
      <c r="AD16" s="64" t="n">
        <f aca="false">MIN('09_GRID'!AD15,'09_GRID'!AD14)</f>
        <v>120</v>
      </c>
      <c r="AE16" s="64" t="n">
        <f aca="false">MIN('09_GRID'!AE15,'09_GRID'!AE14)</f>
        <v>120</v>
      </c>
      <c r="AF16" s="64" t="n">
        <f aca="false">MIN('09_GRID'!AF15,'09_GRID'!AF14)</f>
        <v>120</v>
      </c>
      <c r="AG16" s="64" t="n">
        <f aca="false">MIN('09_GRID'!AG15,'09_GRID'!AG14)</f>
        <v>120</v>
      </c>
      <c r="AH16" s="64" t="n">
        <f aca="false">MIN('09_GRID'!AH15,'09_GRID'!AH14)</f>
        <v>120</v>
      </c>
      <c r="AI16" s="64" t="n">
        <f aca="false">MIN('09_GRID'!AI15,'09_GRID'!AI14)</f>
        <v>120</v>
      </c>
      <c r="AJ16" s="64" t="n">
        <f aca="false">MIN('09_GRID'!AJ15,'09_GRID'!AJ14)</f>
        <v>120</v>
      </c>
      <c r="AK16" s="64" t="n">
        <f aca="false">MIN('09_GRID'!AK15,'09_GRID'!AK14)</f>
        <v>120</v>
      </c>
      <c r="AL16" s="64" t="n">
        <f aca="false">MIN('09_GRID'!AL15,'09_GRID'!AL14)</f>
        <v>120</v>
      </c>
      <c r="AM16" s="64" t="n">
        <f aca="false">MIN('09_GRID'!AM15,'09_GRID'!AM14)</f>
        <v>120</v>
      </c>
      <c r="AN16" s="64" t="n">
        <f aca="false">MIN('09_GRID'!AN15,'09_GRID'!AN14)</f>
        <v>120</v>
      </c>
      <c r="AO16" s="64" t="n">
        <f aca="false">MIN('09_GRID'!AO15,'09_GRID'!AO14)</f>
        <v>120</v>
      </c>
      <c r="AP16" s="64" t="n">
        <f aca="false">MIN('09_GRID'!AP15,'09_GRID'!AP14)</f>
        <v>120</v>
      </c>
      <c r="AQ16" s="64" t="n">
        <f aca="false">MIN('09_GRID'!AQ15,'09_GRID'!AQ14)</f>
        <v>120</v>
      </c>
      <c r="AR16" s="64" t="n">
        <f aca="false">MIN('09_GRID'!AR15,'09_GRID'!AR14)</f>
        <v>120</v>
      </c>
    </row>
    <row r="17" customFormat="false" ht="15" hidden="false" customHeight="true" outlineLevel="0" collapsed="false">
      <c r="A17" s="23" t="s">
        <v>478</v>
      </c>
      <c r="B17" s="23" t="s">
        <v>119</v>
      </c>
      <c r="E17" s="63" t="n">
        <f aca="false">MIN(1,'09_GRID'!E16/'02_PROJECT_INPUTS'!$C$15)</f>
        <v>0</v>
      </c>
      <c r="F17" s="63" t="n">
        <f aca="false">MIN(1,'09_GRID'!F16/'02_PROJECT_INPUTS'!$C$15)</f>
        <v>0</v>
      </c>
      <c r="G17" s="63" t="n">
        <f aca="false">MIN(1,'09_GRID'!G16/'02_PROJECT_INPUTS'!$C$15)</f>
        <v>0</v>
      </c>
      <c r="H17" s="63" t="n">
        <f aca="false">MIN(1,'09_GRID'!H16/'02_PROJECT_INPUTS'!$C$15)</f>
        <v>1</v>
      </c>
      <c r="I17" s="63" t="n">
        <f aca="false">MIN(1,'09_GRID'!I16/'02_PROJECT_INPUTS'!$C$15)</f>
        <v>1</v>
      </c>
      <c r="J17" s="63" t="n">
        <f aca="false">MIN(1,'09_GRID'!J16/'02_PROJECT_INPUTS'!$C$15)</f>
        <v>1</v>
      </c>
      <c r="K17" s="63" t="n">
        <f aca="false">MIN(1,'09_GRID'!K16/'02_PROJECT_INPUTS'!$C$15)</f>
        <v>1</v>
      </c>
      <c r="L17" s="63" t="n">
        <f aca="false">MIN(1,'09_GRID'!L16/'02_PROJECT_INPUTS'!$C$15)</f>
        <v>1</v>
      </c>
      <c r="M17" s="63" t="n">
        <f aca="false">MIN(1,'09_GRID'!M16/'02_PROJECT_INPUTS'!$C$15)</f>
        <v>1</v>
      </c>
      <c r="N17" s="63" t="n">
        <f aca="false">MIN(1,'09_GRID'!N16/'02_PROJECT_INPUTS'!$C$15)</f>
        <v>1</v>
      </c>
      <c r="O17" s="63" t="n">
        <f aca="false">MIN(1,'09_GRID'!O16/'02_PROJECT_INPUTS'!$C$15)</f>
        <v>1</v>
      </c>
      <c r="P17" s="63" t="n">
        <f aca="false">MIN(1,'09_GRID'!P16/'02_PROJECT_INPUTS'!$C$15)</f>
        <v>1</v>
      </c>
      <c r="Q17" s="63" t="n">
        <f aca="false">MIN(1,'09_GRID'!Q16/'02_PROJECT_INPUTS'!$C$15)</f>
        <v>1</v>
      </c>
      <c r="R17" s="63" t="n">
        <f aca="false">MIN(1,'09_GRID'!R16/'02_PROJECT_INPUTS'!$C$15)</f>
        <v>1</v>
      </c>
      <c r="S17" s="63" t="n">
        <f aca="false">MIN(1,'09_GRID'!S16/'02_PROJECT_INPUTS'!$C$15)</f>
        <v>1</v>
      </c>
      <c r="T17" s="63" t="n">
        <f aca="false">MIN(1,'09_GRID'!T16/'02_PROJECT_INPUTS'!$C$15)</f>
        <v>1</v>
      </c>
      <c r="U17" s="63" t="n">
        <f aca="false">MIN(1,'09_GRID'!U16/'02_PROJECT_INPUTS'!$C$15)</f>
        <v>1</v>
      </c>
      <c r="V17" s="63" t="n">
        <f aca="false">MIN(1,'09_GRID'!V16/'02_PROJECT_INPUTS'!$C$15)</f>
        <v>1</v>
      </c>
      <c r="W17" s="63" t="n">
        <f aca="false">MIN(1,'09_GRID'!W16/'02_PROJECT_INPUTS'!$C$15)</f>
        <v>1</v>
      </c>
      <c r="X17" s="63" t="n">
        <f aca="false">MIN(1,'09_GRID'!X16/'02_PROJECT_INPUTS'!$C$15)</f>
        <v>1</v>
      </c>
      <c r="Y17" s="63" t="n">
        <f aca="false">MIN(1,'09_GRID'!Y16/'02_PROJECT_INPUTS'!$C$15)</f>
        <v>1</v>
      </c>
      <c r="Z17" s="63" t="n">
        <f aca="false">MIN(1,'09_GRID'!Z16/'02_PROJECT_INPUTS'!$C$15)</f>
        <v>1</v>
      </c>
      <c r="AA17" s="63" t="n">
        <f aca="false">MIN(1,'09_GRID'!AA16/'02_PROJECT_INPUTS'!$C$15)</f>
        <v>1</v>
      </c>
      <c r="AB17" s="63" t="n">
        <f aca="false">MIN(1,'09_GRID'!AB16/'02_PROJECT_INPUTS'!$C$15)</f>
        <v>1</v>
      </c>
      <c r="AC17" s="63" t="n">
        <f aca="false">MIN(1,'09_GRID'!AC16/'02_PROJECT_INPUTS'!$C$15)</f>
        <v>1</v>
      </c>
      <c r="AD17" s="63" t="n">
        <f aca="false">MIN(1,'09_GRID'!AD16/'02_PROJECT_INPUTS'!$C$15)</f>
        <v>1</v>
      </c>
      <c r="AE17" s="63" t="n">
        <f aca="false">MIN(1,'09_GRID'!AE16/'02_PROJECT_INPUTS'!$C$15)</f>
        <v>1</v>
      </c>
      <c r="AF17" s="63" t="n">
        <f aca="false">MIN(1,'09_GRID'!AF16/'02_PROJECT_INPUTS'!$C$15)</f>
        <v>1</v>
      </c>
      <c r="AG17" s="63" t="n">
        <f aca="false">MIN(1,'09_GRID'!AG16/'02_PROJECT_INPUTS'!$C$15)</f>
        <v>1</v>
      </c>
      <c r="AH17" s="63" t="n">
        <f aca="false">MIN(1,'09_GRID'!AH16/'02_PROJECT_INPUTS'!$C$15)</f>
        <v>1</v>
      </c>
      <c r="AI17" s="63" t="n">
        <f aca="false">MIN(1,'09_GRID'!AI16/'02_PROJECT_INPUTS'!$C$15)</f>
        <v>1</v>
      </c>
      <c r="AJ17" s="63" t="n">
        <f aca="false">MIN(1,'09_GRID'!AJ16/'02_PROJECT_INPUTS'!$C$15)</f>
        <v>1</v>
      </c>
      <c r="AK17" s="63" t="n">
        <f aca="false">MIN(1,'09_GRID'!AK16/'02_PROJECT_INPUTS'!$C$15)</f>
        <v>1</v>
      </c>
      <c r="AL17" s="63" t="n">
        <f aca="false">MIN(1,'09_GRID'!AL16/'02_PROJECT_INPUTS'!$C$15)</f>
        <v>1</v>
      </c>
      <c r="AM17" s="63" t="n">
        <f aca="false">MIN(1,'09_GRID'!AM16/'02_PROJECT_INPUTS'!$C$15)</f>
        <v>1</v>
      </c>
      <c r="AN17" s="63" t="n">
        <f aca="false">MIN(1,'09_GRID'!AN16/'02_PROJECT_INPUTS'!$C$15)</f>
        <v>1</v>
      </c>
      <c r="AO17" s="63" t="n">
        <f aca="false">MIN(1,'09_GRID'!AO16/'02_PROJECT_INPUTS'!$C$15)</f>
        <v>1</v>
      </c>
      <c r="AP17" s="63" t="n">
        <f aca="false">MIN(1,'09_GRID'!AP16/'02_PROJECT_INPUTS'!$C$15)</f>
        <v>1</v>
      </c>
      <c r="AQ17" s="63" t="n">
        <f aca="false">MIN(1,'09_GRID'!AQ16/'02_PROJECT_INPUTS'!$C$15)</f>
        <v>1</v>
      </c>
      <c r="AR17" s="63" t="n">
        <f aca="false">MIN(1,'09_GRID'!AR16/'02_PROJECT_INPUTS'!$C$15)</f>
        <v>1</v>
      </c>
    </row>
    <row r="18" customFormat="false" ht="15" hidden="false" customHeight="true" outlineLevel="0" collapsed="false">
      <c r="A18" s="23" t="s">
        <v>479</v>
      </c>
      <c r="B18" s="23" t="s">
        <v>93</v>
      </c>
      <c r="E18" s="43" t="n">
        <f aca="false">'06_CONSTRUCTION'!E14*'02_PROJECT_INPUTS'!$C$15/'09_GRID'!E13</f>
        <v>0</v>
      </c>
      <c r="F18" s="43" t="n">
        <f aca="false">'06_CONSTRUCTION'!F14*'02_PROJECT_INPUTS'!$C$15/'09_GRID'!F13</f>
        <v>0</v>
      </c>
      <c r="G18" s="43" t="n">
        <f aca="false">'06_CONSTRUCTION'!G14*'02_PROJECT_INPUTS'!$C$15/'09_GRID'!G13</f>
        <v>0</v>
      </c>
      <c r="H18" s="43" t="n">
        <f aca="false">'06_CONSTRUCTION'!H14*'02_PROJECT_INPUTS'!$C$15/'09_GRID'!H13</f>
        <v>0.0325505955729917</v>
      </c>
      <c r="I18" s="43" t="n">
        <f aca="false">'06_CONSTRUCTION'!I14*'02_PROJECT_INPUTS'!$C$15/'09_GRID'!I13</f>
        <v>0.0306459236375722</v>
      </c>
      <c r="J18" s="43" t="n">
        <f aca="false">'06_CONSTRUCTION'!J14*'02_PROJECT_INPUTS'!$C$15/'09_GRID'!J13</f>
        <v>0.0288491847797594</v>
      </c>
      <c r="K18" s="43" t="n">
        <f aca="false">'06_CONSTRUCTION'!K14*'02_PROJECT_INPUTS'!$C$15/'09_GRID'!K13</f>
        <v>0.0271544469837626</v>
      </c>
      <c r="L18" s="43" t="n">
        <f aca="false">'06_CONSTRUCTION'!L14*'02_PROJECT_INPUTS'!$C$15/'09_GRID'!L13</f>
        <v>0.0255560944786046</v>
      </c>
      <c r="M18" s="43" t="n">
        <f aca="false">'06_CONSTRUCTION'!M14*'02_PROJECT_INPUTS'!$C$15/'09_GRID'!M13</f>
        <v>0.0240488114145405</v>
      </c>
      <c r="N18" s="43" t="n">
        <f aca="false">'06_CONSTRUCTION'!N14*'02_PROJECT_INPUTS'!$C$15/'09_GRID'!N13</f>
        <v>0.0226275663522728</v>
      </c>
      <c r="O18" s="43" t="n">
        <f aca="false">'06_CONSTRUCTION'!O14*'02_PROJECT_INPUTS'!$C$15/'09_GRID'!O13</f>
        <v>0.0212875975261015</v>
      </c>
      <c r="P18" s="43" t="n">
        <f aca="false">'06_CONSTRUCTION'!P14*'02_PROJECT_INPUTS'!$C$15/'09_GRID'!P13</f>
        <v>0.0200243988439244</v>
      </c>
      <c r="Q18" s="43" t="n">
        <f aca="false">'06_CONSTRUCTION'!Q14*'02_PROJECT_INPUTS'!$C$15/'09_GRID'!Q13</f>
        <v>0.0188337065887021</v>
      </c>
      <c r="R18" s="43" t="n">
        <f aca="false">'06_CONSTRUCTION'!R14*'02_PROJECT_INPUTS'!$C$15/'09_GRID'!R13</f>
        <v>0.017711486787625</v>
      </c>
      <c r="S18" s="43" t="n">
        <f aca="false">'06_CONSTRUCTION'!S14*'02_PROJECT_INPUTS'!$C$15/'09_GRID'!S13</f>
        <v>0.0166539232167757</v>
      </c>
      <c r="T18" s="43" t="n">
        <f aca="false">'06_CONSTRUCTION'!T14*'02_PROJECT_INPUTS'!$C$15/'09_GRID'!T13</f>
        <v>0.0156574060105618</v>
      </c>
      <c r="U18" s="43" t="n">
        <f aca="false">'06_CONSTRUCTION'!U14*'02_PROJECT_INPUTS'!$C$15/'09_GRID'!U13</f>
        <v>0.0147185208466199</v>
      </c>
      <c r="V18" s="43" t="n">
        <f aca="false">'06_CONSTRUCTION'!V14*'02_PROJECT_INPUTS'!$C$15/'09_GRID'!V13</f>
        <v>0.013834038678243</v>
      </c>
      <c r="W18" s="43" t="n">
        <f aca="false">'06_CONSTRUCTION'!W14*'02_PROJECT_INPUTS'!$C$15/'09_GRID'!W13</f>
        <v>0.0130009059876852</v>
      </c>
      <c r="X18" s="43" t="n">
        <f aca="false">'06_CONSTRUCTION'!X14*'02_PROJECT_INPUTS'!$C$15/'09_GRID'!X13</f>
        <v>0.0122162355349383</v>
      </c>
      <c r="Y18" s="43" t="n">
        <f aca="false">'06_CONSTRUCTION'!Y14*'02_PROJECT_INPUTS'!$C$15/'09_GRID'!Y13</f>
        <v>0.0114772975777569</v>
      </c>
      <c r="Z18" s="43" t="n">
        <f aca="false">'06_CONSTRUCTION'!Z14*'02_PROJECT_INPUTS'!$C$15/'09_GRID'!Z13</f>
        <v>0.0107815115398441</v>
      </c>
      <c r="AA18" s="43" t="n">
        <f aca="false">'06_CONSTRUCTION'!AA14*'02_PROJECT_INPUTS'!$C$15/'09_GRID'!AA13</f>
        <v>0.0101264381051926</v>
      </c>
      <c r="AB18" s="43" t="n">
        <f aca="false">'06_CONSTRUCTION'!AB14*'02_PROJECT_INPUTS'!$C$15/'09_GRID'!AB13</f>
        <v>0.009509771717607</v>
      </c>
      <c r="AC18" s="43" t="n">
        <f aca="false">'06_CONSTRUCTION'!AC14*'02_PROJECT_INPUTS'!$C$15/'09_GRID'!AC13</f>
        <v>0.0089293334654245</v>
      </c>
      <c r="AD18" s="43" t="n">
        <f aca="false">'06_CONSTRUCTION'!AD14*'02_PROJECT_INPUTS'!$C$15/'09_GRID'!AD13</f>
        <v>0.00838306433239122</v>
      </c>
      <c r="AE18" s="43" t="n">
        <f aca="false">'06_CONSTRUCTION'!AE14*'02_PROJECT_INPUTS'!$C$15/'09_GRID'!AE13</f>
        <v>0.00786901879655547</v>
      </c>
      <c r="AF18" s="43" t="n">
        <f aca="false">'06_CONSTRUCTION'!AF14*'02_PROJECT_INPUTS'!$C$15/'09_GRID'!AF13</f>
        <v>0.00738535875989744</v>
      </c>
      <c r="AG18" s="43" t="n">
        <f aca="false">'06_CONSTRUCTION'!AG14*'02_PROJECT_INPUTS'!$C$15/'09_GRID'!AG13</f>
        <v>0</v>
      </c>
      <c r="AH18" s="43" t="n">
        <f aca="false">'06_CONSTRUCTION'!AH14*'02_PROJECT_INPUTS'!$C$15/'09_GRID'!AH13</f>
        <v>0</v>
      </c>
      <c r="AI18" s="43" t="n">
        <f aca="false">'06_CONSTRUCTION'!AI14*'02_PROJECT_INPUTS'!$C$15/'09_GRID'!AI13</f>
        <v>0</v>
      </c>
      <c r="AJ18" s="43" t="n">
        <f aca="false">'06_CONSTRUCTION'!AJ14*'02_PROJECT_INPUTS'!$C$15/'09_GRID'!AJ13</f>
        <v>0</v>
      </c>
      <c r="AK18" s="43" t="n">
        <f aca="false">'06_CONSTRUCTION'!AK14*'02_PROJECT_INPUTS'!$C$15/'09_GRID'!AK13</f>
        <v>0</v>
      </c>
      <c r="AL18" s="43" t="n">
        <f aca="false">'06_CONSTRUCTION'!AL14*'02_PROJECT_INPUTS'!$C$15/'09_GRID'!AL13</f>
        <v>0</v>
      </c>
      <c r="AM18" s="43" t="n">
        <f aca="false">'06_CONSTRUCTION'!AM14*'02_PROJECT_INPUTS'!$C$15/'09_GRID'!AM13</f>
        <v>0</v>
      </c>
      <c r="AN18" s="43" t="n">
        <f aca="false">'06_CONSTRUCTION'!AN14*'02_PROJECT_INPUTS'!$C$15/'09_GRID'!AN13</f>
        <v>0</v>
      </c>
      <c r="AO18" s="43" t="n">
        <f aca="false">'06_CONSTRUCTION'!AO14*'02_PROJECT_INPUTS'!$C$15/'09_GRID'!AO13</f>
        <v>0</v>
      </c>
      <c r="AP18" s="43" t="n">
        <f aca="false">'06_CONSTRUCTION'!AP14*'02_PROJECT_INPUTS'!$C$15/'09_GRID'!AP13</f>
        <v>0</v>
      </c>
      <c r="AQ18" s="43" t="n">
        <f aca="false">'06_CONSTRUCTION'!AQ14*'02_PROJECT_INPUTS'!$C$15/'09_GRID'!AQ13</f>
        <v>0</v>
      </c>
      <c r="AR18" s="43" t="n">
        <f aca="false">'06_CONSTRUCTION'!AR14*'02_PROJECT_INPUTS'!$C$15/'09_GRID'!AR13</f>
        <v>0</v>
      </c>
    </row>
    <row r="19" customFormat="false" ht="15" hidden="false" customHeight="true" outlineLevel="0" collapsed="false">
      <c r="A19" s="23" t="s">
        <v>480</v>
      </c>
      <c r="B19" s="23" t="s">
        <v>93</v>
      </c>
      <c r="E19" s="43" t="n">
        <f aca="false">('09_GRID'!$C$11+'02_PROJECT_INPUTS'!$C$15*'06_CONSTRUCTION'!E14-'09_GRID'!E13)/'09_GRID'!E13</f>
        <v>0.364182424916574</v>
      </c>
      <c r="F19" s="43" t="n">
        <f aca="false">('09_GRID'!$C$11+'02_PROJECT_INPUTS'!$C$15*'06_CONSTRUCTION'!F14-'09_GRID'!F13)/'09_GRID'!F13</f>
        <v>0.284820317291951</v>
      </c>
      <c r="G19" s="43" t="n">
        <f aca="false">('09_GRID'!$C$11+'02_PROJECT_INPUTS'!$C$15*'06_CONSTRUCTION'!G14-'09_GRID'!G13)/'09_GRID'!G13</f>
        <v>0.209931310830123</v>
      </c>
      <c r="H19" s="43" t="n">
        <f aca="false">('09_GRID'!$C$11+'02_PROJECT_INPUTS'!$C$15*'06_CONSTRUCTION'!H14-'09_GRID'!H13)/'09_GRID'!H13</f>
        <v>0.171821440627702</v>
      </c>
      <c r="I19" s="43" t="n">
        <f aca="false">('09_GRID'!$C$11+'02_PROJECT_INPUTS'!$C$15*'06_CONSTRUCTION'!I14-'09_GRID'!I13)/'09_GRID'!I13</f>
        <v>0.103253250952599</v>
      </c>
      <c r="J19" s="43" t="n">
        <f aca="false">('09_GRID'!$C$11+'02_PROJECT_INPUTS'!$C$15*'06_CONSTRUCTION'!J14-'09_GRID'!J13)/'09_GRID'!J13</f>
        <v>0.0385706520713396</v>
      </c>
      <c r="K19" s="43" t="n">
        <f aca="false">('09_GRID'!$C$11+'02_PROJECT_INPUTS'!$C$15*'06_CONSTRUCTION'!K14-'09_GRID'!K13)/'09_GRID'!K13</f>
        <v>-0.0224399085845454</v>
      </c>
      <c r="L19" s="43" t="n">
        <f aca="false">('09_GRID'!$C$11+'02_PROJECT_INPUTS'!$C$15*'06_CONSTRUCTION'!L14-'09_GRID'!L13)/'09_GRID'!L13</f>
        <v>-0.0799805987702346</v>
      </c>
      <c r="M19" s="43" t="n">
        <f aca="false">('09_GRID'!$C$11+'02_PROJECT_INPUTS'!$C$15*'06_CONSTRUCTION'!M14-'09_GRID'!M13)/'09_GRID'!M13</f>
        <v>-0.134242789076542</v>
      </c>
      <c r="N19" s="43" t="n">
        <f aca="false">('09_GRID'!$C$11+'02_PROJECT_INPUTS'!$C$15*'06_CONSTRUCTION'!N14-'09_GRID'!N13)/'09_GRID'!N13</f>
        <v>-0.185407611318178</v>
      </c>
      <c r="O19" s="43" t="n">
        <f aca="false">('09_GRID'!$C$11+'02_PROJECT_INPUTS'!$C$15*'06_CONSTRUCTION'!O14-'09_GRID'!O13)/'09_GRID'!O13</f>
        <v>-0.233646489060346</v>
      </c>
      <c r="P19" s="43" t="n">
        <f aca="false">('09_GRID'!$C$11+'02_PROJECT_INPUTS'!$C$15*'06_CONSTRUCTION'!P14-'09_GRID'!P13)/'09_GRID'!P13</f>
        <v>-0.279121641618722</v>
      </c>
      <c r="Q19" s="43" t="n">
        <f aca="false">('09_GRID'!$C$11+'02_PROJECT_INPUTS'!$C$15*'06_CONSTRUCTION'!Q14-'09_GRID'!Q13)/'09_GRID'!Q13</f>
        <v>-0.321986562806726</v>
      </c>
      <c r="R19" s="43" t="n">
        <f aca="false">('09_GRID'!$C$11+'02_PROJECT_INPUTS'!$C$15*'06_CONSTRUCTION'!R14-'09_GRID'!R13)/'09_GRID'!R13</f>
        <v>-0.362386475645498</v>
      </c>
      <c r="S19" s="43" t="n">
        <f aca="false">('09_GRID'!$C$11+'02_PROJECT_INPUTS'!$C$15*'06_CONSTRUCTION'!S14-'09_GRID'!S13)/'09_GRID'!S13</f>
        <v>-0.400458764196076</v>
      </c>
      <c r="T19" s="43" t="n">
        <f aca="false">('09_GRID'!$C$11+'02_PROJECT_INPUTS'!$C$15*'06_CONSTRUCTION'!T14-'09_GRID'!T13)/'09_GRID'!T13</f>
        <v>-0.436333383619775</v>
      </c>
      <c r="U19" s="43" t="n">
        <f aca="false">('09_GRID'!$C$11+'02_PROJECT_INPUTS'!$C$15*'06_CONSTRUCTION'!U14-'09_GRID'!U13)/'09_GRID'!U13</f>
        <v>-0.470133249521682</v>
      </c>
      <c r="V19" s="43" t="n">
        <f aca="false">('09_GRID'!$C$11+'02_PROJECT_INPUTS'!$C$15*'06_CONSTRUCTION'!V14-'09_GRID'!V13)/'09_GRID'!V13</f>
        <v>-0.501974607583253</v>
      </c>
      <c r="W19" s="43" t="n">
        <f aca="false">('09_GRID'!$C$11+'02_PROJECT_INPUTS'!$C$15*'06_CONSTRUCTION'!W14-'09_GRID'!W13)/'09_GRID'!W13</f>
        <v>-0.531967384443333</v>
      </c>
      <c r="X19" s="43" t="n">
        <f aca="false">('09_GRID'!$C$11+'02_PROJECT_INPUTS'!$C$15*'06_CONSTRUCTION'!X14-'09_GRID'!X13)/'09_GRID'!X13</f>
        <v>-0.56021552074222</v>
      </c>
      <c r="Y19" s="43" t="n">
        <f aca="false">('09_GRID'!$C$11+'02_PROJECT_INPUTS'!$C$15*'06_CONSTRUCTION'!Y14-'09_GRID'!Y13)/'09_GRID'!Y13</f>
        <v>-0.586817287200751</v>
      </c>
      <c r="Z19" s="43" t="n">
        <f aca="false">('09_GRID'!$C$11+'02_PROJECT_INPUTS'!$C$15*'06_CONSTRUCTION'!Z14-'09_GRID'!Z13)/'09_GRID'!Z13</f>
        <v>-0.611865584565612</v>
      </c>
      <c r="AA19" s="43" t="n">
        <f aca="false">('09_GRID'!$C$11+'02_PROJECT_INPUTS'!$C$15*'06_CONSTRUCTION'!AA14-'09_GRID'!AA13)/'09_GRID'!AA13</f>
        <v>-0.635448228213068</v>
      </c>
      <c r="AB19" s="43" t="n">
        <f aca="false">('09_GRID'!$C$11+'02_PROJECT_INPUTS'!$C$15*'06_CONSTRUCTION'!AB14-'09_GRID'!AB13)/'09_GRID'!AB13</f>
        <v>-0.657648218166148</v>
      </c>
      <c r="AC19" s="43" t="n">
        <f aca="false">('09_GRID'!$C$11+'02_PROJECT_INPUTS'!$C$15*'06_CONSTRUCTION'!AC14-'09_GRID'!AC13)/'09_GRID'!AC13</f>
        <v>-0.678543995244718</v>
      </c>
      <c r="AD19" s="43" t="n">
        <f aca="false">('09_GRID'!$C$11+'02_PROJECT_INPUTS'!$C$15*'06_CONSTRUCTION'!AD14-'09_GRID'!AD13)/'09_GRID'!AD13</f>
        <v>-0.698209684033916</v>
      </c>
      <c r="AE19" s="43" t="n">
        <f aca="false">('09_GRID'!$C$11+'02_PROJECT_INPUTS'!$C$15*'06_CONSTRUCTION'!AE14-'09_GRID'!AE13)/'09_GRID'!AE13</f>
        <v>-0.716715323324003</v>
      </c>
      <c r="AF19" s="43" t="n">
        <f aca="false">('09_GRID'!$C$11+'02_PROJECT_INPUTS'!$C$15*'06_CONSTRUCTION'!AF14-'09_GRID'!AF13)/'09_GRID'!AF13</f>
        <v>-0.734127084643692</v>
      </c>
      <c r="AG19" s="43" t="n">
        <f aca="false">('09_GRID'!$C$11+'02_PROJECT_INPUTS'!$C$15*'06_CONSTRUCTION'!AG14-'09_GRID'!AG13)/'09_GRID'!AG13</f>
        <v>-0.757437827271683</v>
      </c>
      <c r="AH19" s="43" t="n">
        <f aca="false">('09_GRID'!$C$11+'02_PROJECT_INPUTS'!$C$15*'06_CONSTRUCTION'!AH14-'09_GRID'!AH13)/'09_GRID'!AH13</f>
        <v>-0.772417901418747</v>
      </c>
      <c r="AI19" s="43" t="n">
        <f aca="false">('09_GRID'!$C$11+'02_PROJECT_INPUTS'!$C$15*'06_CONSTRUCTION'!AI14-'09_GRID'!AI13)/'09_GRID'!AI13</f>
        <v>-0.786506887259547</v>
      </c>
      <c r="AJ19" s="43" t="n">
        <f aca="false">('09_GRID'!$C$11+'02_PROJECT_INPUTS'!$C$15*'06_CONSTRUCTION'!AJ14-'09_GRID'!AJ13)/'09_GRID'!AJ13</f>
        <v>-0.799755991581494</v>
      </c>
      <c r="AK19" s="43" t="n">
        <f aca="false">('09_GRID'!$C$11+'02_PROJECT_INPUTS'!$C$15*'06_CONSTRUCTION'!AK14-'09_GRID'!AK13)/'09_GRID'!AK13</f>
        <v>-0.812213569238474</v>
      </c>
      <c r="AL19" s="43" t="n">
        <f aca="false">('09_GRID'!$C$11+'02_PROJECT_INPUTS'!$C$15*'06_CONSTRUCTION'!AL14-'09_GRID'!AL13)/'09_GRID'!AL13</f>
        <v>-0.823925277337422</v>
      </c>
      <c r="AM19" s="43" t="n">
        <f aca="false">('09_GRID'!$C$11+'02_PROJECT_INPUTS'!$C$15*'06_CONSTRUCTION'!AM14-'09_GRID'!AM13)/'09_GRID'!AM13</f>
        <v>-0.834934221346597</v>
      </c>
      <c r="AN19" s="43" t="n">
        <f aca="false">('09_GRID'!$C$11+'02_PROJECT_INPUTS'!$C$15*'06_CONSTRUCTION'!AN14-'09_GRID'!AN13)/'09_GRID'!AN13</f>
        <v>-0.845281093533799</v>
      </c>
      <c r="AO19" s="43" t="n">
        <f aca="false">('09_GRID'!$C$11+'02_PROJECT_INPUTS'!$C$15*'06_CONSTRUCTION'!AO14-'09_GRID'!AO13)/'09_GRID'!AO13</f>
        <v>-0.855004304122959</v>
      </c>
      <c r="AP19" s="43" t="n">
        <f aca="false">('09_GRID'!$C$11+'02_PROJECT_INPUTS'!$C$15*'06_CONSTRUCTION'!AP14-'09_GRID'!AP13)/'09_GRID'!AP13</f>
        <v>-0.86414010553869</v>
      </c>
      <c r="AQ19" s="43" t="n">
        <f aca="false">('09_GRID'!$C$11+'02_PROJECT_INPUTS'!$C$15*'06_CONSTRUCTION'!AQ14-'09_GRID'!AQ13)/'09_GRID'!AQ13</f>
        <v>-0.872722710090375</v>
      </c>
      <c r="AR19" s="43" t="n">
        <f aca="false">('09_GRID'!$C$11+'02_PROJECT_INPUTS'!$C$15*'06_CONSTRUCTION'!AR14-'09_GRID'!AR13)/'09_GRID'!AR13</f>
        <v>-0.880784401430216</v>
      </c>
    </row>
    <row r="20" customFormat="false" ht="15" hidden="false" customHeight="true" outlineLevel="0" collapsed="false">
      <c r="A20" s="23" t="s">
        <v>481</v>
      </c>
      <c r="B20" s="23" t="s">
        <v>232</v>
      </c>
      <c r="C20" s="56" t="n">
        <f aca="false">SUM('09_GRID'!$E$20:$AR$20)</f>
        <v>120</v>
      </c>
      <c r="E20" s="56" t="n">
        <f aca="false">IF('06_CONSTRUCTION'!E5=1,'09_GRID'!E16,0)</f>
        <v>0</v>
      </c>
      <c r="F20" s="56" t="n">
        <f aca="false">IF('06_CONSTRUCTION'!F5=1,'09_GRID'!F16,0)</f>
        <v>0</v>
      </c>
      <c r="G20" s="56" t="n">
        <f aca="false">IF('06_CONSTRUCTION'!G5=1,'09_GRID'!G16,0)</f>
        <v>0</v>
      </c>
      <c r="H20" s="56" t="n">
        <f aca="false">IF('06_CONSTRUCTION'!H5=1,'09_GRID'!H16,0)</f>
        <v>120</v>
      </c>
      <c r="I20" s="56" t="n">
        <f aca="false">IF('06_CONSTRUCTION'!I5=1,'09_GRID'!I16,0)</f>
        <v>0</v>
      </c>
      <c r="J20" s="56" t="n">
        <f aca="false">IF('06_CONSTRUCTION'!J5=1,'09_GRID'!J16,0)</f>
        <v>0</v>
      </c>
      <c r="K20" s="56" t="n">
        <f aca="false">IF('06_CONSTRUCTION'!K5=1,'09_GRID'!K16,0)</f>
        <v>0</v>
      </c>
      <c r="L20" s="56" t="n">
        <f aca="false">IF('06_CONSTRUCTION'!L5=1,'09_GRID'!L16,0)</f>
        <v>0</v>
      </c>
      <c r="M20" s="56" t="n">
        <f aca="false">IF('06_CONSTRUCTION'!M5=1,'09_GRID'!M16,0)</f>
        <v>0</v>
      </c>
      <c r="N20" s="56" t="n">
        <f aca="false">IF('06_CONSTRUCTION'!N5=1,'09_GRID'!N16,0)</f>
        <v>0</v>
      </c>
      <c r="O20" s="56" t="n">
        <f aca="false">IF('06_CONSTRUCTION'!O5=1,'09_GRID'!O16,0)</f>
        <v>0</v>
      </c>
      <c r="P20" s="56" t="n">
        <f aca="false">IF('06_CONSTRUCTION'!P5=1,'09_GRID'!P16,0)</f>
        <v>0</v>
      </c>
      <c r="Q20" s="56" t="n">
        <f aca="false">IF('06_CONSTRUCTION'!Q5=1,'09_GRID'!Q16,0)</f>
        <v>0</v>
      </c>
      <c r="R20" s="56" t="n">
        <f aca="false">IF('06_CONSTRUCTION'!R5=1,'09_GRID'!R16,0)</f>
        <v>0</v>
      </c>
      <c r="S20" s="56" t="n">
        <f aca="false">IF('06_CONSTRUCTION'!S5=1,'09_GRID'!S16,0)</f>
        <v>0</v>
      </c>
      <c r="T20" s="56" t="n">
        <f aca="false">IF('06_CONSTRUCTION'!T5=1,'09_GRID'!T16,0)</f>
        <v>0</v>
      </c>
      <c r="U20" s="56" t="n">
        <f aca="false">IF('06_CONSTRUCTION'!U5=1,'09_GRID'!U16,0)</f>
        <v>0</v>
      </c>
      <c r="V20" s="56" t="n">
        <f aca="false">IF('06_CONSTRUCTION'!V5=1,'09_GRID'!V16,0)</f>
        <v>0</v>
      </c>
      <c r="W20" s="56" t="n">
        <f aca="false">IF('06_CONSTRUCTION'!W5=1,'09_GRID'!W16,0)</f>
        <v>0</v>
      </c>
      <c r="X20" s="56" t="n">
        <f aca="false">IF('06_CONSTRUCTION'!X5=1,'09_GRID'!X16,0)</f>
        <v>0</v>
      </c>
      <c r="Y20" s="56" t="n">
        <f aca="false">IF('06_CONSTRUCTION'!Y5=1,'09_GRID'!Y16,0)</f>
        <v>0</v>
      </c>
      <c r="Z20" s="56" t="n">
        <f aca="false">IF('06_CONSTRUCTION'!Z5=1,'09_GRID'!Z16,0)</f>
        <v>0</v>
      </c>
      <c r="AA20" s="56" t="n">
        <f aca="false">IF('06_CONSTRUCTION'!AA5=1,'09_GRID'!AA16,0)</f>
        <v>0</v>
      </c>
      <c r="AB20" s="56" t="n">
        <f aca="false">IF('06_CONSTRUCTION'!AB5=1,'09_GRID'!AB16,0)</f>
        <v>0</v>
      </c>
      <c r="AC20" s="56" t="n">
        <f aca="false">IF('06_CONSTRUCTION'!AC5=1,'09_GRID'!AC16,0)</f>
        <v>0</v>
      </c>
      <c r="AD20" s="56" t="n">
        <f aca="false">IF('06_CONSTRUCTION'!AD5=1,'09_GRID'!AD16,0)</f>
        <v>0</v>
      </c>
      <c r="AE20" s="56" t="n">
        <f aca="false">IF('06_CONSTRUCTION'!AE5=1,'09_GRID'!AE16,0)</f>
        <v>0</v>
      </c>
      <c r="AF20" s="56" t="n">
        <f aca="false">IF('06_CONSTRUCTION'!AF5=1,'09_GRID'!AF16,0)</f>
        <v>0</v>
      </c>
      <c r="AG20" s="56" t="n">
        <f aca="false">IF('06_CONSTRUCTION'!AG5=1,'09_GRID'!AG16,0)</f>
        <v>0</v>
      </c>
      <c r="AH20" s="56" t="n">
        <f aca="false">IF('06_CONSTRUCTION'!AH5=1,'09_GRID'!AH16,0)</f>
        <v>0</v>
      </c>
      <c r="AI20" s="56" t="n">
        <f aca="false">IF('06_CONSTRUCTION'!AI5=1,'09_GRID'!AI16,0)</f>
        <v>0</v>
      </c>
      <c r="AJ20" s="56" t="n">
        <f aca="false">IF('06_CONSTRUCTION'!AJ5=1,'09_GRID'!AJ16,0)</f>
        <v>0</v>
      </c>
      <c r="AK20" s="56" t="n">
        <f aca="false">IF('06_CONSTRUCTION'!AK5=1,'09_GRID'!AK16,0)</f>
        <v>0</v>
      </c>
      <c r="AL20" s="56" t="n">
        <f aca="false">IF('06_CONSTRUCTION'!AL5=1,'09_GRID'!AL16,0)</f>
        <v>0</v>
      </c>
      <c r="AM20" s="56" t="n">
        <f aca="false">IF('06_CONSTRUCTION'!AM5=1,'09_GRID'!AM16,0)</f>
        <v>0</v>
      </c>
      <c r="AN20" s="56" t="n">
        <f aca="false">IF('06_CONSTRUCTION'!AN5=1,'09_GRID'!AN16,0)</f>
        <v>0</v>
      </c>
      <c r="AO20" s="56" t="n">
        <f aca="false">IF('06_CONSTRUCTION'!AO5=1,'09_GRID'!AO16,0)</f>
        <v>0</v>
      </c>
      <c r="AP20" s="56" t="n">
        <f aca="false">IF('06_CONSTRUCTION'!AP5=1,'09_GRID'!AP16,0)</f>
        <v>0</v>
      </c>
      <c r="AQ20" s="56" t="n">
        <f aca="false">IF('06_CONSTRUCTION'!AQ5=1,'09_GRID'!AQ16,0)</f>
        <v>0</v>
      </c>
      <c r="AR20" s="56" t="n">
        <f aca="false">IF('06_CONSTRUCTION'!AR5=1,'09_GRID'!AR16,0)</f>
        <v>0</v>
      </c>
    </row>
    <row r="21" customFormat="false" ht="15" hidden="false" customHeight="true" outlineLevel="0" collapsed="false">
      <c r="A21" s="23" t="s">
        <v>482</v>
      </c>
      <c r="B21" s="23" t="s">
        <v>93</v>
      </c>
      <c r="C21" s="43" t="n">
        <f aca="false">SUM('09_GRID'!$E$21:$AR$21)</f>
        <v>0.0325505955729917</v>
      </c>
      <c r="E21" s="43" t="n">
        <f aca="false">IF('06_CONSTRUCTION'!E5=1,'09_GRID'!E18,0)</f>
        <v>0</v>
      </c>
      <c r="F21" s="43" t="n">
        <f aca="false">IF('06_CONSTRUCTION'!F5=1,'09_GRID'!F18,0)</f>
        <v>0</v>
      </c>
      <c r="G21" s="43" t="n">
        <f aca="false">IF('06_CONSTRUCTION'!G5=1,'09_GRID'!G18,0)</f>
        <v>0</v>
      </c>
      <c r="H21" s="43" t="n">
        <f aca="false">IF('06_CONSTRUCTION'!H5=1,'09_GRID'!H18,0)</f>
        <v>0.0325505955729917</v>
      </c>
      <c r="I21" s="43" t="n">
        <f aca="false">IF('06_CONSTRUCTION'!I5=1,'09_GRID'!I18,0)</f>
        <v>0</v>
      </c>
      <c r="J21" s="43" t="n">
        <f aca="false">IF('06_CONSTRUCTION'!J5=1,'09_GRID'!J18,0)</f>
        <v>0</v>
      </c>
      <c r="K21" s="43" t="n">
        <f aca="false">IF('06_CONSTRUCTION'!K5=1,'09_GRID'!K18,0)</f>
        <v>0</v>
      </c>
      <c r="L21" s="43" t="n">
        <f aca="false">IF('06_CONSTRUCTION'!L5=1,'09_GRID'!L18,0)</f>
        <v>0</v>
      </c>
      <c r="M21" s="43" t="n">
        <f aca="false">IF('06_CONSTRUCTION'!M5=1,'09_GRID'!M18,0)</f>
        <v>0</v>
      </c>
      <c r="N21" s="43" t="n">
        <f aca="false">IF('06_CONSTRUCTION'!N5=1,'09_GRID'!N18,0)</f>
        <v>0</v>
      </c>
      <c r="O21" s="43" t="n">
        <f aca="false">IF('06_CONSTRUCTION'!O5=1,'09_GRID'!O18,0)</f>
        <v>0</v>
      </c>
      <c r="P21" s="43" t="n">
        <f aca="false">IF('06_CONSTRUCTION'!P5=1,'09_GRID'!P18,0)</f>
        <v>0</v>
      </c>
      <c r="Q21" s="43" t="n">
        <f aca="false">IF('06_CONSTRUCTION'!Q5=1,'09_GRID'!Q18,0)</f>
        <v>0</v>
      </c>
      <c r="R21" s="43" t="n">
        <f aca="false">IF('06_CONSTRUCTION'!R5=1,'09_GRID'!R18,0)</f>
        <v>0</v>
      </c>
      <c r="S21" s="43" t="n">
        <f aca="false">IF('06_CONSTRUCTION'!S5=1,'09_GRID'!S18,0)</f>
        <v>0</v>
      </c>
      <c r="T21" s="43" t="n">
        <f aca="false">IF('06_CONSTRUCTION'!T5=1,'09_GRID'!T18,0)</f>
        <v>0</v>
      </c>
      <c r="U21" s="43" t="n">
        <f aca="false">IF('06_CONSTRUCTION'!U5=1,'09_GRID'!U18,0)</f>
        <v>0</v>
      </c>
      <c r="V21" s="43" t="n">
        <f aca="false">IF('06_CONSTRUCTION'!V5=1,'09_GRID'!V18,0)</f>
        <v>0</v>
      </c>
      <c r="W21" s="43" t="n">
        <f aca="false">IF('06_CONSTRUCTION'!W5=1,'09_GRID'!W18,0)</f>
        <v>0</v>
      </c>
      <c r="X21" s="43" t="n">
        <f aca="false">IF('06_CONSTRUCTION'!X5=1,'09_GRID'!X18,0)</f>
        <v>0</v>
      </c>
      <c r="Y21" s="43" t="n">
        <f aca="false">IF('06_CONSTRUCTION'!Y5=1,'09_GRID'!Y18,0)</f>
        <v>0</v>
      </c>
      <c r="Z21" s="43" t="n">
        <f aca="false">IF('06_CONSTRUCTION'!Z5=1,'09_GRID'!Z18,0)</f>
        <v>0</v>
      </c>
      <c r="AA21" s="43" t="n">
        <f aca="false">IF('06_CONSTRUCTION'!AA5=1,'09_GRID'!AA18,0)</f>
        <v>0</v>
      </c>
      <c r="AB21" s="43" t="n">
        <f aca="false">IF('06_CONSTRUCTION'!AB5=1,'09_GRID'!AB18,0)</f>
        <v>0</v>
      </c>
      <c r="AC21" s="43" t="n">
        <f aca="false">IF('06_CONSTRUCTION'!AC5=1,'09_GRID'!AC18,0)</f>
        <v>0</v>
      </c>
      <c r="AD21" s="43" t="n">
        <f aca="false">IF('06_CONSTRUCTION'!AD5=1,'09_GRID'!AD18,0)</f>
        <v>0</v>
      </c>
      <c r="AE21" s="43" t="n">
        <f aca="false">IF('06_CONSTRUCTION'!AE5=1,'09_GRID'!AE18,0)</f>
        <v>0</v>
      </c>
      <c r="AF21" s="43" t="n">
        <f aca="false">IF('06_CONSTRUCTION'!AF5=1,'09_GRID'!AF18,0)</f>
        <v>0</v>
      </c>
      <c r="AG21" s="43" t="n">
        <f aca="false">IF('06_CONSTRUCTION'!AG5=1,'09_GRID'!AG18,0)</f>
        <v>0</v>
      </c>
      <c r="AH21" s="43" t="n">
        <f aca="false">IF('06_CONSTRUCTION'!AH5=1,'09_GRID'!AH18,0)</f>
        <v>0</v>
      </c>
      <c r="AI21" s="43" t="n">
        <f aca="false">IF('06_CONSTRUCTION'!AI5=1,'09_GRID'!AI18,0)</f>
        <v>0</v>
      </c>
      <c r="AJ21" s="43" t="n">
        <f aca="false">IF('06_CONSTRUCTION'!AJ5=1,'09_GRID'!AJ18,0)</f>
        <v>0</v>
      </c>
      <c r="AK21" s="43" t="n">
        <f aca="false">IF('06_CONSTRUCTION'!AK5=1,'09_GRID'!AK18,0)</f>
        <v>0</v>
      </c>
      <c r="AL21" s="43" t="n">
        <f aca="false">IF('06_CONSTRUCTION'!AL5=1,'09_GRID'!AL18,0)</f>
        <v>0</v>
      </c>
      <c r="AM21" s="43" t="n">
        <f aca="false">IF('06_CONSTRUCTION'!AM5=1,'09_GRID'!AM18,0)</f>
        <v>0</v>
      </c>
      <c r="AN21" s="43" t="n">
        <f aca="false">IF('06_CONSTRUCTION'!AN5=1,'09_GRID'!AN18,0)</f>
        <v>0</v>
      </c>
      <c r="AO21" s="43" t="n">
        <f aca="false">IF('06_CONSTRUCTION'!AO5=1,'09_GRID'!AO18,0)</f>
        <v>0</v>
      </c>
      <c r="AP21" s="43" t="n">
        <f aca="false">IF('06_CONSTRUCTION'!AP5=1,'09_GRID'!AP18,0)</f>
        <v>0</v>
      </c>
      <c r="AQ21" s="43" t="n">
        <f aca="false">IF('06_CONSTRUCTION'!AQ5=1,'09_GRID'!AQ18,0)</f>
        <v>0</v>
      </c>
      <c r="AR21" s="43" t="n">
        <f aca="false">IF('06_CONSTRUCTION'!AR5=1,'09_GRID'!AR18,0)</f>
        <v>0</v>
      </c>
    </row>
    <row r="23" customFormat="false" ht="15" hidden="false" customHeight="true" outlineLevel="0" collapsed="false">
      <c r="A23" s="25" t="s">
        <v>483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AR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484</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485</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1" t="s">
        <v>486</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ustomFormat="false" ht="15" hidden="false" customHeight="true" outlineLevel="0" collapsed="false">
      <c r="A7" s="34" t="s">
        <v>487</v>
      </c>
      <c r="B7" s="34" t="s">
        <v>488</v>
      </c>
      <c r="C7" s="34" t="s">
        <v>489</v>
      </c>
      <c r="D7" s="54"/>
      <c r="E7" s="34" t="s">
        <v>490</v>
      </c>
      <c r="F7" s="34" t="s">
        <v>491</v>
      </c>
      <c r="G7" s="34" t="s">
        <v>492</v>
      </c>
    </row>
    <row r="8" customFormat="false" ht="15" hidden="false" customHeight="true" outlineLevel="0" collapsed="false">
      <c r="A8" s="23" t="s">
        <v>493</v>
      </c>
      <c r="B8" s="52" t="n">
        <v>2600</v>
      </c>
      <c r="C8" s="27" t="n">
        <v>0.07</v>
      </c>
      <c r="E8" s="27" t="n">
        <v>0.05</v>
      </c>
      <c r="F8" s="27" t="n">
        <v>0.085</v>
      </c>
      <c r="G8" s="27" t="n">
        <v>0.75</v>
      </c>
    </row>
    <row r="9" customFormat="false" ht="15" hidden="false" customHeight="true" outlineLevel="0" collapsed="false">
      <c r="A9" s="23" t="s">
        <v>494</v>
      </c>
      <c r="B9" s="52" t="n">
        <v>1400</v>
      </c>
      <c r="C9" s="27" t="n">
        <v>0.06</v>
      </c>
      <c r="E9" s="27" t="n">
        <v>0.045</v>
      </c>
      <c r="F9" s="27" t="n">
        <v>0.075</v>
      </c>
      <c r="G9" s="27" t="n">
        <v>0.92</v>
      </c>
    </row>
    <row r="10" customFormat="false" ht="15" hidden="false" customHeight="true" outlineLevel="0" collapsed="false">
      <c r="A10" s="23" t="s">
        <v>495</v>
      </c>
      <c r="B10" s="52" t="n">
        <v>1500</v>
      </c>
      <c r="C10" s="27" t="n">
        <v>0.05</v>
      </c>
      <c r="E10" s="27" t="n">
        <v>0.03</v>
      </c>
      <c r="F10" s="27" t="n">
        <v>0.065</v>
      </c>
      <c r="G10" s="27" t="n">
        <v>0.95</v>
      </c>
    </row>
    <row r="11" customFormat="false" ht="15" hidden="false" customHeight="true" outlineLevel="0" collapsed="false">
      <c r="A11" s="23" t="s">
        <v>496</v>
      </c>
      <c r="B11" s="52" t="n">
        <v>1100</v>
      </c>
      <c r="C11" s="27" t="n">
        <v>0.06</v>
      </c>
      <c r="E11" s="27" t="n">
        <v>0.02</v>
      </c>
      <c r="F11" s="27" t="n">
        <v>0.09</v>
      </c>
      <c r="G11" s="27" t="n">
        <v>0.98</v>
      </c>
    </row>
    <row r="12" customFormat="false" ht="15" hidden="false" customHeight="true" outlineLevel="0" collapsed="false">
      <c r="A12" s="23" t="s">
        <v>497</v>
      </c>
      <c r="B12" s="52" t="n">
        <v>250</v>
      </c>
      <c r="C12" s="27" t="n">
        <v>0.1</v>
      </c>
      <c r="E12" s="27" t="n">
        <v>0.06</v>
      </c>
      <c r="F12" s="27" t="n">
        <v>0.14</v>
      </c>
      <c r="G12" s="27" t="n">
        <v>0.7</v>
      </c>
    </row>
    <row r="13" customFormat="false" ht="15" hidden="false" customHeight="true" outlineLevel="0" collapsed="false">
      <c r="A13" s="23" t="s">
        <v>498</v>
      </c>
      <c r="B13" s="52" t="n">
        <v>450</v>
      </c>
      <c r="C13" s="27" t="n">
        <v>0.04</v>
      </c>
      <c r="E13" s="27" t="n">
        <v>0.03</v>
      </c>
      <c r="F13" s="27" t="n">
        <v>0.05</v>
      </c>
      <c r="G13" s="27" t="n">
        <v>0.65</v>
      </c>
    </row>
    <row r="14" customFormat="false" ht="15" hidden="false" customHeight="true" outlineLevel="0" collapsed="false">
      <c r="A14" s="25" t="s">
        <v>499</v>
      </c>
    </row>
    <row r="15" customFormat="false" ht="15" hidden="false" customHeight="true" outlineLevel="0" collapsed="false">
      <c r="A15" s="23" t="s">
        <v>500</v>
      </c>
      <c r="B15" s="23" t="s">
        <v>501</v>
      </c>
      <c r="C15" s="52" t="n">
        <v>600</v>
      </c>
      <c r="D15" s="25" t="s">
        <v>502</v>
      </c>
    </row>
    <row r="16" customFormat="false" ht="15" hidden="false" customHeight="true" outlineLevel="0" collapsed="false">
      <c r="A16" s="23" t="s">
        <v>503</v>
      </c>
      <c r="B16" s="23" t="s">
        <v>501</v>
      </c>
      <c r="C16" s="52" t="n">
        <v>0</v>
      </c>
    </row>
    <row r="17" customFormat="false" ht="15" hidden="false" customHeight="true" outlineLevel="0" collapsed="false">
      <c r="A17" s="23" t="s">
        <v>504</v>
      </c>
      <c r="B17" s="23" t="s">
        <v>501</v>
      </c>
      <c r="C17" s="51" t="n">
        <v>8600</v>
      </c>
      <c r="D17" s="25" t="s">
        <v>505</v>
      </c>
    </row>
    <row r="18" customFormat="false" ht="15" hidden="false" customHeight="true" outlineLevel="0" collapsed="false">
      <c r="A18" s="23" t="s">
        <v>506</v>
      </c>
      <c r="B18" s="23" t="s">
        <v>237</v>
      </c>
      <c r="C18" s="27" t="n">
        <v>0.045</v>
      </c>
      <c r="D18" s="25" t="s">
        <v>507</v>
      </c>
    </row>
    <row r="19" customFormat="false" ht="15" hidden="false" customHeight="true" outlineLevel="0" collapsed="false">
      <c r="A19" s="23" t="s">
        <v>508</v>
      </c>
      <c r="B19" s="23" t="s">
        <v>501</v>
      </c>
      <c r="C19" s="52" t="n">
        <v>500</v>
      </c>
      <c r="D19" s="25" t="s">
        <v>509</v>
      </c>
    </row>
    <row r="20" customFormat="false" ht="15" hidden="false" customHeight="true" outlineLevel="0" collapsed="false">
      <c r="A20" s="21" t="s">
        <v>510</v>
      </c>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row>
    <row r="21" customFormat="false" ht="15" hidden="false" customHeight="true" outlineLevel="0" collapsed="false">
      <c r="A21" s="23" t="s">
        <v>493</v>
      </c>
      <c r="B21" s="23" t="s">
        <v>299</v>
      </c>
      <c r="E21" s="56" t="n">
        <f aca="false">$B$8*(1+CHOOSE('01_CONTROL_PANEL'!$C$5,$C$8,$E$8,$F$8)+'27_SCENARIOS'!$C$29)^('06_CONSTRUCTION'!E4-'02_PROJECT_INPUTS'!$C$11)*IF('06_CONSTRUCTION'!E4&gt;='06_CONSTRUCTION'!$C$8,'27_SCENARIOS'!$C$30,1)</f>
        <v>2782</v>
      </c>
      <c r="F21" s="56" t="n">
        <f aca="false">$B$8*(1+CHOOSE('01_CONTROL_PANEL'!$C$5,$C$8,$E$8,$F$8)+'27_SCENARIOS'!$C$29)^('06_CONSTRUCTION'!F4-'02_PROJECT_INPUTS'!$C$11)*IF('06_CONSTRUCTION'!F4&gt;='06_CONSTRUCTION'!$C$8,'27_SCENARIOS'!$C$30,1)</f>
        <v>2976.74</v>
      </c>
      <c r="G21" s="56" t="n">
        <f aca="false">$B$8*(1+CHOOSE('01_CONTROL_PANEL'!$C$5,$C$8,$E$8,$F$8)+'27_SCENARIOS'!$C$29)^('06_CONSTRUCTION'!G4-'02_PROJECT_INPUTS'!$C$11)*IF('06_CONSTRUCTION'!G4&gt;='06_CONSTRUCTION'!$C$8,'27_SCENARIOS'!$C$30,1)</f>
        <v>3185.1118</v>
      </c>
      <c r="H21" s="56" t="n">
        <f aca="false">$B$8*(1+CHOOSE('01_CONTROL_PANEL'!$C$5,$C$8,$E$8,$F$8)+'27_SCENARIOS'!$C$29)^('06_CONSTRUCTION'!H4-'02_PROJECT_INPUTS'!$C$11)*IF('06_CONSTRUCTION'!H4&gt;='06_CONSTRUCTION'!$C$8,'27_SCENARIOS'!$C$30,1)</f>
        <v>3408.069626</v>
      </c>
      <c r="I21" s="56" t="n">
        <f aca="false">$B$8*(1+CHOOSE('01_CONTROL_PANEL'!$C$5,$C$8,$E$8,$F$8)+'27_SCENARIOS'!$C$29)^('06_CONSTRUCTION'!I4-'02_PROJECT_INPUTS'!$C$11)*IF('06_CONSTRUCTION'!I4&gt;='06_CONSTRUCTION'!$C$8,'27_SCENARIOS'!$C$30,1)</f>
        <v>3646.63449982</v>
      </c>
      <c r="J21" s="56" t="n">
        <f aca="false">$B$8*(1+CHOOSE('01_CONTROL_PANEL'!$C$5,$C$8,$E$8,$F$8)+'27_SCENARIOS'!$C$29)^('06_CONSTRUCTION'!J4-'02_PROJECT_INPUTS'!$C$11)*IF('06_CONSTRUCTION'!J4&gt;='06_CONSTRUCTION'!$C$8,'27_SCENARIOS'!$C$30,1)</f>
        <v>3901.8989148074</v>
      </c>
      <c r="K21" s="56" t="n">
        <f aca="false">$B$8*(1+CHOOSE('01_CONTROL_PANEL'!$C$5,$C$8,$E$8,$F$8)+'27_SCENARIOS'!$C$29)^('06_CONSTRUCTION'!K4-'02_PROJECT_INPUTS'!$C$11)*IF('06_CONSTRUCTION'!K4&gt;='06_CONSTRUCTION'!$C$8,'27_SCENARIOS'!$C$30,1)</f>
        <v>4175.03183884392</v>
      </c>
      <c r="L21" s="56" t="n">
        <f aca="false">$B$8*(1+CHOOSE('01_CONTROL_PANEL'!$C$5,$C$8,$E$8,$F$8)+'27_SCENARIOS'!$C$29)^('06_CONSTRUCTION'!L4-'02_PROJECT_INPUTS'!$C$11)*IF('06_CONSTRUCTION'!L4&gt;='06_CONSTRUCTION'!$C$8,'27_SCENARIOS'!$C$30,1)</f>
        <v>4467.28406756299</v>
      </c>
      <c r="M21" s="56" t="n">
        <f aca="false">$B$8*(1+CHOOSE('01_CONTROL_PANEL'!$C$5,$C$8,$E$8,$F$8)+'27_SCENARIOS'!$C$29)^('06_CONSTRUCTION'!M4-'02_PROJECT_INPUTS'!$C$11)*IF('06_CONSTRUCTION'!M4&gt;='06_CONSTRUCTION'!$C$8,'27_SCENARIOS'!$C$30,1)</f>
        <v>4779.9939522924</v>
      </c>
      <c r="N21" s="56" t="n">
        <f aca="false">$B$8*(1+CHOOSE('01_CONTROL_PANEL'!$C$5,$C$8,$E$8,$F$8)+'27_SCENARIOS'!$C$29)^('06_CONSTRUCTION'!N4-'02_PROJECT_INPUTS'!$C$11)*IF('06_CONSTRUCTION'!N4&gt;='06_CONSTRUCTION'!$C$8,'27_SCENARIOS'!$C$30,1)</f>
        <v>5114.59352895287</v>
      </c>
      <c r="O21" s="56" t="n">
        <f aca="false">$B$8*(1+CHOOSE('01_CONTROL_PANEL'!$C$5,$C$8,$E$8,$F$8)+'27_SCENARIOS'!$C$29)^('06_CONSTRUCTION'!O4-'02_PROJECT_INPUTS'!$C$11)*IF('06_CONSTRUCTION'!O4&gt;='06_CONSTRUCTION'!$C$8,'27_SCENARIOS'!$C$30,1)</f>
        <v>5472.61507597958</v>
      </c>
      <c r="P21" s="56" t="n">
        <f aca="false">$B$8*(1+CHOOSE('01_CONTROL_PANEL'!$C$5,$C$8,$E$8,$F$8)+'27_SCENARIOS'!$C$29)^('06_CONSTRUCTION'!P4-'02_PROJECT_INPUTS'!$C$11)*IF('06_CONSTRUCTION'!P4&gt;='06_CONSTRUCTION'!$C$8,'27_SCENARIOS'!$C$30,1)</f>
        <v>5855.69813129814</v>
      </c>
      <c r="Q21" s="56" t="n">
        <f aca="false">$B$8*(1+CHOOSE('01_CONTROL_PANEL'!$C$5,$C$8,$E$8,$F$8)+'27_SCENARIOS'!$C$29)^('06_CONSTRUCTION'!Q4-'02_PROJECT_INPUTS'!$C$11)*IF('06_CONSTRUCTION'!Q4&gt;='06_CONSTRUCTION'!$C$8,'27_SCENARIOS'!$C$30,1)</f>
        <v>6265.59700048902</v>
      </c>
      <c r="R21" s="56" t="n">
        <f aca="false">$B$8*(1+CHOOSE('01_CONTROL_PANEL'!$C$5,$C$8,$E$8,$F$8)+'27_SCENARIOS'!$C$29)^('06_CONSTRUCTION'!R4-'02_PROJECT_INPUTS'!$C$11)*IF('06_CONSTRUCTION'!R4&gt;='06_CONSTRUCTION'!$C$8,'27_SCENARIOS'!$C$30,1)</f>
        <v>6704.18879052325</v>
      </c>
      <c r="S21" s="56" t="n">
        <f aca="false">$B$8*(1+CHOOSE('01_CONTROL_PANEL'!$C$5,$C$8,$E$8,$F$8)+'27_SCENARIOS'!$C$29)^('06_CONSTRUCTION'!S4-'02_PROJECT_INPUTS'!$C$11)*IF('06_CONSTRUCTION'!S4&gt;='06_CONSTRUCTION'!$C$8,'27_SCENARIOS'!$C$30,1)</f>
        <v>7173.48200585987</v>
      </c>
      <c r="T21" s="56" t="n">
        <f aca="false">$B$8*(1+CHOOSE('01_CONTROL_PANEL'!$C$5,$C$8,$E$8,$F$8)+'27_SCENARIOS'!$C$29)^('06_CONSTRUCTION'!T4-'02_PROJECT_INPUTS'!$C$11)*IF('06_CONSTRUCTION'!T4&gt;='06_CONSTRUCTION'!$C$8,'27_SCENARIOS'!$C$30,1)</f>
        <v>7675.62574627007</v>
      </c>
      <c r="U21" s="56" t="n">
        <f aca="false">$B$8*(1+CHOOSE('01_CONTROL_PANEL'!$C$5,$C$8,$E$8,$F$8)+'27_SCENARIOS'!$C$29)^('06_CONSTRUCTION'!U4-'02_PROJECT_INPUTS'!$C$11)*IF('06_CONSTRUCTION'!U4&gt;='06_CONSTRUCTION'!$C$8,'27_SCENARIOS'!$C$30,1)</f>
        <v>8212.91954850897</v>
      </c>
      <c r="V21" s="56" t="n">
        <f aca="false">$B$8*(1+CHOOSE('01_CONTROL_PANEL'!$C$5,$C$8,$E$8,$F$8)+'27_SCENARIOS'!$C$29)^('06_CONSTRUCTION'!V4-'02_PROJECT_INPUTS'!$C$11)*IF('06_CONSTRUCTION'!V4&gt;='06_CONSTRUCTION'!$C$8,'27_SCENARIOS'!$C$30,1)</f>
        <v>8787.8239169046</v>
      </c>
      <c r="W21" s="56" t="n">
        <f aca="false">$B$8*(1+CHOOSE('01_CONTROL_PANEL'!$C$5,$C$8,$E$8,$F$8)+'27_SCENARIOS'!$C$29)^('06_CONSTRUCTION'!W4-'02_PROJECT_INPUTS'!$C$11)*IF('06_CONSTRUCTION'!W4&gt;='06_CONSTRUCTION'!$C$8,'27_SCENARIOS'!$C$30,1)</f>
        <v>9402.97159108792</v>
      </c>
      <c r="X21" s="56" t="n">
        <f aca="false">$B$8*(1+CHOOSE('01_CONTROL_PANEL'!$C$5,$C$8,$E$8,$F$8)+'27_SCENARIOS'!$C$29)^('06_CONSTRUCTION'!X4-'02_PROJECT_INPUTS'!$C$11)*IF('06_CONSTRUCTION'!X4&gt;='06_CONSTRUCTION'!$C$8,'27_SCENARIOS'!$C$30,1)</f>
        <v>10061.1796024641</v>
      </c>
      <c r="Y21" s="56" t="n">
        <f aca="false">$B$8*(1+CHOOSE('01_CONTROL_PANEL'!$C$5,$C$8,$E$8,$F$8)+'27_SCENARIOS'!$C$29)^('06_CONSTRUCTION'!Y4-'02_PROJECT_INPUTS'!$C$11)*IF('06_CONSTRUCTION'!Y4&gt;='06_CONSTRUCTION'!$C$8,'27_SCENARIOS'!$C$30,1)</f>
        <v>10765.4621746366</v>
      </c>
      <c r="Z21" s="56" t="n">
        <f aca="false">$B$8*(1+CHOOSE('01_CONTROL_PANEL'!$C$5,$C$8,$E$8,$F$8)+'27_SCENARIOS'!$C$29)^('06_CONSTRUCTION'!Z4-'02_PROJECT_INPUTS'!$C$11)*IF('06_CONSTRUCTION'!Z4&gt;='06_CONSTRUCTION'!$C$8,'27_SCENARIOS'!$C$30,1)</f>
        <v>11519.0445268611</v>
      </c>
      <c r="AA21" s="56" t="n">
        <f aca="false">$B$8*(1+CHOOSE('01_CONTROL_PANEL'!$C$5,$C$8,$E$8,$F$8)+'27_SCENARIOS'!$C$29)^('06_CONSTRUCTION'!AA4-'02_PROJECT_INPUTS'!$C$11)*IF('06_CONSTRUCTION'!AA4&gt;='06_CONSTRUCTION'!$C$8,'27_SCENARIOS'!$C$30,1)</f>
        <v>12325.3776437414</v>
      </c>
      <c r="AB21" s="56" t="n">
        <f aca="false">$B$8*(1+CHOOSE('01_CONTROL_PANEL'!$C$5,$C$8,$E$8,$F$8)+'27_SCENARIOS'!$C$29)^('06_CONSTRUCTION'!AB4-'02_PROJECT_INPUTS'!$C$11)*IF('06_CONSTRUCTION'!AB4&gt;='06_CONSTRUCTION'!$C$8,'27_SCENARIOS'!$C$30,1)</f>
        <v>13188.1540788033</v>
      </c>
      <c r="AC21" s="56" t="n">
        <f aca="false">$B$8*(1+CHOOSE('01_CONTROL_PANEL'!$C$5,$C$8,$E$8,$F$8)+'27_SCENARIOS'!$C$29)^('06_CONSTRUCTION'!AC4-'02_PROJECT_INPUTS'!$C$11)*IF('06_CONSTRUCTION'!AC4&gt;='06_CONSTRUCTION'!$C$8,'27_SCENARIOS'!$C$30,1)</f>
        <v>14111.3248643195</v>
      </c>
      <c r="AD21" s="56" t="n">
        <f aca="false">$B$8*(1+CHOOSE('01_CONTROL_PANEL'!$C$5,$C$8,$E$8,$F$8)+'27_SCENARIOS'!$C$29)^('06_CONSTRUCTION'!AD4-'02_PROJECT_INPUTS'!$C$11)*IF('06_CONSTRUCTION'!AD4&gt;='06_CONSTRUCTION'!$C$8,'27_SCENARIOS'!$C$30,1)</f>
        <v>15099.1176048219</v>
      </c>
      <c r="AE21" s="56" t="n">
        <f aca="false">$B$8*(1+CHOOSE('01_CONTROL_PANEL'!$C$5,$C$8,$E$8,$F$8)+'27_SCENARIOS'!$C$29)^('06_CONSTRUCTION'!AE4-'02_PROJECT_INPUTS'!$C$11)*IF('06_CONSTRUCTION'!AE4&gt;='06_CONSTRUCTION'!$C$8,'27_SCENARIOS'!$C$30,1)</f>
        <v>16156.0558371594</v>
      </c>
      <c r="AF21" s="56" t="n">
        <f aca="false">$B$8*(1+CHOOSE('01_CONTROL_PANEL'!$C$5,$C$8,$E$8,$F$8)+'27_SCENARIOS'!$C$29)^('06_CONSTRUCTION'!AF4-'02_PROJECT_INPUTS'!$C$11)*IF('06_CONSTRUCTION'!AF4&gt;='06_CONSTRUCTION'!$C$8,'27_SCENARIOS'!$C$30,1)</f>
        <v>17286.9797457606</v>
      </c>
      <c r="AG21" s="56" t="n">
        <f aca="false">$B$8*(1+CHOOSE('01_CONTROL_PANEL'!$C$5,$C$8,$E$8,$F$8)+'27_SCENARIOS'!$C$29)^('06_CONSTRUCTION'!AG4-'02_PROJECT_INPUTS'!$C$11)*IF('06_CONSTRUCTION'!AG4&gt;='06_CONSTRUCTION'!$C$8,'27_SCENARIOS'!$C$30,1)</f>
        <v>18497.0683279638</v>
      </c>
      <c r="AH21" s="56" t="n">
        <f aca="false">$B$8*(1+CHOOSE('01_CONTROL_PANEL'!$C$5,$C$8,$E$8,$F$8)+'27_SCENARIOS'!$C$29)^('06_CONSTRUCTION'!AH4-'02_PROJECT_INPUTS'!$C$11)*IF('06_CONSTRUCTION'!AH4&gt;='06_CONSTRUCTION'!$C$8,'27_SCENARIOS'!$C$30,1)</f>
        <v>19791.8631109213</v>
      </c>
      <c r="AI21" s="56" t="n">
        <f aca="false">$B$8*(1+CHOOSE('01_CONTROL_PANEL'!$C$5,$C$8,$E$8,$F$8)+'27_SCENARIOS'!$C$29)^('06_CONSTRUCTION'!AI4-'02_PROJECT_INPUTS'!$C$11)*IF('06_CONSTRUCTION'!AI4&gt;='06_CONSTRUCTION'!$C$8,'27_SCENARIOS'!$C$30,1)</f>
        <v>21177.2935286858</v>
      </c>
      <c r="AJ21" s="56" t="n">
        <f aca="false">$B$8*(1+CHOOSE('01_CONTROL_PANEL'!$C$5,$C$8,$E$8,$F$8)+'27_SCENARIOS'!$C$29)^('06_CONSTRUCTION'!AJ4-'02_PROJECT_INPUTS'!$C$11)*IF('06_CONSTRUCTION'!AJ4&gt;='06_CONSTRUCTION'!$C$8,'27_SCENARIOS'!$C$30,1)</f>
        <v>22659.7040756938</v>
      </c>
      <c r="AK21" s="56" t="n">
        <f aca="false">$B$8*(1+CHOOSE('01_CONTROL_PANEL'!$C$5,$C$8,$E$8,$F$8)+'27_SCENARIOS'!$C$29)^('06_CONSTRUCTION'!AK4-'02_PROJECT_INPUTS'!$C$11)*IF('06_CONSTRUCTION'!AK4&gt;='06_CONSTRUCTION'!$C$8,'27_SCENARIOS'!$C$30,1)</f>
        <v>24245.8833609924</v>
      </c>
      <c r="AL21" s="56" t="n">
        <f aca="false">$B$8*(1+CHOOSE('01_CONTROL_PANEL'!$C$5,$C$8,$E$8,$F$8)+'27_SCENARIOS'!$C$29)^('06_CONSTRUCTION'!AL4-'02_PROJECT_INPUTS'!$C$11)*IF('06_CONSTRUCTION'!AL4&gt;='06_CONSTRUCTION'!$C$8,'27_SCENARIOS'!$C$30,1)</f>
        <v>25943.0951962619</v>
      </c>
      <c r="AM21" s="56" t="n">
        <f aca="false">$B$8*(1+CHOOSE('01_CONTROL_PANEL'!$C$5,$C$8,$E$8,$F$8)+'27_SCENARIOS'!$C$29)^('06_CONSTRUCTION'!AM4-'02_PROJECT_INPUTS'!$C$11)*IF('06_CONSTRUCTION'!AM4&gt;='06_CONSTRUCTION'!$C$8,'27_SCENARIOS'!$C$30,1)</f>
        <v>27759.1118600002</v>
      </c>
      <c r="AN21" s="56" t="n">
        <f aca="false">$B$8*(1+CHOOSE('01_CONTROL_PANEL'!$C$5,$C$8,$E$8,$F$8)+'27_SCENARIOS'!$C$29)^('06_CONSTRUCTION'!AN4-'02_PROJECT_INPUTS'!$C$11)*IF('06_CONSTRUCTION'!AN4&gt;='06_CONSTRUCTION'!$C$8,'27_SCENARIOS'!$C$30,1)</f>
        <v>29702.2496902002</v>
      </c>
      <c r="AO21" s="56" t="n">
        <f aca="false">$B$8*(1+CHOOSE('01_CONTROL_PANEL'!$C$5,$C$8,$E$8,$F$8)+'27_SCENARIOS'!$C$29)^('06_CONSTRUCTION'!AO4-'02_PROJECT_INPUTS'!$C$11)*IF('06_CONSTRUCTION'!AO4&gt;='06_CONSTRUCTION'!$C$8,'27_SCENARIOS'!$C$30,1)</f>
        <v>31781.4071685142</v>
      </c>
      <c r="AP21" s="56" t="n">
        <f aca="false">$B$8*(1+CHOOSE('01_CONTROL_PANEL'!$C$5,$C$8,$E$8,$F$8)+'27_SCENARIOS'!$C$29)^('06_CONSTRUCTION'!AP4-'02_PROJECT_INPUTS'!$C$11)*IF('06_CONSTRUCTION'!AP4&gt;='06_CONSTRUCTION'!$C$8,'27_SCENARIOS'!$C$30,1)</f>
        <v>34006.1056703102</v>
      </c>
      <c r="AQ21" s="56" t="n">
        <f aca="false">$B$8*(1+CHOOSE('01_CONTROL_PANEL'!$C$5,$C$8,$E$8,$F$8)+'27_SCENARIOS'!$C$29)^('06_CONSTRUCTION'!AQ4-'02_PROJECT_INPUTS'!$C$11)*IF('06_CONSTRUCTION'!AQ4&gt;='06_CONSTRUCTION'!$C$8,'27_SCENARIOS'!$C$30,1)</f>
        <v>36386.5330672319</v>
      </c>
      <c r="AR21" s="56" t="n">
        <f aca="false">$B$8*(1+CHOOSE('01_CONTROL_PANEL'!$C$5,$C$8,$E$8,$F$8)+'27_SCENARIOS'!$C$29)^('06_CONSTRUCTION'!AR4-'02_PROJECT_INPUTS'!$C$11)*IF('06_CONSTRUCTION'!AR4&gt;='06_CONSTRUCTION'!$C$8,'27_SCENARIOS'!$C$30,1)</f>
        <v>38933.5903819382</v>
      </c>
    </row>
    <row r="22" customFormat="false" ht="15" hidden="false" customHeight="true" outlineLevel="0" collapsed="false">
      <c r="A22" s="23" t="s">
        <v>494</v>
      </c>
      <c r="B22" s="23" t="s">
        <v>299</v>
      </c>
      <c r="E22" s="56" t="n">
        <f aca="false">$B$9*(1+CHOOSE('01_CONTROL_PANEL'!$C$5,$C$9,$E$9,$F$9)+'27_SCENARIOS'!$C$29)^('06_CONSTRUCTION'!E4-'02_PROJECT_INPUTS'!$C$11)*IF('06_CONSTRUCTION'!E4&gt;='06_CONSTRUCTION'!$C$8,'27_SCENARIOS'!$C$30,1)</f>
        <v>1484</v>
      </c>
      <c r="F22" s="56" t="n">
        <f aca="false">$B$9*(1+CHOOSE('01_CONTROL_PANEL'!$C$5,$C$9,$E$9,$F$9)+'27_SCENARIOS'!$C$29)^('06_CONSTRUCTION'!F4-'02_PROJECT_INPUTS'!$C$11)*IF('06_CONSTRUCTION'!F4&gt;='06_CONSTRUCTION'!$C$8,'27_SCENARIOS'!$C$30,1)</f>
        <v>1573.04</v>
      </c>
      <c r="G22" s="56" t="n">
        <f aca="false">$B$9*(1+CHOOSE('01_CONTROL_PANEL'!$C$5,$C$9,$E$9,$F$9)+'27_SCENARIOS'!$C$29)^('06_CONSTRUCTION'!G4-'02_PROJECT_INPUTS'!$C$11)*IF('06_CONSTRUCTION'!G4&gt;='06_CONSTRUCTION'!$C$8,'27_SCENARIOS'!$C$30,1)</f>
        <v>1667.4224</v>
      </c>
      <c r="H22" s="56" t="n">
        <f aca="false">$B$9*(1+CHOOSE('01_CONTROL_PANEL'!$C$5,$C$9,$E$9,$F$9)+'27_SCENARIOS'!$C$29)^('06_CONSTRUCTION'!H4-'02_PROJECT_INPUTS'!$C$11)*IF('06_CONSTRUCTION'!H4&gt;='06_CONSTRUCTION'!$C$8,'27_SCENARIOS'!$C$30,1)</f>
        <v>1767.467744</v>
      </c>
      <c r="I22" s="56" t="n">
        <f aca="false">$B$9*(1+CHOOSE('01_CONTROL_PANEL'!$C$5,$C$9,$E$9,$F$9)+'27_SCENARIOS'!$C$29)^('06_CONSTRUCTION'!I4-'02_PROJECT_INPUTS'!$C$11)*IF('06_CONSTRUCTION'!I4&gt;='06_CONSTRUCTION'!$C$8,'27_SCENARIOS'!$C$30,1)</f>
        <v>1873.51580864</v>
      </c>
      <c r="J22" s="56" t="n">
        <f aca="false">$B$9*(1+CHOOSE('01_CONTROL_PANEL'!$C$5,$C$9,$E$9,$F$9)+'27_SCENARIOS'!$C$29)^('06_CONSTRUCTION'!J4-'02_PROJECT_INPUTS'!$C$11)*IF('06_CONSTRUCTION'!J4&gt;='06_CONSTRUCTION'!$C$8,'27_SCENARIOS'!$C$30,1)</f>
        <v>1985.9267571584</v>
      </c>
      <c r="K22" s="56" t="n">
        <f aca="false">$B$9*(1+CHOOSE('01_CONTROL_PANEL'!$C$5,$C$9,$E$9,$F$9)+'27_SCENARIOS'!$C$29)^('06_CONSTRUCTION'!K4-'02_PROJECT_INPUTS'!$C$11)*IF('06_CONSTRUCTION'!K4&gt;='06_CONSTRUCTION'!$C$8,'27_SCENARIOS'!$C$30,1)</f>
        <v>2105.0823625879</v>
      </c>
      <c r="L22" s="56" t="n">
        <f aca="false">$B$9*(1+CHOOSE('01_CONTROL_PANEL'!$C$5,$C$9,$E$9,$F$9)+'27_SCENARIOS'!$C$29)^('06_CONSTRUCTION'!L4-'02_PROJECT_INPUTS'!$C$11)*IF('06_CONSTRUCTION'!L4&gt;='06_CONSTRUCTION'!$C$8,'27_SCENARIOS'!$C$30,1)</f>
        <v>2231.38730434318</v>
      </c>
      <c r="M22" s="56" t="n">
        <f aca="false">$B$9*(1+CHOOSE('01_CONTROL_PANEL'!$C$5,$C$9,$E$9,$F$9)+'27_SCENARIOS'!$C$29)^('06_CONSTRUCTION'!M4-'02_PROJECT_INPUTS'!$C$11)*IF('06_CONSTRUCTION'!M4&gt;='06_CONSTRUCTION'!$C$8,'27_SCENARIOS'!$C$30,1)</f>
        <v>2365.27054260377</v>
      </c>
      <c r="N22" s="56" t="n">
        <f aca="false">$B$9*(1+CHOOSE('01_CONTROL_PANEL'!$C$5,$C$9,$E$9,$F$9)+'27_SCENARIOS'!$C$29)^('06_CONSTRUCTION'!N4-'02_PROJECT_INPUTS'!$C$11)*IF('06_CONSTRUCTION'!N4&gt;='06_CONSTRUCTION'!$C$8,'27_SCENARIOS'!$C$30,1)</f>
        <v>2507.18677516</v>
      </c>
      <c r="O22" s="56" t="n">
        <f aca="false">$B$9*(1+CHOOSE('01_CONTROL_PANEL'!$C$5,$C$9,$E$9,$F$9)+'27_SCENARIOS'!$C$29)^('06_CONSTRUCTION'!O4-'02_PROJECT_INPUTS'!$C$11)*IF('06_CONSTRUCTION'!O4&gt;='06_CONSTRUCTION'!$C$8,'27_SCENARIOS'!$C$30,1)</f>
        <v>2657.6179816696</v>
      </c>
      <c r="P22" s="56" t="n">
        <f aca="false">$B$9*(1+CHOOSE('01_CONTROL_PANEL'!$C$5,$C$9,$E$9,$F$9)+'27_SCENARIOS'!$C$29)^('06_CONSTRUCTION'!P4-'02_PROJECT_INPUTS'!$C$11)*IF('06_CONSTRUCTION'!P4&gt;='06_CONSTRUCTION'!$C$8,'27_SCENARIOS'!$C$30,1)</f>
        <v>2817.07506056977</v>
      </c>
      <c r="Q22" s="56" t="n">
        <f aca="false">$B$9*(1+CHOOSE('01_CONTROL_PANEL'!$C$5,$C$9,$E$9,$F$9)+'27_SCENARIOS'!$C$29)^('06_CONSTRUCTION'!Q4-'02_PROJECT_INPUTS'!$C$11)*IF('06_CONSTRUCTION'!Q4&gt;='06_CONSTRUCTION'!$C$8,'27_SCENARIOS'!$C$30,1)</f>
        <v>2986.09956420396</v>
      </c>
      <c r="R22" s="56" t="n">
        <f aca="false">$B$9*(1+CHOOSE('01_CONTROL_PANEL'!$C$5,$C$9,$E$9,$F$9)+'27_SCENARIOS'!$C$29)^('06_CONSTRUCTION'!R4-'02_PROJECT_INPUTS'!$C$11)*IF('06_CONSTRUCTION'!R4&gt;='06_CONSTRUCTION'!$C$8,'27_SCENARIOS'!$C$30,1)</f>
        <v>3165.2655380562</v>
      </c>
      <c r="S22" s="56" t="n">
        <f aca="false">$B$9*(1+CHOOSE('01_CONTROL_PANEL'!$C$5,$C$9,$E$9,$F$9)+'27_SCENARIOS'!$C$29)^('06_CONSTRUCTION'!S4-'02_PROJECT_INPUTS'!$C$11)*IF('06_CONSTRUCTION'!S4&gt;='06_CONSTRUCTION'!$C$8,'27_SCENARIOS'!$C$30,1)</f>
        <v>3355.18147033957</v>
      </c>
      <c r="T22" s="56" t="n">
        <f aca="false">$B$9*(1+CHOOSE('01_CONTROL_PANEL'!$C$5,$C$9,$E$9,$F$9)+'27_SCENARIOS'!$C$29)^('06_CONSTRUCTION'!T4-'02_PROJECT_INPUTS'!$C$11)*IF('06_CONSTRUCTION'!T4&gt;='06_CONSTRUCTION'!$C$8,'27_SCENARIOS'!$C$30,1)</f>
        <v>3556.49235855994</v>
      </c>
      <c r="U22" s="56" t="n">
        <f aca="false">$B$9*(1+CHOOSE('01_CONTROL_PANEL'!$C$5,$C$9,$E$9,$F$9)+'27_SCENARIOS'!$C$29)^('06_CONSTRUCTION'!U4-'02_PROJECT_INPUTS'!$C$11)*IF('06_CONSTRUCTION'!U4&gt;='06_CONSTRUCTION'!$C$8,'27_SCENARIOS'!$C$30,1)</f>
        <v>3769.88190007354</v>
      </c>
      <c r="V22" s="56" t="n">
        <f aca="false">$B$9*(1+CHOOSE('01_CONTROL_PANEL'!$C$5,$C$9,$E$9,$F$9)+'27_SCENARIOS'!$C$29)^('06_CONSTRUCTION'!V4-'02_PROJECT_INPUTS'!$C$11)*IF('06_CONSTRUCTION'!V4&gt;='06_CONSTRUCTION'!$C$8,'27_SCENARIOS'!$C$30,1)</f>
        <v>3996.07481407795</v>
      </c>
      <c r="W22" s="56" t="n">
        <f aca="false">$B$9*(1+CHOOSE('01_CONTROL_PANEL'!$C$5,$C$9,$E$9,$F$9)+'27_SCENARIOS'!$C$29)^('06_CONSTRUCTION'!W4-'02_PROJECT_INPUTS'!$C$11)*IF('06_CONSTRUCTION'!W4&gt;='06_CONSTRUCTION'!$C$8,'27_SCENARIOS'!$C$30,1)</f>
        <v>4235.83930292263</v>
      </c>
      <c r="X22" s="56" t="n">
        <f aca="false">$B$9*(1+CHOOSE('01_CONTROL_PANEL'!$C$5,$C$9,$E$9,$F$9)+'27_SCENARIOS'!$C$29)^('06_CONSTRUCTION'!X4-'02_PROJECT_INPUTS'!$C$11)*IF('06_CONSTRUCTION'!X4&gt;='06_CONSTRUCTION'!$C$8,'27_SCENARIOS'!$C$30,1)</f>
        <v>4489.98966109799</v>
      </c>
      <c r="Y22" s="56" t="n">
        <f aca="false">$B$9*(1+CHOOSE('01_CONTROL_PANEL'!$C$5,$C$9,$E$9,$F$9)+'27_SCENARIOS'!$C$29)^('06_CONSTRUCTION'!Y4-'02_PROJECT_INPUTS'!$C$11)*IF('06_CONSTRUCTION'!Y4&gt;='06_CONSTRUCTION'!$C$8,'27_SCENARIOS'!$C$30,1)</f>
        <v>4759.38904076387</v>
      </c>
      <c r="Z22" s="56" t="n">
        <f aca="false">$B$9*(1+CHOOSE('01_CONTROL_PANEL'!$C$5,$C$9,$E$9,$F$9)+'27_SCENARIOS'!$C$29)^('06_CONSTRUCTION'!Z4-'02_PROJECT_INPUTS'!$C$11)*IF('06_CONSTRUCTION'!Z4&gt;='06_CONSTRUCTION'!$C$8,'27_SCENARIOS'!$C$30,1)</f>
        <v>5044.9523832097</v>
      </c>
      <c r="AA22" s="56" t="n">
        <f aca="false">$B$9*(1+CHOOSE('01_CONTROL_PANEL'!$C$5,$C$9,$E$9,$F$9)+'27_SCENARIOS'!$C$29)^('06_CONSTRUCTION'!AA4-'02_PROJECT_INPUTS'!$C$11)*IF('06_CONSTRUCTION'!AA4&gt;='06_CONSTRUCTION'!$C$8,'27_SCENARIOS'!$C$30,1)</f>
        <v>5347.64952620228</v>
      </c>
      <c r="AB22" s="56" t="n">
        <f aca="false">$B$9*(1+CHOOSE('01_CONTROL_PANEL'!$C$5,$C$9,$E$9,$F$9)+'27_SCENARIOS'!$C$29)^('06_CONSTRUCTION'!AB4-'02_PROJECT_INPUTS'!$C$11)*IF('06_CONSTRUCTION'!AB4&gt;='06_CONSTRUCTION'!$C$8,'27_SCENARIOS'!$C$30,1)</f>
        <v>5668.50849777442</v>
      </c>
      <c r="AC22" s="56" t="n">
        <f aca="false">$B$9*(1+CHOOSE('01_CONTROL_PANEL'!$C$5,$C$9,$E$9,$F$9)+'27_SCENARIOS'!$C$29)^('06_CONSTRUCTION'!AC4-'02_PROJECT_INPUTS'!$C$11)*IF('06_CONSTRUCTION'!AC4&gt;='06_CONSTRUCTION'!$C$8,'27_SCENARIOS'!$C$30,1)</f>
        <v>6008.61900764088</v>
      </c>
      <c r="AD22" s="56" t="n">
        <f aca="false">$B$9*(1+CHOOSE('01_CONTROL_PANEL'!$C$5,$C$9,$E$9,$F$9)+'27_SCENARIOS'!$C$29)^('06_CONSTRUCTION'!AD4-'02_PROJECT_INPUTS'!$C$11)*IF('06_CONSTRUCTION'!AD4&gt;='06_CONSTRUCTION'!$C$8,'27_SCENARIOS'!$C$30,1)</f>
        <v>6369.13614809934</v>
      </c>
      <c r="AE22" s="56" t="n">
        <f aca="false">$B$9*(1+CHOOSE('01_CONTROL_PANEL'!$C$5,$C$9,$E$9,$F$9)+'27_SCENARIOS'!$C$29)^('06_CONSTRUCTION'!AE4-'02_PROJECT_INPUTS'!$C$11)*IF('06_CONSTRUCTION'!AE4&gt;='06_CONSTRUCTION'!$C$8,'27_SCENARIOS'!$C$30,1)</f>
        <v>6751.2843169853</v>
      </c>
      <c r="AF22" s="56" t="n">
        <f aca="false">$B$9*(1+CHOOSE('01_CONTROL_PANEL'!$C$5,$C$9,$E$9,$F$9)+'27_SCENARIOS'!$C$29)^('06_CONSTRUCTION'!AF4-'02_PROJECT_INPUTS'!$C$11)*IF('06_CONSTRUCTION'!AF4&gt;='06_CONSTRUCTION'!$C$8,'27_SCENARIOS'!$C$30,1)</f>
        <v>7156.36137600442</v>
      </c>
      <c r="AG22" s="56" t="n">
        <f aca="false">$B$9*(1+CHOOSE('01_CONTROL_PANEL'!$C$5,$C$9,$E$9,$F$9)+'27_SCENARIOS'!$C$29)^('06_CONSTRUCTION'!AG4-'02_PROJECT_INPUTS'!$C$11)*IF('06_CONSTRUCTION'!AG4&gt;='06_CONSTRUCTION'!$C$8,'27_SCENARIOS'!$C$30,1)</f>
        <v>7585.74305856468</v>
      </c>
      <c r="AH22" s="56" t="n">
        <f aca="false">$B$9*(1+CHOOSE('01_CONTROL_PANEL'!$C$5,$C$9,$E$9,$F$9)+'27_SCENARIOS'!$C$29)^('06_CONSTRUCTION'!AH4-'02_PROJECT_INPUTS'!$C$11)*IF('06_CONSTRUCTION'!AH4&gt;='06_CONSTRUCTION'!$C$8,'27_SCENARIOS'!$C$30,1)</f>
        <v>8040.88764207856</v>
      </c>
      <c r="AI22" s="56" t="n">
        <f aca="false">$B$9*(1+CHOOSE('01_CONTROL_PANEL'!$C$5,$C$9,$E$9,$F$9)+'27_SCENARIOS'!$C$29)^('06_CONSTRUCTION'!AI4-'02_PROJECT_INPUTS'!$C$11)*IF('06_CONSTRUCTION'!AI4&gt;='06_CONSTRUCTION'!$C$8,'27_SCENARIOS'!$C$30,1)</f>
        <v>8523.34090060328</v>
      </c>
      <c r="AJ22" s="56" t="n">
        <f aca="false">$B$9*(1+CHOOSE('01_CONTROL_PANEL'!$C$5,$C$9,$E$9,$F$9)+'27_SCENARIOS'!$C$29)^('06_CONSTRUCTION'!AJ4-'02_PROJECT_INPUTS'!$C$11)*IF('06_CONSTRUCTION'!AJ4&gt;='06_CONSTRUCTION'!$C$8,'27_SCENARIOS'!$C$30,1)</f>
        <v>9034.74135463948</v>
      </c>
      <c r="AK22" s="56" t="n">
        <f aca="false">$B$9*(1+CHOOSE('01_CONTROL_PANEL'!$C$5,$C$9,$E$9,$F$9)+'27_SCENARIOS'!$C$29)^('06_CONSTRUCTION'!AK4-'02_PROJECT_INPUTS'!$C$11)*IF('06_CONSTRUCTION'!AK4&gt;='06_CONSTRUCTION'!$C$8,'27_SCENARIOS'!$C$30,1)</f>
        <v>9576.82583591784</v>
      </c>
      <c r="AL22" s="56" t="n">
        <f aca="false">$B$9*(1+CHOOSE('01_CONTROL_PANEL'!$C$5,$C$9,$E$9,$F$9)+'27_SCENARIOS'!$C$29)^('06_CONSTRUCTION'!AL4-'02_PROJECT_INPUTS'!$C$11)*IF('06_CONSTRUCTION'!AL4&gt;='06_CONSTRUCTION'!$C$8,'27_SCENARIOS'!$C$30,1)</f>
        <v>10151.4353860729</v>
      </c>
      <c r="AM22" s="56" t="n">
        <f aca="false">$B$9*(1+CHOOSE('01_CONTROL_PANEL'!$C$5,$C$9,$E$9,$F$9)+'27_SCENARIOS'!$C$29)^('06_CONSTRUCTION'!AM4-'02_PROJECT_INPUTS'!$C$11)*IF('06_CONSTRUCTION'!AM4&gt;='06_CONSTRUCTION'!$C$8,'27_SCENARIOS'!$C$30,1)</f>
        <v>10760.5215092373</v>
      </c>
      <c r="AN22" s="56" t="n">
        <f aca="false">$B$9*(1+CHOOSE('01_CONTROL_PANEL'!$C$5,$C$9,$E$9,$F$9)+'27_SCENARIOS'!$C$29)^('06_CONSTRUCTION'!AN4-'02_PROJECT_INPUTS'!$C$11)*IF('06_CONSTRUCTION'!AN4&gt;='06_CONSTRUCTION'!$C$8,'27_SCENARIOS'!$C$30,1)</f>
        <v>11406.1527997915</v>
      </c>
      <c r="AO22" s="56" t="n">
        <f aca="false">$B$9*(1+CHOOSE('01_CONTROL_PANEL'!$C$5,$C$9,$E$9,$F$9)+'27_SCENARIOS'!$C$29)^('06_CONSTRUCTION'!AO4-'02_PROJECT_INPUTS'!$C$11)*IF('06_CONSTRUCTION'!AO4&gt;='06_CONSTRUCTION'!$C$8,'27_SCENARIOS'!$C$30,1)</f>
        <v>12090.521967779</v>
      </c>
      <c r="AP22" s="56" t="n">
        <f aca="false">$B$9*(1+CHOOSE('01_CONTROL_PANEL'!$C$5,$C$9,$E$9,$F$9)+'27_SCENARIOS'!$C$29)^('06_CONSTRUCTION'!AP4-'02_PROJECT_INPUTS'!$C$11)*IF('06_CONSTRUCTION'!AP4&gt;='06_CONSTRUCTION'!$C$8,'27_SCENARIOS'!$C$30,1)</f>
        <v>12815.9532858458</v>
      </c>
      <c r="AQ22" s="56" t="n">
        <f aca="false">$B$9*(1+CHOOSE('01_CONTROL_PANEL'!$C$5,$C$9,$E$9,$F$9)+'27_SCENARIOS'!$C$29)^('06_CONSTRUCTION'!AQ4-'02_PROJECT_INPUTS'!$C$11)*IF('06_CONSTRUCTION'!AQ4&gt;='06_CONSTRUCTION'!$C$8,'27_SCENARIOS'!$C$30,1)</f>
        <v>13584.9104829965</v>
      </c>
      <c r="AR22" s="56" t="n">
        <f aca="false">$B$9*(1+CHOOSE('01_CONTROL_PANEL'!$C$5,$C$9,$E$9,$F$9)+'27_SCENARIOS'!$C$29)^('06_CONSTRUCTION'!AR4-'02_PROJECT_INPUTS'!$C$11)*IF('06_CONSTRUCTION'!AR4&gt;='06_CONSTRUCTION'!$C$8,'27_SCENARIOS'!$C$30,1)</f>
        <v>14400.0051119763</v>
      </c>
    </row>
    <row r="23" customFormat="false" ht="15" hidden="false" customHeight="true" outlineLevel="0" collapsed="false">
      <c r="A23" s="23" t="s">
        <v>495</v>
      </c>
      <c r="B23" s="23" t="s">
        <v>299</v>
      </c>
      <c r="E23" s="56" t="n">
        <f aca="false">$B$10*(1+CHOOSE('01_CONTROL_PANEL'!$C$5,$C$10,$E$10,$F$10)+'27_SCENARIOS'!$C$29)^('06_CONSTRUCTION'!E4-'02_PROJECT_INPUTS'!$C$11)*IF('06_CONSTRUCTION'!E4&gt;='06_CONSTRUCTION'!$C$8,'27_SCENARIOS'!$C$30,1)</f>
        <v>1575</v>
      </c>
      <c r="F23" s="56" t="n">
        <f aca="false">$B$10*(1+CHOOSE('01_CONTROL_PANEL'!$C$5,$C$10,$E$10,$F$10)+'27_SCENARIOS'!$C$29)^('06_CONSTRUCTION'!F4-'02_PROJECT_INPUTS'!$C$11)*IF('06_CONSTRUCTION'!F4&gt;='06_CONSTRUCTION'!$C$8,'27_SCENARIOS'!$C$30,1)</f>
        <v>1653.75</v>
      </c>
      <c r="G23" s="56" t="n">
        <f aca="false">$B$10*(1+CHOOSE('01_CONTROL_PANEL'!$C$5,$C$10,$E$10,$F$10)+'27_SCENARIOS'!$C$29)^('06_CONSTRUCTION'!G4-'02_PROJECT_INPUTS'!$C$11)*IF('06_CONSTRUCTION'!G4&gt;='06_CONSTRUCTION'!$C$8,'27_SCENARIOS'!$C$30,1)</f>
        <v>1736.4375</v>
      </c>
      <c r="H23" s="56" t="n">
        <f aca="false">$B$10*(1+CHOOSE('01_CONTROL_PANEL'!$C$5,$C$10,$E$10,$F$10)+'27_SCENARIOS'!$C$29)^('06_CONSTRUCTION'!H4-'02_PROJECT_INPUTS'!$C$11)*IF('06_CONSTRUCTION'!H4&gt;='06_CONSTRUCTION'!$C$8,'27_SCENARIOS'!$C$30,1)</f>
        <v>1823.259375</v>
      </c>
      <c r="I23" s="56" t="n">
        <f aca="false">$B$10*(1+CHOOSE('01_CONTROL_PANEL'!$C$5,$C$10,$E$10,$F$10)+'27_SCENARIOS'!$C$29)^('06_CONSTRUCTION'!I4-'02_PROJECT_INPUTS'!$C$11)*IF('06_CONSTRUCTION'!I4&gt;='06_CONSTRUCTION'!$C$8,'27_SCENARIOS'!$C$30,1)</f>
        <v>1914.42234375</v>
      </c>
      <c r="J23" s="56" t="n">
        <f aca="false">$B$10*(1+CHOOSE('01_CONTROL_PANEL'!$C$5,$C$10,$E$10,$F$10)+'27_SCENARIOS'!$C$29)^('06_CONSTRUCTION'!J4-'02_PROJECT_INPUTS'!$C$11)*IF('06_CONSTRUCTION'!J4&gt;='06_CONSTRUCTION'!$C$8,'27_SCENARIOS'!$C$30,1)</f>
        <v>2010.1434609375</v>
      </c>
      <c r="K23" s="56" t="n">
        <f aca="false">$B$10*(1+CHOOSE('01_CONTROL_PANEL'!$C$5,$C$10,$E$10,$F$10)+'27_SCENARIOS'!$C$29)^('06_CONSTRUCTION'!K4-'02_PROJECT_INPUTS'!$C$11)*IF('06_CONSTRUCTION'!K4&gt;='06_CONSTRUCTION'!$C$8,'27_SCENARIOS'!$C$30,1)</f>
        <v>2110.65063398438</v>
      </c>
      <c r="L23" s="56" t="n">
        <f aca="false">$B$10*(1+CHOOSE('01_CONTROL_PANEL'!$C$5,$C$10,$E$10,$F$10)+'27_SCENARIOS'!$C$29)^('06_CONSTRUCTION'!L4-'02_PROJECT_INPUTS'!$C$11)*IF('06_CONSTRUCTION'!L4&gt;='06_CONSTRUCTION'!$C$8,'27_SCENARIOS'!$C$30,1)</f>
        <v>2216.18316568359</v>
      </c>
      <c r="M23" s="56" t="n">
        <f aca="false">$B$10*(1+CHOOSE('01_CONTROL_PANEL'!$C$5,$C$10,$E$10,$F$10)+'27_SCENARIOS'!$C$29)^('06_CONSTRUCTION'!M4-'02_PROJECT_INPUTS'!$C$11)*IF('06_CONSTRUCTION'!M4&gt;='06_CONSTRUCTION'!$C$8,'27_SCENARIOS'!$C$30,1)</f>
        <v>2326.99232396777</v>
      </c>
      <c r="N23" s="56" t="n">
        <f aca="false">$B$10*(1+CHOOSE('01_CONTROL_PANEL'!$C$5,$C$10,$E$10,$F$10)+'27_SCENARIOS'!$C$29)^('06_CONSTRUCTION'!N4-'02_PROJECT_INPUTS'!$C$11)*IF('06_CONSTRUCTION'!N4&gt;='06_CONSTRUCTION'!$C$8,'27_SCENARIOS'!$C$30,1)</f>
        <v>2443.34194016616</v>
      </c>
      <c r="O23" s="56" t="n">
        <f aca="false">$B$10*(1+CHOOSE('01_CONTROL_PANEL'!$C$5,$C$10,$E$10,$F$10)+'27_SCENARIOS'!$C$29)^('06_CONSTRUCTION'!O4-'02_PROJECT_INPUTS'!$C$11)*IF('06_CONSTRUCTION'!O4&gt;='06_CONSTRUCTION'!$C$8,'27_SCENARIOS'!$C$30,1)</f>
        <v>2565.50903717447</v>
      </c>
      <c r="P23" s="56" t="n">
        <f aca="false">$B$10*(1+CHOOSE('01_CONTROL_PANEL'!$C$5,$C$10,$E$10,$F$10)+'27_SCENARIOS'!$C$29)^('06_CONSTRUCTION'!P4-'02_PROJECT_INPUTS'!$C$11)*IF('06_CONSTRUCTION'!P4&gt;='06_CONSTRUCTION'!$C$8,'27_SCENARIOS'!$C$30,1)</f>
        <v>2693.7844890332</v>
      </c>
      <c r="Q23" s="56" t="n">
        <f aca="false">$B$10*(1+CHOOSE('01_CONTROL_PANEL'!$C$5,$C$10,$E$10,$F$10)+'27_SCENARIOS'!$C$29)^('06_CONSTRUCTION'!Q4-'02_PROJECT_INPUTS'!$C$11)*IF('06_CONSTRUCTION'!Q4&gt;='06_CONSTRUCTION'!$C$8,'27_SCENARIOS'!$C$30,1)</f>
        <v>2828.47371348486</v>
      </c>
      <c r="R23" s="56" t="n">
        <f aca="false">$B$10*(1+CHOOSE('01_CONTROL_PANEL'!$C$5,$C$10,$E$10,$F$10)+'27_SCENARIOS'!$C$29)^('06_CONSTRUCTION'!R4-'02_PROJECT_INPUTS'!$C$11)*IF('06_CONSTRUCTION'!R4&gt;='06_CONSTRUCTION'!$C$8,'27_SCENARIOS'!$C$30,1)</f>
        <v>2969.8973991591</v>
      </c>
      <c r="S23" s="56" t="n">
        <f aca="false">$B$10*(1+CHOOSE('01_CONTROL_PANEL'!$C$5,$C$10,$E$10,$F$10)+'27_SCENARIOS'!$C$29)^('06_CONSTRUCTION'!S4-'02_PROJECT_INPUTS'!$C$11)*IF('06_CONSTRUCTION'!S4&gt;='06_CONSTRUCTION'!$C$8,'27_SCENARIOS'!$C$30,1)</f>
        <v>3118.39226911705</v>
      </c>
      <c r="T23" s="56" t="n">
        <f aca="false">$B$10*(1+CHOOSE('01_CONTROL_PANEL'!$C$5,$C$10,$E$10,$F$10)+'27_SCENARIOS'!$C$29)^('06_CONSTRUCTION'!T4-'02_PROJECT_INPUTS'!$C$11)*IF('06_CONSTRUCTION'!T4&gt;='06_CONSTRUCTION'!$C$8,'27_SCENARIOS'!$C$30,1)</f>
        <v>3274.31188257291</v>
      </c>
      <c r="U23" s="56" t="n">
        <f aca="false">$B$10*(1+CHOOSE('01_CONTROL_PANEL'!$C$5,$C$10,$E$10,$F$10)+'27_SCENARIOS'!$C$29)^('06_CONSTRUCTION'!U4-'02_PROJECT_INPUTS'!$C$11)*IF('06_CONSTRUCTION'!U4&gt;='06_CONSTRUCTION'!$C$8,'27_SCENARIOS'!$C$30,1)</f>
        <v>3438.02747670155</v>
      </c>
      <c r="V23" s="56" t="n">
        <f aca="false">$B$10*(1+CHOOSE('01_CONTROL_PANEL'!$C$5,$C$10,$E$10,$F$10)+'27_SCENARIOS'!$C$29)^('06_CONSTRUCTION'!V4-'02_PROJECT_INPUTS'!$C$11)*IF('06_CONSTRUCTION'!V4&gt;='06_CONSTRUCTION'!$C$8,'27_SCENARIOS'!$C$30,1)</f>
        <v>3609.92885053663</v>
      </c>
      <c r="W23" s="56" t="n">
        <f aca="false">$B$10*(1+CHOOSE('01_CONTROL_PANEL'!$C$5,$C$10,$E$10,$F$10)+'27_SCENARIOS'!$C$29)^('06_CONSTRUCTION'!W4-'02_PROJECT_INPUTS'!$C$11)*IF('06_CONSTRUCTION'!W4&gt;='06_CONSTRUCTION'!$C$8,'27_SCENARIOS'!$C$30,1)</f>
        <v>3790.42529306346</v>
      </c>
      <c r="X23" s="56" t="n">
        <f aca="false">$B$10*(1+CHOOSE('01_CONTROL_PANEL'!$C$5,$C$10,$E$10,$F$10)+'27_SCENARIOS'!$C$29)^('06_CONSTRUCTION'!X4-'02_PROJECT_INPUTS'!$C$11)*IF('06_CONSTRUCTION'!X4&gt;='06_CONSTRUCTION'!$C$8,'27_SCENARIOS'!$C$30,1)</f>
        <v>3979.94655771663</v>
      </c>
      <c r="Y23" s="56" t="n">
        <f aca="false">$B$10*(1+CHOOSE('01_CONTROL_PANEL'!$C$5,$C$10,$E$10,$F$10)+'27_SCENARIOS'!$C$29)^('06_CONSTRUCTION'!Y4-'02_PROJECT_INPUTS'!$C$11)*IF('06_CONSTRUCTION'!Y4&gt;='06_CONSTRUCTION'!$C$8,'27_SCENARIOS'!$C$30,1)</f>
        <v>4178.94388560247</v>
      </c>
      <c r="Z23" s="56" t="n">
        <f aca="false">$B$10*(1+CHOOSE('01_CONTROL_PANEL'!$C$5,$C$10,$E$10,$F$10)+'27_SCENARIOS'!$C$29)^('06_CONSTRUCTION'!Z4-'02_PROJECT_INPUTS'!$C$11)*IF('06_CONSTRUCTION'!Z4&gt;='06_CONSTRUCTION'!$C$8,'27_SCENARIOS'!$C$30,1)</f>
        <v>4387.89107988259</v>
      </c>
      <c r="AA23" s="56" t="n">
        <f aca="false">$B$10*(1+CHOOSE('01_CONTROL_PANEL'!$C$5,$C$10,$E$10,$F$10)+'27_SCENARIOS'!$C$29)^('06_CONSTRUCTION'!AA4-'02_PROJECT_INPUTS'!$C$11)*IF('06_CONSTRUCTION'!AA4&gt;='06_CONSTRUCTION'!$C$8,'27_SCENARIOS'!$C$30,1)</f>
        <v>4607.28563387672</v>
      </c>
      <c r="AB23" s="56" t="n">
        <f aca="false">$B$10*(1+CHOOSE('01_CONTROL_PANEL'!$C$5,$C$10,$E$10,$F$10)+'27_SCENARIOS'!$C$29)^('06_CONSTRUCTION'!AB4-'02_PROJECT_INPUTS'!$C$11)*IF('06_CONSTRUCTION'!AB4&gt;='06_CONSTRUCTION'!$C$8,'27_SCENARIOS'!$C$30,1)</f>
        <v>4837.64991557055</v>
      </c>
      <c r="AC23" s="56" t="n">
        <f aca="false">$B$10*(1+CHOOSE('01_CONTROL_PANEL'!$C$5,$C$10,$E$10,$F$10)+'27_SCENARIOS'!$C$29)^('06_CONSTRUCTION'!AC4-'02_PROJECT_INPUTS'!$C$11)*IF('06_CONSTRUCTION'!AC4&gt;='06_CONSTRUCTION'!$C$8,'27_SCENARIOS'!$C$30,1)</f>
        <v>5079.53241134908</v>
      </c>
      <c r="AD23" s="56" t="n">
        <f aca="false">$B$10*(1+CHOOSE('01_CONTROL_PANEL'!$C$5,$C$10,$E$10,$F$10)+'27_SCENARIOS'!$C$29)^('06_CONSTRUCTION'!AD4-'02_PROJECT_INPUTS'!$C$11)*IF('06_CONSTRUCTION'!AD4&gt;='06_CONSTRUCTION'!$C$8,'27_SCENARIOS'!$C$30,1)</f>
        <v>5333.50903191654</v>
      </c>
      <c r="AE23" s="56" t="n">
        <f aca="false">$B$10*(1+CHOOSE('01_CONTROL_PANEL'!$C$5,$C$10,$E$10,$F$10)+'27_SCENARIOS'!$C$29)^('06_CONSTRUCTION'!AE4-'02_PROJECT_INPUTS'!$C$11)*IF('06_CONSTRUCTION'!AE4&gt;='06_CONSTRUCTION'!$C$8,'27_SCENARIOS'!$C$30,1)</f>
        <v>5600.18448351236</v>
      </c>
      <c r="AF23" s="56" t="n">
        <f aca="false">$B$10*(1+CHOOSE('01_CONTROL_PANEL'!$C$5,$C$10,$E$10,$F$10)+'27_SCENARIOS'!$C$29)^('06_CONSTRUCTION'!AF4-'02_PROJECT_INPUTS'!$C$11)*IF('06_CONSTRUCTION'!AF4&gt;='06_CONSTRUCTION'!$C$8,'27_SCENARIOS'!$C$30,1)</f>
        <v>5880.19370768798</v>
      </c>
      <c r="AG23" s="56" t="n">
        <f aca="false">$B$10*(1+CHOOSE('01_CONTROL_PANEL'!$C$5,$C$10,$E$10,$F$10)+'27_SCENARIOS'!$C$29)^('06_CONSTRUCTION'!AG4-'02_PROJECT_INPUTS'!$C$11)*IF('06_CONSTRUCTION'!AG4&gt;='06_CONSTRUCTION'!$C$8,'27_SCENARIOS'!$C$30,1)</f>
        <v>6174.20339307238</v>
      </c>
      <c r="AH23" s="56" t="n">
        <f aca="false">$B$10*(1+CHOOSE('01_CONTROL_PANEL'!$C$5,$C$10,$E$10,$F$10)+'27_SCENARIOS'!$C$29)^('06_CONSTRUCTION'!AH4-'02_PROJECT_INPUTS'!$C$11)*IF('06_CONSTRUCTION'!AH4&gt;='06_CONSTRUCTION'!$C$8,'27_SCENARIOS'!$C$30,1)</f>
        <v>6482.913562726</v>
      </c>
      <c r="AI23" s="56" t="n">
        <f aca="false">$B$10*(1+CHOOSE('01_CONTROL_PANEL'!$C$5,$C$10,$E$10,$F$10)+'27_SCENARIOS'!$C$29)^('06_CONSTRUCTION'!AI4-'02_PROJECT_INPUTS'!$C$11)*IF('06_CONSTRUCTION'!AI4&gt;='06_CONSTRUCTION'!$C$8,'27_SCENARIOS'!$C$30,1)</f>
        <v>6807.0592408623</v>
      </c>
      <c r="AJ23" s="56" t="n">
        <f aca="false">$B$10*(1+CHOOSE('01_CONTROL_PANEL'!$C$5,$C$10,$E$10,$F$10)+'27_SCENARIOS'!$C$29)^('06_CONSTRUCTION'!AJ4-'02_PROJECT_INPUTS'!$C$11)*IF('06_CONSTRUCTION'!AJ4&gt;='06_CONSTRUCTION'!$C$8,'27_SCENARIOS'!$C$30,1)</f>
        <v>7147.41220290542</v>
      </c>
      <c r="AK23" s="56" t="n">
        <f aca="false">$B$10*(1+CHOOSE('01_CONTROL_PANEL'!$C$5,$C$10,$E$10,$F$10)+'27_SCENARIOS'!$C$29)^('06_CONSTRUCTION'!AK4-'02_PROJECT_INPUTS'!$C$11)*IF('06_CONSTRUCTION'!AK4&gt;='06_CONSTRUCTION'!$C$8,'27_SCENARIOS'!$C$30,1)</f>
        <v>7504.78281305069</v>
      </c>
      <c r="AL23" s="56" t="n">
        <f aca="false">$B$10*(1+CHOOSE('01_CONTROL_PANEL'!$C$5,$C$10,$E$10,$F$10)+'27_SCENARIOS'!$C$29)^('06_CONSTRUCTION'!AL4-'02_PROJECT_INPUTS'!$C$11)*IF('06_CONSTRUCTION'!AL4&gt;='06_CONSTRUCTION'!$C$8,'27_SCENARIOS'!$C$30,1)</f>
        <v>7880.02195370322</v>
      </c>
      <c r="AM23" s="56" t="n">
        <f aca="false">$B$10*(1+CHOOSE('01_CONTROL_PANEL'!$C$5,$C$10,$E$10,$F$10)+'27_SCENARIOS'!$C$29)^('06_CONSTRUCTION'!AM4-'02_PROJECT_INPUTS'!$C$11)*IF('06_CONSTRUCTION'!AM4&gt;='06_CONSTRUCTION'!$C$8,'27_SCENARIOS'!$C$30,1)</f>
        <v>8274.02305138839</v>
      </c>
      <c r="AN23" s="56" t="n">
        <f aca="false">$B$10*(1+CHOOSE('01_CONTROL_PANEL'!$C$5,$C$10,$E$10,$F$10)+'27_SCENARIOS'!$C$29)^('06_CONSTRUCTION'!AN4-'02_PROJECT_INPUTS'!$C$11)*IF('06_CONSTRUCTION'!AN4&gt;='06_CONSTRUCTION'!$C$8,'27_SCENARIOS'!$C$30,1)</f>
        <v>8687.7242039578</v>
      </c>
      <c r="AO23" s="56" t="n">
        <f aca="false">$B$10*(1+CHOOSE('01_CONTROL_PANEL'!$C$5,$C$10,$E$10,$F$10)+'27_SCENARIOS'!$C$29)^('06_CONSTRUCTION'!AO4-'02_PROJECT_INPUTS'!$C$11)*IF('06_CONSTRUCTION'!AO4&gt;='06_CONSTRUCTION'!$C$8,'27_SCENARIOS'!$C$30,1)</f>
        <v>9122.1104141557</v>
      </c>
      <c r="AP23" s="56" t="n">
        <f aca="false">$B$10*(1+CHOOSE('01_CONTROL_PANEL'!$C$5,$C$10,$E$10,$F$10)+'27_SCENARIOS'!$C$29)^('06_CONSTRUCTION'!AP4-'02_PROJECT_INPUTS'!$C$11)*IF('06_CONSTRUCTION'!AP4&gt;='06_CONSTRUCTION'!$C$8,'27_SCENARIOS'!$C$30,1)</f>
        <v>9578.21593486348</v>
      </c>
      <c r="AQ23" s="56" t="n">
        <f aca="false">$B$10*(1+CHOOSE('01_CONTROL_PANEL'!$C$5,$C$10,$E$10,$F$10)+'27_SCENARIOS'!$C$29)^('06_CONSTRUCTION'!AQ4-'02_PROJECT_INPUTS'!$C$11)*IF('06_CONSTRUCTION'!AQ4&gt;='06_CONSTRUCTION'!$C$8,'27_SCENARIOS'!$C$30,1)</f>
        <v>10057.1267316067</v>
      </c>
      <c r="AR23" s="56" t="n">
        <f aca="false">$B$10*(1+CHOOSE('01_CONTROL_PANEL'!$C$5,$C$10,$E$10,$F$10)+'27_SCENARIOS'!$C$29)^('06_CONSTRUCTION'!AR4-'02_PROJECT_INPUTS'!$C$11)*IF('06_CONSTRUCTION'!AR4&gt;='06_CONSTRUCTION'!$C$8,'27_SCENARIOS'!$C$30,1)</f>
        <v>10559.983068187</v>
      </c>
    </row>
    <row r="24" customFormat="false" ht="15" hidden="false" customHeight="true" outlineLevel="0" collapsed="false">
      <c r="A24" s="23" t="s">
        <v>496</v>
      </c>
      <c r="B24" s="23" t="s">
        <v>299</v>
      </c>
      <c r="E24" s="56" t="n">
        <f aca="false">$B$11*(1+CHOOSE('01_CONTROL_PANEL'!$C$5,$C$11,$E$11,$F$11)+'27_SCENARIOS'!$C$29)^('06_CONSTRUCTION'!E4-'02_PROJECT_INPUTS'!$C$11)*IF('06_CONSTRUCTION'!E4&gt;='06_CONSTRUCTION'!$C$8,'27_SCENARIOS'!$C$30,1)</f>
        <v>1166</v>
      </c>
      <c r="F24" s="56" t="n">
        <f aca="false">$B$11*(1+CHOOSE('01_CONTROL_PANEL'!$C$5,$C$11,$E$11,$F$11)+'27_SCENARIOS'!$C$29)^('06_CONSTRUCTION'!F4-'02_PROJECT_INPUTS'!$C$11)*IF('06_CONSTRUCTION'!F4&gt;='06_CONSTRUCTION'!$C$8,'27_SCENARIOS'!$C$30,1)</f>
        <v>1235.96</v>
      </c>
      <c r="G24" s="56" t="n">
        <f aca="false">$B$11*(1+CHOOSE('01_CONTROL_PANEL'!$C$5,$C$11,$E$11,$F$11)+'27_SCENARIOS'!$C$29)^('06_CONSTRUCTION'!G4-'02_PROJECT_INPUTS'!$C$11)*IF('06_CONSTRUCTION'!G4&gt;='06_CONSTRUCTION'!$C$8,'27_SCENARIOS'!$C$30,1)</f>
        <v>1310.1176</v>
      </c>
      <c r="H24" s="56" t="n">
        <f aca="false">$B$11*(1+CHOOSE('01_CONTROL_PANEL'!$C$5,$C$11,$E$11,$F$11)+'27_SCENARIOS'!$C$29)^('06_CONSTRUCTION'!H4-'02_PROJECT_INPUTS'!$C$11)*IF('06_CONSTRUCTION'!H4&gt;='06_CONSTRUCTION'!$C$8,'27_SCENARIOS'!$C$30,1)</f>
        <v>1388.724656</v>
      </c>
      <c r="I24" s="56" t="n">
        <f aca="false">$B$11*(1+CHOOSE('01_CONTROL_PANEL'!$C$5,$C$11,$E$11,$F$11)+'27_SCENARIOS'!$C$29)^('06_CONSTRUCTION'!I4-'02_PROJECT_INPUTS'!$C$11)*IF('06_CONSTRUCTION'!I4&gt;='06_CONSTRUCTION'!$C$8,'27_SCENARIOS'!$C$30,1)</f>
        <v>1472.04813536</v>
      </c>
      <c r="J24" s="56" t="n">
        <f aca="false">$B$11*(1+CHOOSE('01_CONTROL_PANEL'!$C$5,$C$11,$E$11,$F$11)+'27_SCENARIOS'!$C$29)^('06_CONSTRUCTION'!J4-'02_PROJECT_INPUTS'!$C$11)*IF('06_CONSTRUCTION'!J4&gt;='06_CONSTRUCTION'!$C$8,'27_SCENARIOS'!$C$30,1)</f>
        <v>1560.3710234816</v>
      </c>
      <c r="K24" s="56" t="n">
        <f aca="false">$B$11*(1+CHOOSE('01_CONTROL_PANEL'!$C$5,$C$11,$E$11,$F$11)+'27_SCENARIOS'!$C$29)^('06_CONSTRUCTION'!K4-'02_PROJECT_INPUTS'!$C$11)*IF('06_CONSTRUCTION'!K4&gt;='06_CONSTRUCTION'!$C$8,'27_SCENARIOS'!$C$30,1)</f>
        <v>1653.9932848905</v>
      </c>
      <c r="L24" s="56" t="n">
        <f aca="false">$B$11*(1+CHOOSE('01_CONTROL_PANEL'!$C$5,$C$11,$E$11,$F$11)+'27_SCENARIOS'!$C$29)^('06_CONSTRUCTION'!L4-'02_PROJECT_INPUTS'!$C$11)*IF('06_CONSTRUCTION'!L4&gt;='06_CONSTRUCTION'!$C$8,'27_SCENARIOS'!$C$30,1)</f>
        <v>1753.23288198393</v>
      </c>
      <c r="M24" s="56" t="n">
        <f aca="false">$B$11*(1+CHOOSE('01_CONTROL_PANEL'!$C$5,$C$11,$E$11,$F$11)+'27_SCENARIOS'!$C$29)^('06_CONSTRUCTION'!M4-'02_PROJECT_INPUTS'!$C$11)*IF('06_CONSTRUCTION'!M4&gt;='06_CONSTRUCTION'!$C$8,'27_SCENARIOS'!$C$30,1)</f>
        <v>1858.42685490296</v>
      </c>
      <c r="N24" s="56" t="n">
        <f aca="false">$B$11*(1+CHOOSE('01_CONTROL_PANEL'!$C$5,$C$11,$E$11,$F$11)+'27_SCENARIOS'!$C$29)^('06_CONSTRUCTION'!N4-'02_PROJECT_INPUTS'!$C$11)*IF('06_CONSTRUCTION'!N4&gt;='06_CONSTRUCTION'!$C$8,'27_SCENARIOS'!$C$30,1)</f>
        <v>1969.93246619714</v>
      </c>
      <c r="O24" s="56" t="n">
        <f aca="false">$B$11*(1+CHOOSE('01_CONTROL_PANEL'!$C$5,$C$11,$E$11,$F$11)+'27_SCENARIOS'!$C$29)^('06_CONSTRUCTION'!O4-'02_PROJECT_INPUTS'!$C$11)*IF('06_CONSTRUCTION'!O4&gt;='06_CONSTRUCTION'!$C$8,'27_SCENARIOS'!$C$30,1)</f>
        <v>2088.12841416897</v>
      </c>
      <c r="P24" s="56" t="n">
        <f aca="false">$B$11*(1+CHOOSE('01_CONTROL_PANEL'!$C$5,$C$11,$E$11,$F$11)+'27_SCENARIOS'!$C$29)^('06_CONSTRUCTION'!P4-'02_PROJECT_INPUTS'!$C$11)*IF('06_CONSTRUCTION'!P4&gt;='06_CONSTRUCTION'!$C$8,'27_SCENARIOS'!$C$30,1)</f>
        <v>2213.41611901911</v>
      </c>
      <c r="Q24" s="56" t="n">
        <f aca="false">$B$11*(1+CHOOSE('01_CONTROL_PANEL'!$C$5,$C$11,$E$11,$F$11)+'27_SCENARIOS'!$C$29)^('06_CONSTRUCTION'!Q4-'02_PROJECT_INPUTS'!$C$11)*IF('06_CONSTRUCTION'!Q4&gt;='06_CONSTRUCTION'!$C$8,'27_SCENARIOS'!$C$30,1)</f>
        <v>2346.22108616025</v>
      </c>
      <c r="R24" s="56" t="n">
        <f aca="false">$B$11*(1+CHOOSE('01_CONTROL_PANEL'!$C$5,$C$11,$E$11,$F$11)+'27_SCENARIOS'!$C$29)^('06_CONSTRUCTION'!R4-'02_PROJECT_INPUTS'!$C$11)*IF('06_CONSTRUCTION'!R4&gt;='06_CONSTRUCTION'!$C$8,'27_SCENARIOS'!$C$30,1)</f>
        <v>2486.99435132987</v>
      </c>
      <c r="S24" s="56" t="n">
        <f aca="false">$B$11*(1+CHOOSE('01_CONTROL_PANEL'!$C$5,$C$11,$E$11,$F$11)+'27_SCENARIOS'!$C$29)^('06_CONSTRUCTION'!S4-'02_PROJECT_INPUTS'!$C$11)*IF('06_CONSTRUCTION'!S4&gt;='06_CONSTRUCTION'!$C$8,'27_SCENARIOS'!$C$30,1)</f>
        <v>2636.21401240966</v>
      </c>
      <c r="T24" s="56" t="n">
        <f aca="false">$B$11*(1+CHOOSE('01_CONTROL_PANEL'!$C$5,$C$11,$E$11,$F$11)+'27_SCENARIOS'!$C$29)^('06_CONSTRUCTION'!T4-'02_PROJECT_INPUTS'!$C$11)*IF('06_CONSTRUCTION'!T4&gt;='06_CONSTRUCTION'!$C$8,'27_SCENARIOS'!$C$30,1)</f>
        <v>2794.38685315424</v>
      </c>
      <c r="U24" s="56" t="n">
        <f aca="false">$B$11*(1+CHOOSE('01_CONTROL_PANEL'!$C$5,$C$11,$E$11,$F$11)+'27_SCENARIOS'!$C$29)^('06_CONSTRUCTION'!U4-'02_PROJECT_INPUTS'!$C$11)*IF('06_CONSTRUCTION'!U4&gt;='06_CONSTRUCTION'!$C$8,'27_SCENARIOS'!$C$30,1)</f>
        <v>2962.0500643435</v>
      </c>
      <c r="V24" s="56" t="n">
        <f aca="false">$B$11*(1+CHOOSE('01_CONTROL_PANEL'!$C$5,$C$11,$E$11,$F$11)+'27_SCENARIOS'!$C$29)^('06_CONSTRUCTION'!V4-'02_PROJECT_INPUTS'!$C$11)*IF('06_CONSTRUCTION'!V4&gt;='06_CONSTRUCTION'!$C$8,'27_SCENARIOS'!$C$30,1)</f>
        <v>3139.77306820411</v>
      </c>
      <c r="W24" s="56" t="n">
        <f aca="false">$B$11*(1+CHOOSE('01_CONTROL_PANEL'!$C$5,$C$11,$E$11,$F$11)+'27_SCENARIOS'!$C$29)^('06_CONSTRUCTION'!W4-'02_PROJECT_INPUTS'!$C$11)*IF('06_CONSTRUCTION'!W4&gt;='06_CONSTRUCTION'!$C$8,'27_SCENARIOS'!$C$30,1)</f>
        <v>3328.15945229635</v>
      </c>
      <c r="X24" s="56" t="n">
        <f aca="false">$B$11*(1+CHOOSE('01_CONTROL_PANEL'!$C$5,$C$11,$E$11,$F$11)+'27_SCENARIOS'!$C$29)^('06_CONSTRUCTION'!X4-'02_PROJECT_INPUTS'!$C$11)*IF('06_CONSTRUCTION'!X4&gt;='06_CONSTRUCTION'!$C$8,'27_SCENARIOS'!$C$30,1)</f>
        <v>3527.84901943413</v>
      </c>
      <c r="Y24" s="56" t="n">
        <f aca="false">$B$11*(1+CHOOSE('01_CONTROL_PANEL'!$C$5,$C$11,$E$11,$F$11)+'27_SCENARIOS'!$C$29)^('06_CONSTRUCTION'!Y4-'02_PROJECT_INPUTS'!$C$11)*IF('06_CONSTRUCTION'!Y4&gt;='06_CONSTRUCTION'!$C$8,'27_SCENARIOS'!$C$30,1)</f>
        <v>3739.51996060018</v>
      </c>
      <c r="Z24" s="56" t="n">
        <f aca="false">$B$11*(1+CHOOSE('01_CONTROL_PANEL'!$C$5,$C$11,$E$11,$F$11)+'27_SCENARIOS'!$C$29)^('06_CONSTRUCTION'!Z4-'02_PROJECT_INPUTS'!$C$11)*IF('06_CONSTRUCTION'!Z4&gt;='06_CONSTRUCTION'!$C$8,'27_SCENARIOS'!$C$30,1)</f>
        <v>3963.89115823619</v>
      </c>
      <c r="AA24" s="56" t="n">
        <f aca="false">$B$11*(1+CHOOSE('01_CONTROL_PANEL'!$C$5,$C$11,$E$11,$F$11)+'27_SCENARIOS'!$C$29)^('06_CONSTRUCTION'!AA4-'02_PROJECT_INPUTS'!$C$11)*IF('06_CONSTRUCTION'!AA4&gt;='06_CONSTRUCTION'!$C$8,'27_SCENARIOS'!$C$30,1)</f>
        <v>4201.72462773036</v>
      </c>
      <c r="AB24" s="56" t="n">
        <f aca="false">$B$11*(1+CHOOSE('01_CONTROL_PANEL'!$C$5,$C$11,$E$11,$F$11)+'27_SCENARIOS'!$C$29)^('06_CONSTRUCTION'!AB4-'02_PROJECT_INPUTS'!$C$11)*IF('06_CONSTRUCTION'!AB4&gt;='06_CONSTRUCTION'!$C$8,'27_SCENARIOS'!$C$30,1)</f>
        <v>4453.82810539419</v>
      </c>
      <c r="AC24" s="56" t="n">
        <f aca="false">$B$11*(1+CHOOSE('01_CONTROL_PANEL'!$C$5,$C$11,$E$11,$F$11)+'27_SCENARIOS'!$C$29)^('06_CONSTRUCTION'!AC4-'02_PROJECT_INPUTS'!$C$11)*IF('06_CONSTRUCTION'!AC4&gt;='06_CONSTRUCTION'!$C$8,'27_SCENARIOS'!$C$30,1)</f>
        <v>4721.05779171784</v>
      </c>
      <c r="AD24" s="56" t="n">
        <f aca="false">$B$11*(1+CHOOSE('01_CONTROL_PANEL'!$C$5,$C$11,$E$11,$F$11)+'27_SCENARIOS'!$C$29)^('06_CONSTRUCTION'!AD4-'02_PROJECT_INPUTS'!$C$11)*IF('06_CONSTRUCTION'!AD4&gt;='06_CONSTRUCTION'!$C$8,'27_SCENARIOS'!$C$30,1)</f>
        <v>5004.32125922091</v>
      </c>
      <c r="AE24" s="56" t="n">
        <f aca="false">$B$11*(1+CHOOSE('01_CONTROL_PANEL'!$C$5,$C$11,$E$11,$F$11)+'27_SCENARIOS'!$C$29)^('06_CONSTRUCTION'!AE4-'02_PROJECT_INPUTS'!$C$11)*IF('06_CONSTRUCTION'!AE4&gt;='06_CONSTRUCTION'!$C$8,'27_SCENARIOS'!$C$30,1)</f>
        <v>5304.58053477416</v>
      </c>
      <c r="AF24" s="56" t="n">
        <f aca="false">$B$11*(1+CHOOSE('01_CONTROL_PANEL'!$C$5,$C$11,$E$11,$F$11)+'27_SCENARIOS'!$C$29)^('06_CONSTRUCTION'!AF4-'02_PROJECT_INPUTS'!$C$11)*IF('06_CONSTRUCTION'!AF4&gt;='06_CONSTRUCTION'!$C$8,'27_SCENARIOS'!$C$30,1)</f>
        <v>5622.85536686061</v>
      </c>
      <c r="AG24" s="56" t="n">
        <f aca="false">$B$11*(1+CHOOSE('01_CONTROL_PANEL'!$C$5,$C$11,$E$11,$F$11)+'27_SCENARIOS'!$C$29)^('06_CONSTRUCTION'!AG4-'02_PROJECT_INPUTS'!$C$11)*IF('06_CONSTRUCTION'!AG4&gt;='06_CONSTRUCTION'!$C$8,'27_SCENARIOS'!$C$30,1)</f>
        <v>5960.22668887225</v>
      </c>
      <c r="AH24" s="56" t="n">
        <f aca="false">$B$11*(1+CHOOSE('01_CONTROL_PANEL'!$C$5,$C$11,$E$11,$F$11)+'27_SCENARIOS'!$C$29)^('06_CONSTRUCTION'!AH4-'02_PROJECT_INPUTS'!$C$11)*IF('06_CONSTRUCTION'!AH4&gt;='06_CONSTRUCTION'!$C$8,'27_SCENARIOS'!$C$30,1)</f>
        <v>6317.84029020459</v>
      </c>
      <c r="AI24" s="56" t="n">
        <f aca="false">$B$11*(1+CHOOSE('01_CONTROL_PANEL'!$C$5,$C$11,$E$11,$F$11)+'27_SCENARIOS'!$C$29)^('06_CONSTRUCTION'!AI4-'02_PROJECT_INPUTS'!$C$11)*IF('06_CONSTRUCTION'!AI4&gt;='06_CONSTRUCTION'!$C$8,'27_SCENARIOS'!$C$30,1)</f>
        <v>6696.91070761686</v>
      </c>
      <c r="AJ24" s="56" t="n">
        <f aca="false">$B$11*(1+CHOOSE('01_CONTROL_PANEL'!$C$5,$C$11,$E$11,$F$11)+'27_SCENARIOS'!$C$29)^('06_CONSTRUCTION'!AJ4-'02_PROJECT_INPUTS'!$C$11)*IF('06_CONSTRUCTION'!AJ4&gt;='06_CONSTRUCTION'!$C$8,'27_SCENARIOS'!$C$30,1)</f>
        <v>7098.72535007387</v>
      </c>
      <c r="AK24" s="56" t="n">
        <f aca="false">$B$11*(1+CHOOSE('01_CONTROL_PANEL'!$C$5,$C$11,$E$11,$F$11)+'27_SCENARIOS'!$C$29)^('06_CONSTRUCTION'!AK4-'02_PROJECT_INPUTS'!$C$11)*IF('06_CONSTRUCTION'!AK4&gt;='06_CONSTRUCTION'!$C$8,'27_SCENARIOS'!$C$30,1)</f>
        <v>7524.64887107831</v>
      </c>
      <c r="AL24" s="56" t="n">
        <f aca="false">$B$11*(1+CHOOSE('01_CONTROL_PANEL'!$C$5,$C$11,$E$11,$F$11)+'27_SCENARIOS'!$C$29)^('06_CONSTRUCTION'!AL4-'02_PROJECT_INPUTS'!$C$11)*IF('06_CONSTRUCTION'!AL4&gt;='06_CONSTRUCTION'!$C$8,'27_SCENARIOS'!$C$30,1)</f>
        <v>7976.127803343</v>
      </c>
      <c r="AM24" s="56" t="n">
        <f aca="false">$B$11*(1+CHOOSE('01_CONTROL_PANEL'!$C$5,$C$11,$E$11,$F$11)+'27_SCENARIOS'!$C$29)^('06_CONSTRUCTION'!AM4-'02_PROJECT_INPUTS'!$C$11)*IF('06_CONSTRUCTION'!AM4&gt;='06_CONSTRUCTION'!$C$8,'27_SCENARIOS'!$C$30,1)</f>
        <v>8454.69547154358</v>
      </c>
      <c r="AN24" s="56" t="n">
        <f aca="false">$B$11*(1+CHOOSE('01_CONTROL_PANEL'!$C$5,$C$11,$E$11,$F$11)+'27_SCENARIOS'!$C$29)^('06_CONSTRUCTION'!AN4-'02_PROJECT_INPUTS'!$C$11)*IF('06_CONSTRUCTION'!AN4&gt;='06_CONSTRUCTION'!$C$8,'27_SCENARIOS'!$C$30,1)</f>
        <v>8961.9771998362</v>
      </c>
      <c r="AO24" s="56" t="n">
        <f aca="false">$B$11*(1+CHOOSE('01_CONTROL_PANEL'!$C$5,$C$11,$E$11,$F$11)+'27_SCENARIOS'!$C$29)^('06_CONSTRUCTION'!AO4-'02_PROJECT_INPUTS'!$C$11)*IF('06_CONSTRUCTION'!AO4&gt;='06_CONSTRUCTION'!$C$8,'27_SCENARIOS'!$C$30,1)</f>
        <v>9499.69583182637</v>
      </c>
      <c r="AP24" s="56" t="n">
        <f aca="false">$B$11*(1+CHOOSE('01_CONTROL_PANEL'!$C$5,$C$11,$E$11,$F$11)+'27_SCENARIOS'!$C$29)^('06_CONSTRUCTION'!AP4-'02_PROJECT_INPUTS'!$C$11)*IF('06_CONSTRUCTION'!AP4&gt;='06_CONSTRUCTION'!$C$8,'27_SCENARIOS'!$C$30,1)</f>
        <v>10069.677581736</v>
      </c>
      <c r="AQ24" s="56" t="n">
        <f aca="false">$B$11*(1+CHOOSE('01_CONTROL_PANEL'!$C$5,$C$11,$E$11,$F$11)+'27_SCENARIOS'!$C$29)^('06_CONSTRUCTION'!AQ4-'02_PROJECT_INPUTS'!$C$11)*IF('06_CONSTRUCTION'!AQ4&gt;='06_CONSTRUCTION'!$C$8,'27_SCENARIOS'!$C$30,1)</f>
        <v>10673.8582366401</v>
      </c>
      <c r="AR24" s="56" t="n">
        <f aca="false">$B$11*(1+CHOOSE('01_CONTROL_PANEL'!$C$5,$C$11,$E$11,$F$11)+'27_SCENARIOS'!$C$29)^('06_CONSTRUCTION'!AR4-'02_PROJECT_INPUTS'!$C$11)*IF('06_CONSTRUCTION'!AR4&gt;='06_CONSTRUCTION'!$C$8,'27_SCENARIOS'!$C$30,1)</f>
        <v>11314.2897308385</v>
      </c>
    </row>
    <row r="25" customFormat="false" ht="15" hidden="false" customHeight="true" outlineLevel="0" collapsed="false">
      <c r="A25" s="23" t="s">
        <v>497</v>
      </c>
      <c r="B25" s="23" t="s">
        <v>299</v>
      </c>
      <c r="E25" s="56" t="n">
        <f aca="false">$B$12*(1+CHOOSE('01_CONTROL_PANEL'!$C$5,$C$12,$E$12,$F$12)+'27_SCENARIOS'!$C$29)^('06_CONSTRUCTION'!E4-'02_PROJECT_INPUTS'!$C$11)*IF('06_CONSTRUCTION'!E4&gt;='06_CONSTRUCTION'!$C$8,'27_SCENARIOS'!$C$30,1)</f>
        <v>275</v>
      </c>
      <c r="F25" s="56" t="n">
        <f aca="false">$B$12*(1+CHOOSE('01_CONTROL_PANEL'!$C$5,$C$12,$E$12,$F$12)+'27_SCENARIOS'!$C$29)^('06_CONSTRUCTION'!F4-'02_PROJECT_INPUTS'!$C$11)*IF('06_CONSTRUCTION'!F4&gt;='06_CONSTRUCTION'!$C$8,'27_SCENARIOS'!$C$30,1)</f>
        <v>302.5</v>
      </c>
      <c r="G25" s="56" t="n">
        <f aca="false">$B$12*(1+CHOOSE('01_CONTROL_PANEL'!$C$5,$C$12,$E$12,$F$12)+'27_SCENARIOS'!$C$29)^('06_CONSTRUCTION'!G4-'02_PROJECT_INPUTS'!$C$11)*IF('06_CONSTRUCTION'!G4&gt;='06_CONSTRUCTION'!$C$8,'27_SCENARIOS'!$C$30,1)</f>
        <v>332.75</v>
      </c>
      <c r="H25" s="56" t="n">
        <f aca="false">$B$12*(1+CHOOSE('01_CONTROL_PANEL'!$C$5,$C$12,$E$12,$F$12)+'27_SCENARIOS'!$C$29)^('06_CONSTRUCTION'!H4-'02_PROJECT_INPUTS'!$C$11)*IF('06_CONSTRUCTION'!H4&gt;='06_CONSTRUCTION'!$C$8,'27_SCENARIOS'!$C$30,1)</f>
        <v>366.025</v>
      </c>
      <c r="I25" s="56" t="n">
        <f aca="false">$B$12*(1+CHOOSE('01_CONTROL_PANEL'!$C$5,$C$12,$E$12,$F$12)+'27_SCENARIOS'!$C$29)^('06_CONSTRUCTION'!I4-'02_PROJECT_INPUTS'!$C$11)*IF('06_CONSTRUCTION'!I4&gt;='06_CONSTRUCTION'!$C$8,'27_SCENARIOS'!$C$30,1)</f>
        <v>402.6275</v>
      </c>
      <c r="J25" s="56" t="n">
        <f aca="false">$B$12*(1+CHOOSE('01_CONTROL_PANEL'!$C$5,$C$12,$E$12,$F$12)+'27_SCENARIOS'!$C$29)^('06_CONSTRUCTION'!J4-'02_PROJECT_INPUTS'!$C$11)*IF('06_CONSTRUCTION'!J4&gt;='06_CONSTRUCTION'!$C$8,'27_SCENARIOS'!$C$30,1)</f>
        <v>442.89025</v>
      </c>
      <c r="K25" s="56" t="n">
        <f aca="false">$B$12*(1+CHOOSE('01_CONTROL_PANEL'!$C$5,$C$12,$E$12,$F$12)+'27_SCENARIOS'!$C$29)^('06_CONSTRUCTION'!K4-'02_PROJECT_INPUTS'!$C$11)*IF('06_CONSTRUCTION'!K4&gt;='06_CONSTRUCTION'!$C$8,'27_SCENARIOS'!$C$30,1)</f>
        <v>487.179275</v>
      </c>
      <c r="L25" s="56" t="n">
        <f aca="false">$B$12*(1+CHOOSE('01_CONTROL_PANEL'!$C$5,$C$12,$E$12,$F$12)+'27_SCENARIOS'!$C$29)^('06_CONSTRUCTION'!L4-'02_PROJECT_INPUTS'!$C$11)*IF('06_CONSTRUCTION'!L4&gt;='06_CONSTRUCTION'!$C$8,'27_SCENARIOS'!$C$30,1)</f>
        <v>535.8972025</v>
      </c>
      <c r="M25" s="56" t="n">
        <f aca="false">$B$12*(1+CHOOSE('01_CONTROL_PANEL'!$C$5,$C$12,$E$12,$F$12)+'27_SCENARIOS'!$C$29)^('06_CONSTRUCTION'!M4-'02_PROJECT_INPUTS'!$C$11)*IF('06_CONSTRUCTION'!M4&gt;='06_CONSTRUCTION'!$C$8,'27_SCENARIOS'!$C$30,1)</f>
        <v>589.486922750001</v>
      </c>
      <c r="N25" s="56" t="n">
        <f aca="false">$B$12*(1+CHOOSE('01_CONTROL_PANEL'!$C$5,$C$12,$E$12,$F$12)+'27_SCENARIOS'!$C$29)^('06_CONSTRUCTION'!N4-'02_PROJECT_INPUTS'!$C$11)*IF('06_CONSTRUCTION'!N4&gt;='06_CONSTRUCTION'!$C$8,'27_SCENARIOS'!$C$30,1)</f>
        <v>648.435615025001</v>
      </c>
      <c r="O25" s="56" t="n">
        <f aca="false">$B$12*(1+CHOOSE('01_CONTROL_PANEL'!$C$5,$C$12,$E$12,$F$12)+'27_SCENARIOS'!$C$29)^('06_CONSTRUCTION'!O4-'02_PROJECT_INPUTS'!$C$11)*IF('06_CONSTRUCTION'!O4&gt;='06_CONSTRUCTION'!$C$8,'27_SCENARIOS'!$C$30,1)</f>
        <v>713.279176527501</v>
      </c>
      <c r="P25" s="56" t="n">
        <f aca="false">$B$12*(1+CHOOSE('01_CONTROL_PANEL'!$C$5,$C$12,$E$12,$F$12)+'27_SCENARIOS'!$C$29)^('06_CONSTRUCTION'!P4-'02_PROJECT_INPUTS'!$C$11)*IF('06_CONSTRUCTION'!P4&gt;='06_CONSTRUCTION'!$C$8,'27_SCENARIOS'!$C$30,1)</f>
        <v>784.607094180251</v>
      </c>
      <c r="Q25" s="56" t="n">
        <f aca="false">$B$12*(1+CHOOSE('01_CONTROL_PANEL'!$C$5,$C$12,$E$12,$F$12)+'27_SCENARIOS'!$C$29)^('06_CONSTRUCTION'!Q4-'02_PROJECT_INPUTS'!$C$11)*IF('06_CONSTRUCTION'!Q4&gt;='06_CONSTRUCTION'!$C$8,'27_SCENARIOS'!$C$30,1)</f>
        <v>863.067803598276</v>
      </c>
      <c r="R25" s="56" t="n">
        <f aca="false">$B$12*(1+CHOOSE('01_CONTROL_PANEL'!$C$5,$C$12,$E$12,$F$12)+'27_SCENARIOS'!$C$29)^('06_CONSTRUCTION'!R4-'02_PROJECT_INPUTS'!$C$11)*IF('06_CONSTRUCTION'!R4&gt;='06_CONSTRUCTION'!$C$8,'27_SCENARIOS'!$C$30,1)</f>
        <v>949.374583958104</v>
      </c>
      <c r="S25" s="56" t="n">
        <f aca="false">$B$12*(1+CHOOSE('01_CONTROL_PANEL'!$C$5,$C$12,$E$12,$F$12)+'27_SCENARIOS'!$C$29)^('06_CONSTRUCTION'!S4-'02_PROJECT_INPUTS'!$C$11)*IF('06_CONSTRUCTION'!S4&gt;='06_CONSTRUCTION'!$C$8,'27_SCENARIOS'!$C$30,1)</f>
        <v>1044.31204235391</v>
      </c>
      <c r="T25" s="56" t="n">
        <f aca="false">$B$12*(1+CHOOSE('01_CONTROL_PANEL'!$C$5,$C$12,$E$12,$F$12)+'27_SCENARIOS'!$C$29)^('06_CONSTRUCTION'!T4-'02_PROJECT_INPUTS'!$C$11)*IF('06_CONSTRUCTION'!T4&gt;='06_CONSTRUCTION'!$C$8,'27_SCENARIOS'!$C$30,1)</f>
        <v>1148.74324658931</v>
      </c>
      <c r="U25" s="56" t="n">
        <f aca="false">$B$12*(1+CHOOSE('01_CONTROL_PANEL'!$C$5,$C$12,$E$12,$F$12)+'27_SCENARIOS'!$C$29)^('06_CONSTRUCTION'!U4-'02_PROJECT_INPUTS'!$C$11)*IF('06_CONSTRUCTION'!U4&gt;='06_CONSTRUCTION'!$C$8,'27_SCENARIOS'!$C$30,1)</f>
        <v>1263.61757124824</v>
      </c>
      <c r="V25" s="56" t="n">
        <f aca="false">$B$12*(1+CHOOSE('01_CONTROL_PANEL'!$C$5,$C$12,$E$12,$F$12)+'27_SCENARIOS'!$C$29)^('06_CONSTRUCTION'!V4-'02_PROJECT_INPUTS'!$C$11)*IF('06_CONSTRUCTION'!V4&gt;='06_CONSTRUCTION'!$C$8,'27_SCENARIOS'!$C$30,1)</f>
        <v>1389.97932837306</v>
      </c>
      <c r="W25" s="56" t="n">
        <f aca="false">$B$12*(1+CHOOSE('01_CONTROL_PANEL'!$C$5,$C$12,$E$12,$F$12)+'27_SCENARIOS'!$C$29)^('06_CONSTRUCTION'!W4-'02_PROJECT_INPUTS'!$C$11)*IF('06_CONSTRUCTION'!W4&gt;='06_CONSTRUCTION'!$C$8,'27_SCENARIOS'!$C$30,1)</f>
        <v>1528.97726121037</v>
      </c>
      <c r="X25" s="56" t="n">
        <f aca="false">$B$12*(1+CHOOSE('01_CONTROL_PANEL'!$C$5,$C$12,$E$12,$F$12)+'27_SCENARIOS'!$C$29)^('06_CONSTRUCTION'!X4-'02_PROJECT_INPUTS'!$C$11)*IF('06_CONSTRUCTION'!X4&gt;='06_CONSTRUCTION'!$C$8,'27_SCENARIOS'!$C$30,1)</f>
        <v>1681.8749873314</v>
      </c>
      <c r="Y25" s="56" t="n">
        <f aca="false">$B$12*(1+CHOOSE('01_CONTROL_PANEL'!$C$5,$C$12,$E$12,$F$12)+'27_SCENARIOS'!$C$29)^('06_CONSTRUCTION'!Y4-'02_PROJECT_INPUTS'!$C$11)*IF('06_CONSTRUCTION'!Y4&gt;='06_CONSTRUCTION'!$C$8,'27_SCENARIOS'!$C$30,1)</f>
        <v>1850.06248606454</v>
      </c>
      <c r="Z25" s="56" t="n">
        <f aca="false">$B$12*(1+CHOOSE('01_CONTROL_PANEL'!$C$5,$C$12,$E$12,$F$12)+'27_SCENARIOS'!$C$29)^('06_CONSTRUCTION'!Z4-'02_PROJECT_INPUTS'!$C$11)*IF('06_CONSTRUCTION'!Z4&gt;='06_CONSTRUCTION'!$C$8,'27_SCENARIOS'!$C$30,1)</f>
        <v>2035.068734671</v>
      </c>
      <c r="AA25" s="56" t="n">
        <f aca="false">$B$12*(1+CHOOSE('01_CONTROL_PANEL'!$C$5,$C$12,$E$12,$F$12)+'27_SCENARIOS'!$C$29)^('06_CONSTRUCTION'!AA4-'02_PROJECT_INPUTS'!$C$11)*IF('06_CONSTRUCTION'!AA4&gt;='06_CONSTRUCTION'!$C$8,'27_SCENARIOS'!$C$30,1)</f>
        <v>2238.5756081381</v>
      </c>
      <c r="AB25" s="56" t="n">
        <f aca="false">$B$12*(1+CHOOSE('01_CONTROL_PANEL'!$C$5,$C$12,$E$12,$F$12)+'27_SCENARIOS'!$C$29)^('06_CONSTRUCTION'!AB4-'02_PROJECT_INPUTS'!$C$11)*IF('06_CONSTRUCTION'!AB4&gt;='06_CONSTRUCTION'!$C$8,'27_SCENARIOS'!$C$30,1)</f>
        <v>2462.43316895191</v>
      </c>
      <c r="AC25" s="56" t="n">
        <f aca="false">$B$12*(1+CHOOSE('01_CONTROL_PANEL'!$C$5,$C$12,$E$12,$F$12)+'27_SCENARIOS'!$C$29)^('06_CONSTRUCTION'!AC4-'02_PROJECT_INPUTS'!$C$11)*IF('06_CONSTRUCTION'!AC4&gt;='06_CONSTRUCTION'!$C$8,'27_SCENARIOS'!$C$30,1)</f>
        <v>2708.6764858471</v>
      </c>
      <c r="AD25" s="56" t="n">
        <f aca="false">$B$12*(1+CHOOSE('01_CONTROL_PANEL'!$C$5,$C$12,$E$12,$F$12)+'27_SCENARIOS'!$C$29)^('06_CONSTRUCTION'!AD4-'02_PROJECT_INPUTS'!$C$11)*IF('06_CONSTRUCTION'!AD4&gt;='06_CONSTRUCTION'!$C$8,'27_SCENARIOS'!$C$30,1)</f>
        <v>2979.54413443181</v>
      </c>
      <c r="AE25" s="56" t="n">
        <f aca="false">$B$12*(1+CHOOSE('01_CONTROL_PANEL'!$C$5,$C$12,$E$12,$F$12)+'27_SCENARIOS'!$C$29)^('06_CONSTRUCTION'!AE4-'02_PROJECT_INPUTS'!$C$11)*IF('06_CONSTRUCTION'!AE4&gt;='06_CONSTRUCTION'!$C$8,'27_SCENARIOS'!$C$30,1)</f>
        <v>3277.49854787499</v>
      </c>
      <c r="AF25" s="56" t="n">
        <f aca="false">$B$12*(1+CHOOSE('01_CONTROL_PANEL'!$C$5,$C$12,$E$12,$F$12)+'27_SCENARIOS'!$C$29)^('06_CONSTRUCTION'!AF4-'02_PROJECT_INPUTS'!$C$11)*IF('06_CONSTRUCTION'!AF4&gt;='06_CONSTRUCTION'!$C$8,'27_SCENARIOS'!$C$30,1)</f>
        <v>3605.24840266249</v>
      </c>
      <c r="AG25" s="56" t="n">
        <f aca="false">$B$12*(1+CHOOSE('01_CONTROL_PANEL'!$C$5,$C$12,$E$12,$F$12)+'27_SCENARIOS'!$C$29)^('06_CONSTRUCTION'!AG4-'02_PROJECT_INPUTS'!$C$11)*IF('06_CONSTRUCTION'!AG4&gt;='06_CONSTRUCTION'!$C$8,'27_SCENARIOS'!$C$30,1)</f>
        <v>3965.77324292874</v>
      </c>
      <c r="AH25" s="56" t="n">
        <f aca="false">$B$12*(1+CHOOSE('01_CONTROL_PANEL'!$C$5,$C$12,$E$12,$F$12)+'27_SCENARIOS'!$C$29)^('06_CONSTRUCTION'!AH4-'02_PROJECT_INPUTS'!$C$11)*IF('06_CONSTRUCTION'!AH4&gt;='06_CONSTRUCTION'!$C$8,'27_SCENARIOS'!$C$30,1)</f>
        <v>4362.35056722161</v>
      </c>
      <c r="AI25" s="56" t="n">
        <f aca="false">$B$12*(1+CHOOSE('01_CONTROL_PANEL'!$C$5,$C$12,$E$12,$F$12)+'27_SCENARIOS'!$C$29)^('06_CONSTRUCTION'!AI4-'02_PROJECT_INPUTS'!$C$11)*IF('06_CONSTRUCTION'!AI4&gt;='06_CONSTRUCTION'!$C$8,'27_SCENARIOS'!$C$30,1)</f>
        <v>4798.58562394377</v>
      </c>
      <c r="AJ25" s="56" t="n">
        <f aca="false">$B$12*(1+CHOOSE('01_CONTROL_PANEL'!$C$5,$C$12,$E$12,$F$12)+'27_SCENARIOS'!$C$29)^('06_CONSTRUCTION'!AJ4-'02_PROJECT_INPUTS'!$C$11)*IF('06_CONSTRUCTION'!AJ4&gt;='06_CONSTRUCTION'!$C$8,'27_SCENARIOS'!$C$30,1)</f>
        <v>5278.44418633815</v>
      </c>
      <c r="AK25" s="56" t="n">
        <f aca="false">$B$12*(1+CHOOSE('01_CONTROL_PANEL'!$C$5,$C$12,$E$12,$F$12)+'27_SCENARIOS'!$C$29)^('06_CONSTRUCTION'!AK4-'02_PROJECT_INPUTS'!$C$11)*IF('06_CONSTRUCTION'!AK4&gt;='06_CONSTRUCTION'!$C$8,'27_SCENARIOS'!$C$30,1)</f>
        <v>5806.28860497197</v>
      </c>
      <c r="AL25" s="56" t="n">
        <f aca="false">$B$12*(1+CHOOSE('01_CONTROL_PANEL'!$C$5,$C$12,$E$12,$F$12)+'27_SCENARIOS'!$C$29)^('06_CONSTRUCTION'!AL4-'02_PROJECT_INPUTS'!$C$11)*IF('06_CONSTRUCTION'!AL4&gt;='06_CONSTRUCTION'!$C$8,'27_SCENARIOS'!$C$30,1)</f>
        <v>6386.91746546917</v>
      </c>
      <c r="AM25" s="56" t="n">
        <f aca="false">$B$12*(1+CHOOSE('01_CONTROL_PANEL'!$C$5,$C$12,$E$12,$F$12)+'27_SCENARIOS'!$C$29)^('06_CONSTRUCTION'!AM4-'02_PROJECT_INPUTS'!$C$11)*IF('06_CONSTRUCTION'!AM4&gt;='06_CONSTRUCTION'!$C$8,'27_SCENARIOS'!$C$30,1)</f>
        <v>7025.60921201608</v>
      </c>
      <c r="AN25" s="56" t="n">
        <f aca="false">$B$12*(1+CHOOSE('01_CONTROL_PANEL'!$C$5,$C$12,$E$12,$F$12)+'27_SCENARIOS'!$C$29)^('06_CONSTRUCTION'!AN4-'02_PROJECT_INPUTS'!$C$11)*IF('06_CONSTRUCTION'!AN4&gt;='06_CONSTRUCTION'!$C$8,'27_SCENARIOS'!$C$30,1)</f>
        <v>7728.17013321769</v>
      </c>
      <c r="AO25" s="56" t="n">
        <f aca="false">$B$12*(1+CHOOSE('01_CONTROL_PANEL'!$C$5,$C$12,$E$12,$F$12)+'27_SCENARIOS'!$C$29)^('06_CONSTRUCTION'!AO4-'02_PROJECT_INPUTS'!$C$11)*IF('06_CONSTRUCTION'!AO4&gt;='06_CONSTRUCTION'!$C$8,'27_SCENARIOS'!$C$30,1)</f>
        <v>8500.98714653946</v>
      </c>
      <c r="AP25" s="56" t="n">
        <f aca="false">$B$12*(1+CHOOSE('01_CONTROL_PANEL'!$C$5,$C$12,$E$12,$F$12)+'27_SCENARIOS'!$C$29)^('06_CONSTRUCTION'!AP4-'02_PROJECT_INPUTS'!$C$11)*IF('06_CONSTRUCTION'!AP4&gt;='06_CONSTRUCTION'!$C$8,'27_SCENARIOS'!$C$30,1)</f>
        <v>9351.08586119341</v>
      </c>
      <c r="AQ25" s="56" t="n">
        <f aca="false">$B$12*(1+CHOOSE('01_CONTROL_PANEL'!$C$5,$C$12,$E$12,$F$12)+'27_SCENARIOS'!$C$29)^('06_CONSTRUCTION'!AQ4-'02_PROJECT_INPUTS'!$C$11)*IF('06_CONSTRUCTION'!AQ4&gt;='06_CONSTRUCTION'!$C$8,'27_SCENARIOS'!$C$30,1)</f>
        <v>10286.1944473127</v>
      </c>
      <c r="AR25" s="56" t="n">
        <f aca="false">$B$12*(1+CHOOSE('01_CONTROL_PANEL'!$C$5,$C$12,$E$12,$F$12)+'27_SCENARIOS'!$C$29)^('06_CONSTRUCTION'!AR4-'02_PROJECT_INPUTS'!$C$11)*IF('06_CONSTRUCTION'!AR4&gt;='06_CONSTRUCTION'!$C$8,'27_SCENARIOS'!$C$30,1)</f>
        <v>11314.813892044</v>
      </c>
    </row>
    <row r="26" customFormat="false" ht="15" hidden="false" customHeight="true" outlineLevel="0" collapsed="false">
      <c r="A26" s="23" t="s">
        <v>498</v>
      </c>
      <c r="B26" s="23" t="s">
        <v>299</v>
      </c>
      <c r="E26" s="56" t="n">
        <f aca="false">$B$13*(1+CHOOSE('01_CONTROL_PANEL'!$C$5,$C$13,$E$13,$F$13)+'27_SCENARIOS'!$C$29)^('06_CONSTRUCTION'!E4-'02_PROJECT_INPUTS'!$C$11)*IF('06_CONSTRUCTION'!E4&gt;='06_CONSTRUCTION'!$C$8,'27_SCENARIOS'!$C$30,1)</f>
        <v>468</v>
      </c>
      <c r="F26" s="56" t="n">
        <f aca="false">$B$13*(1+CHOOSE('01_CONTROL_PANEL'!$C$5,$C$13,$E$13,$F$13)+'27_SCENARIOS'!$C$29)^('06_CONSTRUCTION'!F4-'02_PROJECT_INPUTS'!$C$11)*IF('06_CONSTRUCTION'!F4&gt;='06_CONSTRUCTION'!$C$8,'27_SCENARIOS'!$C$30,1)</f>
        <v>486.72</v>
      </c>
      <c r="G26" s="56" t="n">
        <f aca="false">$B$13*(1+CHOOSE('01_CONTROL_PANEL'!$C$5,$C$13,$E$13,$F$13)+'27_SCENARIOS'!$C$29)^('06_CONSTRUCTION'!G4-'02_PROJECT_INPUTS'!$C$11)*IF('06_CONSTRUCTION'!G4&gt;='06_CONSTRUCTION'!$C$8,'27_SCENARIOS'!$C$30,1)</f>
        <v>506.1888</v>
      </c>
      <c r="H26" s="56" t="n">
        <f aca="false">$B$13*(1+CHOOSE('01_CONTROL_PANEL'!$C$5,$C$13,$E$13,$F$13)+'27_SCENARIOS'!$C$29)^('06_CONSTRUCTION'!H4-'02_PROJECT_INPUTS'!$C$11)*IF('06_CONSTRUCTION'!H4&gt;='06_CONSTRUCTION'!$C$8,'27_SCENARIOS'!$C$30,1)</f>
        <v>526.436352</v>
      </c>
      <c r="I26" s="56" t="n">
        <f aca="false">$B$13*(1+CHOOSE('01_CONTROL_PANEL'!$C$5,$C$13,$E$13,$F$13)+'27_SCENARIOS'!$C$29)^('06_CONSTRUCTION'!I4-'02_PROJECT_INPUTS'!$C$11)*IF('06_CONSTRUCTION'!I4&gt;='06_CONSTRUCTION'!$C$8,'27_SCENARIOS'!$C$30,1)</f>
        <v>547.49380608</v>
      </c>
      <c r="J26" s="56" t="n">
        <f aca="false">$B$13*(1+CHOOSE('01_CONTROL_PANEL'!$C$5,$C$13,$E$13,$F$13)+'27_SCENARIOS'!$C$29)^('06_CONSTRUCTION'!J4-'02_PROJECT_INPUTS'!$C$11)*IF('06_CONSTRUCTION'!J4&gt;='06_CONSTRUCTION'!$C$8,'27_SCENARIOS'!$C$30,1)</f>
        <v>569.3935583232</v>
      </c>
      <c r="K26" s="56" t="n">
        <f aca="false">$B$13*(1+CHOOSE('01_CONTROL_PANEL'!$C$5,$C$13,$E$13,$F$13)+'27_SCENARIOS'!$C$29)^('06_CONSTRUCTION'!K4-'02_PROJECT_INPUTS'!$C$11)*IF('06_CONSTRUCTION'!K4&gt;='06_CONSTRUCTION'!$C$8,'27_SCENARIOS'!$C$30,1)</f>
        <v>592.169300656128</v>
      </c>
      <c r="L26" s="56" t="n">
        <f aca="false">$B$13*(1+CHOOSE('01_CONTROL_PANEL'!$C$5,$C$13,$E$13,$F$13)+'27_SCENARIOS'!$C$29)^('06_CONSTRUCTION'!L4-'02_PROJECT_INPUTS'!$C$11)*IF('06_CONSTRUCTION'!L4&gt;='06_CONSTRUCTION'!$C$8,'27_SCENARIOS'!$C$30,1)</f>
        <v>615.856072682373</v>
      </c>
      <c r="M26" s="56" t="n">
        <f aca="false">$B$13*(1+CHOOSE('01_CONTROL_PANEL'!$C$5,$C$13,$E$13,$F$13)+'27_SCENARIOS'!$C$29)^('06_CONSTRUCTION'!M4-'02_PROJECT_INPUTS'!$C$11)*IF('06_CONSTRUCTION'!M4&gt;='06_CONSTRUCTION'!$C$8,'27_SCENARIOS'!$C$30,1)</f>
        <v>640.490315589668</v>
      </c>
      <c r="N26" s="56" t="n">
        <f aca="false">$B$13*(1+CHOOSE('01_CONTROL_PANEL'!$C$5,$C$13,$E$13,$F$13)+'27_SCENARIOS'!$C$29)^('06_CONSTRUCTION'!N4-'02_PROJECT_INPUTS'!$C$11)*IF('06_CONSTRUCTION'!N4&gt;='06_CONSTRUCTION'!$C$8,'27_SCENARIOS'!$C$30,1)</f>
        <v>666.109928213255</v>
      </c>
      <c r="O26" s="56" t="n">
        <f aca="false">$B$13*(1+CHOOSE('01_CONTROL_PANEL'!$C$5,$C$13,$E$13,$F$13)+'27_SCENARIOS'!$C$29)^('06_CONSTRUCTION'!O4-'02_PROJECT_INPUTS'!$C$11)*IF('06_CONSTRUCTION'!O4&gt;='06_CONSTRUCTION'!$C$8,'27_SCENARIOS'!$C$30,1)</f>
        <v>692.754325341785</v>
      </c>
      <c r="P26" s="56" t="n">
        <f aca="false">$B$13*(1+CHOOSE('01_CONTROL_PANEL'!$C$5,$C$13,$E$13,$F$13)+'27_SCENARIOS'!$C$29)^('06_CONSTRUCTION'!P4-'02_PROJECT_INPUTS'!$C$11)*IF('06_CONSTRUCTION'!P4&gt;='06_CONSTRUCTION'!$C$8,'27_SCENARIOS'!$C$30,1)</f>
        <v>720.464498355457</v>
      </c>
      <c r="Q26" s="56" t="n">
        <f aca="false">$B$13*(1+CHOOSE('01_CONTROL_PANEL'!$C$5,$C$13,$E$13,$F$13)+'27_SCENARIOS'!$C$29)^('06_CONSTRUCTION'!Q4-'02_PROJECT_INPUTS'!$C$11)*IF('06_CONSTRUCTION'!Q4&gt;='06_CONSTRUCTION'!$C$8,'27_SCENARIOS'!$C$30,1)</f>
        <v>749.283078289675</v>
      </c>
      <c r="R26" s="56" t="n">
        <f aca="false">$B$13*(1+CHOOSE('01_CONTROL_PANEL'!$C$5,$C$13,$E$13,$F$13)+'27_SCENARIOS'!$C$29)^('06_CONSTRUCTION'!R4-'02_PROJECT_INPUTS'!$C$11)*IF('06_CONSTRUCTION'!R4&gt;='06_CONSTRUCTION'!$C$8,'27_SCENARIOS'!$C$30,1)</f>
        <v>779.254401421262</v>
      </c>
      <c r="S26" s="56" t="n">
        <f aca="false">$B$13*(1+CHOOSE('01_CONTROL_PANEL'!$C$5,$C$13,$E$13,$F$13)+'27_SCENARIOS'!$C$29)^('06_CONSTRUCTION'!S4-'02_PROJECT_INPUTS'!$C$11)*IF('06_CONSTRUCTION'!S4&gt;='06_CONSTRUCTION'!$C$8,'27_SCENARIOS'!$C$30,1)</f>
        <v>810.424577478112</v>
      </c>
      <c r="T26" s="56" t="n">
        <f aca="false">$B$13*(1+CHOOSE('01_CONTROL_PANEL'!$C$5,$C$13,$E$13,$F$13)+'27_SCENARIOS'!$C$29)^('06_CONSTRUCTION'!T4-'02_PROJECT_INPUTS'!$C$11)*IF('06_CONSTRUCTION'!T4&gt;='06_CONSTRUCTION'!$C$8,'27_SCENARIOS'!$C$30,1)</f>
        <v>842.841560577237</v>
      </c>
      <c r="U26" s="56" t="n">
        <f aca="false">$B$13*(1+CHOOSE('01_CONTROL_PANEL'!$C$5,$C$13,$E$13,$F$13)+'27_SCENARIOS'!$C$29)^('06_CONSTRUCTION'!U4-'02_PROJECT_INPUTS'!$C$11)*IF('06_CONSTRUCTION'!U4&gt;='06_CONSTRUCTION'!$C$8,'27_SCENARIOS'!$C$30,1)</f>
        <v>876.555223000327</v>
      </c>
      <c r="V26" s="56" t="n">
        <f aca="false">$B$13*(1+CHOOSE('01_CONTROL_PANEL'!$C$5,$C$13,$E$13,$F$13)+'27_SCENARIOS'!$C$29)^('06_CONSTRUCTION'!V4-'02_PROJECT_INPUTS'!$C$11)*IF('06_CONSTRUCTION'!V4&gt;='06_CONSTRUCTION'!$C$8,'27_SCENARIOS'!$C$30,1)</f>
        <v>911.61743192034</v>
      </c>
      <c r="W26" s="56" t="n">
        <f aca="false">$B$13*(1+CHOOSE('01_CONTROL_PANEL'!$C$5,$C$13,$E$13,$F$13)+'27_SCENARIOS'!$C$29)^('06_CONSTRUCTION'!W4-'02_PROJECT_INPUTS'!$C$11)*IF('06_CONSTRUCTION'!W4&gt;='06_CONSTRUCTION'!$C$8,'27_SCENARIOS'!$C$30,1)</f>
        <v>948.082129197153</v>
      </c>
      <c r="X26" s="56" t="n">
        <f aca="false">$B$13*(1+CHOOSE('01_CONTROL_PANEL'!$C$5,$C$13,$E$13,$F$13)+'27_SCENARIOS'!$C$29)^('06_CONSTRUCTION'!X4-'02_PROJECT_INPUTS'!$C$11)*IF('06_CONSTRUCTION'!X4&gt;='06_CONSTRUCTION'!$C$8,'27_SCENARIOS'!$C$30,1)</f>
        <v>986.005414365039</v>
      </c>
      <c r="Y26" s="56" t="n">
        <f aca="false">$B$13*(1+CHOOSE('01_CONTROL_PANEL'!$C$5,$C$13,$E$13,$F$13)+'27_SCENARIOS'!$C$29)^('06_CONSTRUCTION'!Y4-'02_PROJECT_INPUTS'!$C$11)*IF('06_CONSTRUCTION'!Y4&gt;='06_CONSTRUCTION'!$C$8,'27_SCENARIOS'!$C$30,1)</f>
        <v>1025.44563093964</v>
      </c>
      <c r="Z26" s="56" t="n">
        <f aca="false">$B$13*(1+CHOOSE('01_CONTROL_PANEL'!$C$5,$C$13,$E$13,$F$13)+'27_SCENARIOS'!$C$29)^('06_CONSTRUCTION'!Z4-'02_PROJECT_INPUTS'!$C$11)*IF('06_CONSTRUCTION'!Z4&gt;='06_CONSTRUCTION'!$C$8,'27_SCENARIOS'!$C$30,1)</f>
        <v>1066.46345617723</v>
      </c>
      <c r="AA26" s="56" t="n">
        <f aca="false">$B$13*(1+CHOOSE('01_CONTROL_PANEL'!$C$5,$C$13,$E$13,$F$13)+'27_SCENARIOS'!$C$29)^('06_CONSTRUCTION'!AA4-'02_PROJECT_INPUTS'!$C$11)*IF('06_CONSTRUCTION'!AA4&gt;='06_CONSTRUCTION'!$C$8,'27_SCENARIOS'!$C$30,1)</f>
        <v>1109.12199442432</v>
      </c>
      <c r="AB26" s="56" t="n">
        <f aca="false">$B$13*(1+CHOOSE('01_CONTROL_PANEL'!$C$5,$C$13,$E$13,$F$13)+'27_SCENARIOS'!$C$29)^('06_CONSTRUCTION'!AB4-'02_PROJECT_INPUTS'!$C$11)*IF('06_CONSTRUCTION'!AB4&gt;='06_CONSTRUCTION'!$C$8,'27_SCENARIOS'!$C$30,1)</f>
        <v>1153.48687420129</v>
      </c>
      <c r="AC26" s="56" t="n">
        <f aca="false">$B$13*(1+CHOOSE('01_CONTROL_PANEL'!$C$5,$C$13,$E$13,$F$13)+'27_SCENARIOS'!$C$29)^('06_CONSTRUCTION'!AC4-'02_PROJECT_INPUTS'!$C$11)*IF('06_CONSTRUCTION'!AC4&gt;='06_CONSTRUCTION'!$C$8,'27_SCENARIOS'!$C$30,1)</f>
        <v>1199.62634916934</v>
      </c>
      <c r="AD26" s="56" t="n">
        <f aca="false">$B$13*(1+CHOOSE('01_CONTROL_PANEL'!$C$5,$C$13,$E$13,$F$13)+'27_SCENARIOS'!$C$29)^('06_CONSTRUCTION'!AD4-'02_PROJECT_INPUTS'!$C$11)*IF('06_CONSTRUCTION'!AD4&gt;='06_CONSTRUCTION'!$C$8,'27_SCENARIOS'!$C$30,1)</f>
        <v>1247.61140313611</v>
      </c>
      <c r="AE26" s="56" t="n">
        <f aca="false">$B$13*(1+CHOOSE('01_CONTROL_PANEL'!$C$5,$C$13,$E$13,$F$13)+'27_SCENARIOS'!$C$29)^('06_CONSTRUCTION'!AE4-'02_PROJECT_INPUTS'!$C$11)*IF('06_CONSTRUCTION'!AE4&gt;='06_CONSTRUCTION'!$C$8,'27_SCENARIOS'!$C$30,1)</f>
        <v>1297.51585926156</v>
      </c>
      <c r="AF26" s="56" t="n">
        <f aca="false">$B$13*(1+CHOOSE('01_CONTROL_PANEL'!$C$5,$C$13,$E$13,$F$13)+'27_SCENARIOS'!$C$29)^('06_CONSTRUCTION'!AF4-'02_PROJECT_INPUTS'!$C$11)*IF('06_CONSTRUCTION'!AF4&gt;='06_CONSTRUCTION'!$C$8,'27_SCENARIOS'!$C$30,1)</f>
        <v>1349.41649363202</v>
      </c>
      <c r="AG26" s="56" t="n">
        <f aca="false">$B$13*(1+CHOOSE('01_CONTROL_PANEL'!$C$5,$C$13,$E$13,$F$13)+'27_SCENARIOS'!$C$29)^('06_CONSTRUCTION'!AG4-'02_PROJECT_INPUTS'!$C$11)*IF('06_CONSTRUCTION'!AG4&gt;='06_CONSTRUCTION'!$C$8,'27_SCENARIOS'!$C$30,1)</f>
        <v>1403.3931533773</v>
      </c>
      <c r="AH26" s="56" t="n">
        <f aca="false">$B$13*(1+CHOOSE('01_CONTROL_PANEL'!$C$5,$C$13,$E$13,$F$13)+'27_SCENARIOS'!$C$29)^('06_CONSTRUCTION'!AH4-'02_PROJECT_INPUTS'!$C$11)*IF('06_CONSTRUCTION'!AH4&gt;='06_CONSTRUCTION'!$C$8,'27_SCENARIOS'!$C$30,1)</f>
        <v>1459.52887951239</v>
      </c>
      <c r="AI26" s="56" t="n">
        <f aca="false">$B$13*(1+CHOOSE('01_CONTROL_PANEL'!$C$5,$C$13,$E$13,$F$13)+'27_SCENARIOS'!$C$29)^('06_CONSTRUCTION'!AI4-'02_PROJECT_INPUTS'!$C$11)*IF('06_CONSTRUCTION'!AI4&gt;='06_CONSTRUCTION'!$C$8,'27_SCENARIOS'!$C$30,1)</f>
        <v>1517.91003469289</v>
      </c>
      <c r="AJ26" s="56" t="n">
        <f aca="false">$B$13*(1+CHOOSE('01_CONTROL_PANEL'!$C$5,$C$13,$E$13,$F$13)+'27_SCENARIOS'!$C$29)^('06_CONSTRUCTION'!AJ4-'02_PROJECT_INPUTS'!$C$11)*IF('06_CONSTRUCTION'!AJ4&gt;='06_CONSTRUCTION'!$C$8,'27_SCENARIOS'!$C$30,1)</f>
        <v>1578.62643608061</v>
      </c>
      <c r="AK26" s="56" t="n">
        <f aca="false">$B$13*(1+CHOOSE('01_CONTROL_PANEL'!$C$5,$C$13,$E$13,$F$13)+'27_SCENARIOS'!$C$29)^('06_CONSTRUCTION'!AK4-'02_PROJECT_INPUTS'!$C$11)*IF('06_CONSTRUCTION'!AK4&gt;='06_CONSTRUCTION'!$C$8,'27_SCENARIOS'!$C$30,1)</f>
        <v>1641.77149352383</v>
      </c>
      <c r="AL26" s="56" t="n">
        <f aca="false">$B$13*(1+CHOOSE('01_CONTROL_PANEL'!$C$5,$C$13,$E$13,$F$13)+'27_SCENARIOS'!$C$29)^('06_CONSTRUCTION'!AL4-'02_PROJECT_INPUTS'!$C$11)*IF('06_CONSTRUCTION'!AL4&gt;='06_CONSTRUCTION'!$C$8,'27_SCENARIOS'!$C$30,1)</f>
        <v>1707.44235326478</v>
      </c>
      <c r="AM26" s="56" t="n">
        <f aca="false">$B$13*(1+CHOOSE('01_CONTROL_PANEL'!$C$5,$C$13,$E$13,$F$13)+'27_SCENARIOS'!$C$29)^('06_CONSTRUCTION'!AM4-'02_PROJECT_INPUTS'!$C$11)*IF('06_CONSTRUCTION'!AM4&gt;='06_CONSTRUCTION'!$C$8,'27_SCENARIOS'!$C$30,1)</f>
        <v>1775.74004739537</v>
      </c>
      <c r="AN26" s="56" t="n">
        <f aca="false">$B$13*(1+CHOOSE('01_CONTROL_PANEL'!$C$5,$C$13,$E$13,$F$13)+'27_SCENARIOS'!$C$29)^('06_CONSTRUCTION'!AN4-'02_PROJECT_INPUTS'!$C$11)*IF('06_CONSTRUCTION'!AN4&gt;='06_CONSTRUCTION'!$C$8,'27_SCENARIOS'!$C$30,1)</f>
        <v>1846.76964929119</v>
      </c>
      <c r="AO26" s="56" t="n">
        <f aca="false">$B$13*(1+CHOOSE('01_CONTROL_PANEL'!$C$5,$C$13,$E$13,$F$13)+'27_SCENARIOS'!$C$29)^('06_CONSTRUCTION'!AO4-'02_PROJECT_INPUTS'!$C$11)*IF('06_CONSTRUCTION'!AO4&gt;='06_CONSTRUCTION'!$C$8,'27_SCENARIOS'!$C$30,1)</f>
        <v>1920.64043526284</v>
      </c>
      <c r="AP26" s="56" t="n">
        <f aca="false">$B$13*(1+CHOOSE('01_CONTROL_PANEL'!$C$5,$C$13,$E$13,$F$13)+'27_SCENARIOS'!$C$29)^('06_CONSTRUCTION'!AP4-'02_PROJECT_INPUTS'!$C$11)*IF('06_CONSTRUCTION'!AP4&gt;='06_CONSTRUCTION'!$C$8,'27_SCENARIOS'!$C$30,1)</f>
        <v>1997.46605267335</v>
      </c>
      <c r="AQ26" s="56" t="n">
        <f aca="false">$B$13*(1+CHOOSE('01_CONTROL_PANEL'!$C$5,$C$13,$E$13,$F$13)+'27_SCENARIOS'!$C$29)^('06_CONSTRUCTION'!AQ4-'02_PROJECT_INPUTS'!$C$11)*IF('06_CONSTRUCTION'!AQ4&gt;='06_CONSTRUCTION'!$C$8,'27_SCENARIOS'!$C$30,1)</f>
        <v>2077.36469478028</v>
      </c>
      <c r="AR26" s="56" t="n">
        <f aca="false">$B$13*(1+CHOOSE('01_CONTROL_PANEL'!$C$5,$C$13,$E$13,$F$13)+'27_SCENARIOS'!$C$29)^('06_CONSTRUCTION'!AR4-'02_PROJECT_INPUTS'!$C$11)*IF('06_CONSTRUCTION'!AR4&gt;='06_CONSTRUCTION'!$C$8,'27_SCENARIOS'!$C$30,1)</f>
        <v>2160.4592825715</v>
      </c>
    </row>
    <row r="27" customFormat="false" ht="15" hidden="false" customHeight="true" outlineLevel="0" collapsed="false">
      <c r="A27" s="19" t="s">
        <v>511</v>
      </c>
      <c r="B27" s="23" t="s">
        <v>299</v>
      </c>
      <c r="E27" s="64" t="n">
        <f aca="false">'10_DEMAND'!E21+'10_DEMAND'!E22+'10_DEMAND'!E23+'10_DEMAND'!E24+'10_DEMAND'!E25+'10_DEMAND'!E26</f>
        <v>7750</v>
      </c>
      <c r="F27" s="64" t="n">
        <f aca="false">'10_DEMAND'!F21+'10_DEMAND'!F22+'10_DEMAND'!F23+'10_DEMAND'!F24+'10_DEMAND'!F25+'10_DEMAND'!F26</f>
        <v>8228.71</v>
      </c>
      <c r="G27" s="64" t="n">
        <f aca="false">'10_DEMAND'!G21+'10_DEMAND'!G22+'10_DEMAND'!G23+'10_DEMAND'!G24+'10_DEMAND'!G25+'10_DEMAND'!G26</f>
        <v>8738.0281</v>
      </c>
      <c r="H27" s="64" t="n">
        <f aca="false">'10_DEMAND'!H21+'10_DEMAND'!H22+'10_DEMAND'!H23+'10_DEMAND'!H24+'10_DEMAND'!H25+'10_DEMAND'!H26</f>
        <v>9279.982753</v>
      </c>
      <c r="I27" s="64" t="n">
        <f aca="false">'10_DEMAND'!I21+'10_DEMAND'!I22+'10_DEMAND'!I23+'10_DEMAND'!I24+'10_DEMAND'!I25+'10_DEMAND'!I26</f>
        <v>9856.74209365</v>
      </c>
      <c r="J27" s="64" t="n">
        <f aca="false">'10_DEMAND'!J21+'10_DEMAND'!J22+'10_DEMAND'!J23+'10_DEMAND'!J24+'10_DEMAND'!J25+'10_DEMAND'!J26</f>
        <v>10470.6239647081</v>
      </c>
      <c r="K27" s="64" t="n">
        <f aca="false">'10_DEMAND'!K21+'10_DEMAND'!K22+'10_DEMAND'!K23+'10_DEMAND'!K24+'10_DEMAND'!K25+'10_DEMAND'!K26</f>
        <v>11124.1066959628</v>
      </c>
      <c r="L27" s="64" t="n">
        <f aca="false">'10_DEMAND'!L21+'10_DEMAND'!L22+'10_DEMAND'!L23+'10_DEMAND'!L24+'10_DEMAND'!L25+'10_DEMAND'!L26</f>
        <v>11819.8406947561</v>
      </c>
      <c r="M27" s="64" t="n">
        <f aca="false">'10_DEMAND'!M21+'10_DEMAND'!M22+'10_DEMAND'!M23+'10_DEMAND'!M24+'10_DEMAND'!M25+'10_DEMAND'!M26</f>
        <v>12560.6609121066</v>
      </c>
      <c r="N27" s="64" t="n">
        <f aca="false">'10_DEMAND'!N21+'10_DEMAND'!N22+'10_DEMAND'!N23+'10_DEMAND'!N24+'10_DEMAND'!N25+'10_DEMAND'!N26</f>
        <v>13349.6002537144</v>
      </c>
      <c r="O27" s="64" t="n">
        <f aca="false">'10_DEMAND'!O21+'10_DEMAND'!O22+'10_DEMAND'!O23+'10_DEMAND'!O24+'10_DEMAND'!O25+'10_DEMAND'!O26</f>
        <v>14189.9040108619</v>
      </c>
      <c r="P27" s="64" t="n">
        <f aca="false">'10_DEMAND'!P21+'10_DEMAND'!P22+'10_DEMAND'!P23+'10_DEMAND'!P24+'10_DEMAND'!P25+'10_DEMAND'!P26</f>
        <v>15085.0453924559</v>
      </c>
      <c r="Q27" s="64" t="n">
        <f aca="false">'10_DEMAND'!Q21+'10_DEMAND'!Q22+'10_DEMAND'!Q23+'10_DEMAND'!Q24+'10_DEMAND'!Q25+'10_DEMAND'!Q26</f>
        <v>16038.742246226</v>
      </c>
      <c r="R27" s="64" t="n">
        <f aca="false">'10_DEMAND'!R21+'10_DEMAND'!R22+'10_DEMAND'!R23+'10_DEMAND'!R24+'10_DEMAND'!R25+'10_DEMAND'!R26</f>
        <v>17054.9750644478</v>
      </c>
      <c r="S27" s="64" t="n">
        <f aca="false">'10_DEMAND'!S21+'10_DEMAND'!S22+'10_DEMAND'!S23+'10_DEMAND'!S24+'10_DEMAND'!S25+'10_DEMAND'!S26</f>
        <v>18138.0063775582</v>
      </c>
      <c r="T27" s="64" t="n">
        <f aca="false">'10_DEMAND'!T21+'10_DEMAND'!T22+'10_DEMAND'!T23+'10_DEMAND'!T24+'10_DEMAND'!T25+'10_DEMAND'!T26</f>
        <v>19292.4016477237</v>
      </c>
      <c r="U27" s="64" t="n">
        <f aca="false">'10_DEMAND'!U21+'10_DEMAND'!U22+'10_DEMAND'!U23+'10_DEMAND'!U24+'10_DEMAND'!U25+'10_DEMAND'!U26</f>
        <v>20523.0517838761</v>
      </c>
      <c r="V27" s="64" t="n">
        <f aca="false">'10_DEMAND'!V21+'10_DEMAND'!V22+'10_DEMAND'!V23+'10_DEMAND'!V24+'10_DEMAND'!V25+'10_DEMAND'!V26</f>
        <v>21835.1974100167</v>
      </c>
      <c r="W27" s="64" t="n">
        <f aca="false">'10_DEMAND'!W21+'10_DEMAND'!W22+'10_DEMAND'!W23+'10_DEMAND'!W24+'10_DEMAND'!W25+'10_DEMAND'!W26</f>
        <v>23234.4550297779</v>
      </c>
      <c r="X27" s="64" t="n">
        <f aca="false">'10_DEMAND'!X21+'10_DEMAND'!X22+'10_DEMAND'!X23+'10_DEMAND'!X24+'10_DEMAND'!X25+'10_DEMAND'!X26</f>
        <v>24726.8452424093</v>
      </c>
      <c r="Y27" s="64" t="n">
        <f aca="false">'10_DEMAND'!Y21+'10_DEMAND'!Y22+'10_DEMAND'!Y23+'10_DEMAND'!Y24+'10_DEMAND'!Y25+'10_DEMAND'!Y26</f>
        <v>26318.8231786073</v>
      </c>
      <c r="Z27" s="64" t="n">
        <f aca="false">'10_DEMAND'!Z21+'10_DEMAND'!Z22+'10_DEMAND'!Z23+'10_DEMAND'!Z24+'10_DEMAND'!Z25+'10_DEMAND'!Z26</f>
        <v>28017.3113390378</v>
      </c>
      <c r="AA27" s="64" t="n">
        <f aca="false">'10_DEMAND'!AA21+'10_DEMAND'!AA22+'10_DEMAND'!AA23+'10_DEMAND'!AA24+'10_DEMAND'!AA25+'10_DEMAND'!AA26</f>
        <v>29829.7350341132</v>
      </c>
      <c r="AB27" s="64" t="n">
        <f aca="false">'10_DEMAND'!AB21+'10_DEMAND'!AB22+'10_DEMAND'!AB23+'10_DEMAND'!AB24+'10_DEMAND'!AB25+'10_DEMAND'!AB26</f>
        <v>31764.0606406957</v>
      </c>
      <c r="AC27" s="64" t="n">
        <f aca="false">'10_DEMAND'!AC21+'10_DEMAND'!AC22+'10_DEMAND'!AC23+'10_DEMAND'!AC24+'10_DEMAND'!AC25+'10_DEMAND'!AC26</f>
        <v>33828.8369100438</v>
      </c>
      <c r="AD27" s="64" t="n">
        <f aca="false">'10_DEMAND'!AD21+'10_DEMAND'!AD22+'10_DEMAND'!AD23+'10_DEMAND'!AD24+'10_DEMAND'!AD25+'10_DEMAND'!AD26</f>
        <v>36033.2395816266</v>
      </c>
      <c r="AE27" s="64" t="n">
        <f aca="false">'10_DEMAND'!AE21+'10_DEMAND'!AE22+'10_DEMAND'!AE23+'10_DEMAND'!AE24+'10_DEMAND'!AE25+'10_DEMAND'!AE26</f>
        <v>38387.1195795678</v>
      </c>
      <c r="AF27" s="64" t="n">
        <f aca="false">'10_DEMAND'!AF21+'10_DEMAND'!AF22+'10_DEMAND'!AF23+'10_DEMAND'!AF24+'10_DEMAND'!AF25+'10_DEMAND'!AF26</f>
        <v>40901.0550926081</v>
      </c>
      <c r="AG27" s="64" t="n">
        <f aca="false">'10_DEMAND'!AG21+'10_DEMAND'!AG22+'10_DEMAND'!AG23+'10_DEMAND'!AG24+'10_DEMAND'!AG25+'10_DEMAND'!AG26</f>
        <v>43586.4078647792</v>
      </c>
      <c r="AH27" s="64" t="n">
        <f aca="false">'10_DEMAND'!AH21+'10_DEMAND'!AH22+'10_DEMAND'!AH23+'10_DEMAND'!AH24+'10_DEMAND'!AH25+'10_DEMAND'!AH26</f>
        <v>46455.3840526645</v>
      </c>
      <c r="AI27" s="64" t="n">
        <f aca="false">'10_DEMAND'!AI21+'10_DEMAND'!AI22+'10_DEMAND'!AI23+'10_DEMAND'!AI24+'10_DEMAND'!AI25+'10_DEMAND'!AI26</f>
        <v>49521.1000364049</v>
      </c>
      <c r="AJ27" s="64" t="n">
        <f aca="false">'10_DEMAND'!AJ21+'10_DEMAND'!AJ22+'10_DEMAND'!AJ23+'10_DEMAND'!AJ24+'10_DEMAND'!AJ25+'10_DEMAND'!AJ26</f>
        <v>52797.6536057313</v>
      </c>
      <c r="AK27" s="64" t="n">
        <f aca="false">'10_DEMAND'!AK21+'10_DEMAND'!AK22+'10_DEMAND'!AK23+'10_DEMAND'!AK24+'10_DEMAND'!AK25+'10_DEMAND'!AK26</f>
        <v>56300.200979535</v>
      </c>
      <c r="AL27" s="64" t="n">
        <f aca="false">'10_DEMAND'!AL21+'10_DEMAND'!AL22+'10_DEMAND'!AL23+'10_DEMAND'!AL24+'10_DEMAND'!AL25+'10_DEMAND'!AL26</f>
        <v>60045.0401581149</v>
      </c>
      <c r="AM27" s="64" t="n">
        <f aca="false">'10_DEMAND'!AM21+'10_DEMAND'!AM22+'10_DEMAND'!AM23+'10_DEMAND'!AM24+'10_DEMAND'!AM25+'10_DEMAND'!AM26</f>
        <v>64049.7011515809</v>
      </c>
      <c r="AN27" s="64" t="n">
        <f aca="false">'10_DEMAND'!AN21+'10_DEMAND'!AN22+'10_DEMAND'!AN23+'10_DEMAND'!AN24+'10_DEMAND'!AN25+'10_DEMAND'!AN26</f>
        <v>68333.0436762946</v>
      </c>
      <c r="AO27" s="64" t="n">
        <f aca="false">'10_DEMAND'!AO21+'10_DEMAND'!AO22+'10_DEMAND'!AO23+'10_DEMAND'!AO24+'10_DEMAND'!AO25+'10_DEMAND'!AO26</f>
        <v>72915.3629640776</v>
      </c>
      <c r="AP27" s="64" t="n">
        <f aca="false">'10_DEMAND'!AP21+'10_DEMAND'!AP22+'10_DEMAND'!AP23+'10_DEMAND'!AP24+'10_DEMAND'!AP25+'10_DEMAND'!AP26</f>
        <v>77818.5043866222</v>
      </c>
      <c r="AQ27" s="64" t="n">
        <f aca="false">'10_DEMAND'!AQ21+'10_DEMAND'!AQ22+'10_DEMAND'!AQ23+'10_DEMAND'!AQ24+'10_DEMAND'!AQ25+'10_DEMAND'!AQ26</f>
        <v>83065.9876605682</v>
      </c>
      <c r="AR27" s="64" t="n">
        <f aca="false">'10_DEMAND'!AR21+'10_DEMAND'!AR22+'10_DEMAND'!AR23+'10_DEMAND'!AR24+'10_DEMAND'!AR25+'10_DEMAND'!AR26</f>
        <v>88683.1414675555</v>
      </c>
    </row>
    <row r="28" customFormat="false" ht="15" hidden="false" customHeight="true" outlineLevel="0" collapsed="false">
      <c r="A28" s="23" t="s">
        <v>512</v>
      </c>
      <c r="B28" s="23" t="s">
        <v>299</v>
      </c>
      <c r="E28" s="56" t="n">
        <f aca="false">'10_DEMAND'!E27+'10_DEMAND'!$C$15</f>
        <v>8350</v>
      </c>
      <c r="F28" s="56" t="n">
        <f aca="false">'10_DEMAND'!F27+'10_DEMAND'!$C$15</f>
        <v>8828.71</v>
      </c>
      <c r="G28" s="56" t="n">
        <f aca="false">'10_DEMAND'!G27+'10_DEMAND'!$C$15</f>
        <v>9338.0281</v>
      </c>
      <c r="H28" s="56" t="n">
        <f aca="false">'10_DEMAND'!H27+'10_DEMAND'!$C$15</f>
        <v>9879.982753</v>
      </c>
      <c r="I28" s="56" t="n">
        <f aca="false">'10_DEMAND'!I27+'10_DEMAND'!$C$15</f>
        <v>10456.74209365</v>
      </c>
      <c r="J28" s="56" t="n">
        <f aca="false">'10_DEMAND'!J27+'10_DEMAND'!$C$15</f>
        <v>11070.6239647081</v>
      </c>
      <c r="K28" s="56" t="n">
        <f aca="false">'10_DEMAND'!K27+'10_DEMAND'!$C$15</f>
        <v>11724.1066959628</v>
      </c>
      <c r="L28" s="56" t="n">
        <f aca="false">'10_DEMAND'!L27+'10_DEMAND'!$C$15</f>
        <v>12419.8406947561</v>
      </c>
      <c r="M28" s="56" t="n">
        <f aca="false">'10_DEMAND'!M27+'10_DEMAND'!$C$15</f>
        <v>13160.6609121066</v>
      </c>
      <c r="N28" s="56" t="n">
        <f aca="false">'10_DEMAND'!N27+'10_DEMAND'!$C$15</f>
        <v>13949.6002537144</v>
      </c>
      <c r="O28" s="56" t="n">
        <f aca="false">'10_DEMAND'!O27+'10_DEMAND'!$C$15</f>
        <v>14789.9040108619</v>
      </c>
      <c r="P28" s="56" t="n">
        <f aca="false">'10_DEMAND'!P27+'10_DEMAND'!$C$15</f>
        <v>15685.0453924559</v>
      </c>
      <c r="Q28" s="56" t="n">
        <f aca="false">'10_DEMAND'!Q27+'10_DEMAND'!$C$15</f>
        <v>16638.742246226</v>
      </c>
      <c r="R28" s="56" t="n">
        <f aca="false">'10_DEMAND'!R27+'10_DEMAND'!$C$15</f>
        <v>17654.9750644478</v>
      </c>
      <c r="S28" s="56" t="n">
        <f aca="false">'10_DEMAND'!S27+'10_DEMAND'!$C$15</f>
        <v>18738.0063775582</v>
      </c>
      <c r="T28" s="56" t="n">
        <f aca="false">'10_DEMAND'!T27+'10_DEMAND'!$C$15</f>
        <v>19892.4016477237</v>
      </c>
      <c r="U28" s="56" t="n">
        <f aca="false">'10_DEMAND'!U27+'10_DEMAND'!$C$15</f>
        <v>21123.0517838761</v>
      </c>
      <c r="V28" s="56" t="n">
        <f aca="false">'10_DEMAND'!V27+'10_DEMAND'!$C$15</f>
        <v>22435.1974100167</v>
      </c>
      <c r="W28" s="56" t="n">
        <f aca="false">'10_DEMAND'!W27+'10_DEMAND'!$C$15</f>
        <v>23834.4550297779</v>
      </c>
      <c r="X28" s="56" t="n">
        <f aca="false">'10_DEMAND'!X27+'10_DEMAND'!$C$15</f>
        <v>25326.8452424093</v>
      </c>
      <c r="Y28" s="56" t="n">
        <f aca="false">'10_DEMAND'!Y27+'10_DEMAND'!$C$15</f>
        <v>26918.8231786073</v>
      </c>
      <c r="Z28" s="56" t="n">
        <f aca="false">'10_DEMAND'!Z27+'10_DEMAND'!$C$15</f>
        <v>28617.3113390378</v>
      </c>
      <c r="AA28" s="56" t="n">
        <f aca="false">'10_DEMAND'!AA27+'10_DEMAND'!$C$15</f>
        <v>30429.7350341132</v>
      </c>
      <c r="AB28" s="56" t="n">
        <f aca="false">'10_DEMAND'!AB27+'10_DEMAND'!$C$15</f>
        <v>32364.0606406957</v>
      </c>
      <c r="AC28" s="56" t="n">
        <f aca="false">'10_DEMAND'!AC27+'10_DEMAND'!$C$15</f>
        <v>34428.8369100438</v>
      </c>
      <c r="AD28" s="56" t="n">
        <f aca="false">'10_DEMAND'!AD27+'10_DEMAND'!$C$15</f>
        <v>36633.2395816266</v>
      </c>
      <c r="AE28" s="56" t="n">
        <f aca="false">'10_DEMAND'!AE27+'10_DEMAND'!$C$15</f>
        <v>38987.1195795678</v>
      </c>
      <c r="AF28" s="56" t="n">
        <f aca="false">'10_DEMAND'!AF27+'10_DEMAND'!$C$15</f>
        <v>41501.0550926081</v>
      </c>
      <c r="AG28" s="56" t="n">
        <f aca="false">'10_DEMAND'!AG27+'10_DEMAND'!$C$15</f>
        <v>44186.4078647792</v>
      </c>
      <c r="AH28" s="56" t="n">
        <f aca="false">'10_DEMAND'!AH27+'10_DEMAND'!$C$15</f>
        <v>47055.3840526645</v>
      </c>
      <c r="AI28" s="56" t="n">
        <f aca="false">'10_DEMAND'!AI27+'10_DEMAND'!$C$15</f>
        <v>50121.1000364049</v>
      </c>
      <c r="AJ28" s="56" t="n">
        <f aca="false">'10_DEMAND'!AJ27+'10_DEMAND'!$C$15</f>
        <v>53397.6536057313</v>
      </c>
      <c r="AK28" s="56" t="n">
        <f aca="false">'10_DEMAND'!AK27+'10_DEMAND'!$C$15</f>
        <v>56900.200979535</v>
      </c>
      <c r="AL28" s="56" t="n">
        <f aca="false">'10_DEMAND'!AL27+'10_DEMAND'!$C$15</f>
        <v>60645.0401581149</v>
      </c>
      <c r="AM28" s="56" t="n">
        <f aca="false">'10_DEMAND'!AM27+'10_DEMAND'!$C$15</f>
        <v>64649.7011515809</v>
      </c>
      <c r="AN28" s="56" t="n">
        <f aca="false">'10_DEMAND'!AN27+'10_DEMAND'!$C$15</f>
        <v>68933.0436762946</v>
      </c>
      <c r="AO28" s="56" t="n">
        <f aca="false">'10_DEMAND'!AO27+'10_DEMAND'!$C$15</f>
        <v>73515.3629640776</v>
      </c>
      <c r="AP28" s="56" t="n">
        <f aca="false">'10_DEMAND'!AP27+'10_DEMAND'!$C$15</f>
        <v>78418.5043866222</v>
      </c>
      <c r="AQ28" s="56" t="n">
        <f aca="false">'10_DEMAND'!AQ27+'10_DEMAND'!$C$15</f>
        <v>83665.9876605682</v>
      </c>
      <c r="AR28" s="56" t="n">
        <f aca="false">'10_DEMAND'!AR27+'10_DEMAND'!$C$15</f>
        <v>89283.1414675555</v>
      </c>
    </row>
    <row r="29" customFormat="false" ht="15" hidden="false" customHeight="true" outlineLevel="0" collapsed="false">
      <c r="A29" s="23" t="s">
        <v>513</v>
      </c>
      <c r="B29" s="23" t="s">
        <v>299</v>
      </c>
      <c r="E29" s="56" t="n">
        <f aca="false">'10_DEMAND'!E21*'10_DEMAND'!$G$8+'10_DEMAND'!E22*'10_DEMAND'!$G$9+'10_DEMAND'!E23*'10_DEMAND'!$G$10+'10_DEMAND'!E24*'10_DEMAND'!$G$11+'10_DEMAND'!E25*'10_DEMAND'!$G$12+'10_DEMAND'!E26*'10_DEMAND'!$G$13+'10_DEMAND'!$C$16</f>
        <v>6587.41</v>
      </c>
      <c r="F29" s="56" t="n">
        <f aca="false">'10_DEMAND'!F21*'10_DEMAND'!$G$8+'10_DEMAND'!F22*'10_DEMAND'!$G$9+'10_DEMAND'!F23*'10_DEMAND'!$G$10+'10_DEMAND'!F24*'10_DEMAND'!$G$11+'10_DEMAND'!F25*'10_DEMAND'!$G$12+'10_DEMAND'!F26*'10_DEMAND'!$G$13+'10_DEMAND'!$C$16</f>
        <v>6990.1731</v>
      </c>
      <c r="G29" s="56" t="n">
        <f aca="false">'10_DEMAND'!G21*'10_DEMAND'!$G$8+'10_DEMAND'!G22*'10_DEMAND'!$G$9+'10_DEMAND'!G23*'10_DEMAND'!$G$10+'10_DEMAND'!G24*'10_DEMAND'!$G$11+'10_DEMAND'!G25*'10_DEMAND'!$G$12+'10_DEMAND'!G26*'10_DEMAND'!$G$13+'10_DEMAND'!$C$16</f>
        <v>7418.341051</v>
      </c>
      <c r="H29" s="56" t="n">
        <f aca="false">'10_DEMAND'!H21*'10_DEMAND'!$G$8+'10_DEMAND'!H22*'10_DEMAND'!$G$9+'10_DEMAND'!H23*'10_DEMAND'!$G$10+'10_DEMAND'!H24*'10_DEMAND'!$G$11+'10_DEMAND'!H25*'10_DEMAND'!$G$12+'10_DEMAND'!H26*'10_DEMAND'!$G$13+'10_DEMAND'!$C$16</f>
        <v>7873.57024191</v>
      </c>
      <c r="I29" s="56" t="n">
        <f aca="false">'10_DEMAND'!I21*'10_DEMAND'!$G$8+'10_DEMAND'!I22*'10_DEMAND'!$G$9+'10_DEMAND'!I23*'10_DEMAND'!$G$10+'10_DEMAND'!I24*'10_DEMAND'!$G$11+'10_DEMAND'!I25*'10_DEMAND'!$G$12+'10_DEMAND'!I26*'10_DEMAND'!$G$13+'10_DEMAND'!$C$16</f>
        <v>8357.6290419811</v>
      </c>
      <c r="J29" s="56" t="n">
        <f aca="false">'10_DEMAND'!J21*'10_DEMAND'!$G$8+'10_DEMAND'!J22*'10_DEMAND'!$G$9+'10_DEMAND'!J23*'10_DEMAND'!$G$10+'10_DEMAND'!J24*'10_DEMAND'!$G$11+'10_DEMAND'!J25*'10_DEMAND'!$G$12+'10_DEMAND'!J26*'10_DEMAND'!$G$13+'10_DEMAND'!$C$16</f>
        <v>8872.40568150396</v>
      </c>
      <c r="K29" s="56" t="n">
        <f aca="false">'10_DEMAND'!K21*'10_DEMAND'!$G$8+'10_DEMAND'!K22*'10_DEMAND'!$G$9+'10_DEMAND'!K23*'10_DEMAND'!$G$10+'10_DEMAND'!K24*'10_DEMAND'!$G$11+'10_DEMAND'!K25*'10_DEMAND'!$G$12+'10_DEMAND'!K26*'10_DEMAND'!$G$13+'10_DEMAND'!$C$16</f>
        <v>9419.91671211814</v>
      </c>
      <c r="L29" s="56" t="n">
        <f aca="false">'10_DEMAND'!L21*'10_DEMAND'!$G$8+'10_DEMAND'!L22*'10_DEMAND'!$G$9+'10_DEMAND'!L23*'10_DEMAND'!$G$10+'10_DEMAND'!L24*'10_DEMAND'!$G$11+'10_DEMAND'!L25*'10_DEMAND'!$G$12+'10_DEMAND'!L26*'10_DEMAND'!$G$13+'10_DEMAND'!$C$16</f>
        <v>10002.3160914052</v>
      </c>
      <c r="M29" s="56" t="n">
        <f aca="false">'10_DEMAND'!M21*'10_DEMAND'!$G$8+'10_DEMAND'!M22*'10_DEMAND'!$G$9+'10_DEMAND'!M23*'10_DEMAND'!$G$10+'10_DEMAND'!M24*'10_DEMAND'!$G$11+'10_DEMAND'!M25*'10_DEMAND'!$G$12+'10_DEMAND'!M26*'10_DEMAND'!$G$13+'10_DEMAND'!$C$16</f>
        <v>10621.9049400473</v>
      </c>
      <c r="N29" s="56" t="n">
        <f aca="false">'10_DEMAND'!N21*'10_DEMAND'!$G$8+'10_DEMAND'!N22*'10_DEMAND'!$G$9+'10_DEMAND'!N23*'10_DEMAND'!$G$10+'10_DEMAND'!N24*'10_DEMAND'!$G$11+'10_DEMAND'!N25*'10_DEMAND'!$G$12+'10_DEMAND'!N26*'10_DEMAND'!$G$13+'10_DEMAND'!$C$16</f>
        <v>11281.142023749</v>
      </c>
      <c r="O29" s="56" t="n">
        <f aca="false">'10_DEMAND'!O21*'10_DEMAND'!$G$8+'10_DEMAND'!O22*'10_DEMAND'!$G$9+'10_DEMAND'!O23*'10_DEMAND'!$G$10+'10_DEMAND'!O24*'10_DEMAND'!$G$11+'10_DEMAND'!O25*'10_DEMAND'!$G$12+'10_DEMAND'!O26*'10_DEMAND'!$G$13+'10_DEMAND'!$C$16</f>
        <v>11982.6550163635</v>
      </c>
      <c r="P29" s="56" t="n">
        <f aca="false">'10_DEMAND'!P21*'10_DEMAND'!$G$8+'10_DEMAND'!P22*'10_DEMAND'!$G$9+'10_DEMAND'!P23*'10_DEMAND'!$G$10+'10_DEMAND'!P24*'10_DEMAND'!$G$11+'10_DEMAND'!P25*'10_DEMAND'!$G$12+'10_DEMAND'!P26*'10_DEMAND'!$G$13+'10_DEMAND'!$C$16</f>
        <v>12729.2526052753</v>
      </c>
      <c r="Q29" s="56" t="n">
        <f aca="false">'10_DEMAND'!Q21*'10_DEMAND'!$G$8+'10_DEMAND'!Q22*'10_DEMAND'!$G$9+'10_DEMAND'!Q23*'10_DEMAND'!$G$10+'10_DEMAND'!Q24*'10_DEMAND'!$G$11+'10_DEMAND'!Q25*'10_DEMAND'!$G$12+'10_DEMAND'!Q26*'10_DEMAND'!$G$13+'10_DEMAND'!$C$16</f>
        <v>13523.9375050891</v>
      </c>
      <c r="R29" s="56" t="n">
        <f aca="false">'10_DEMAND'!R21*'10_DEMAND'!$G$8+'10_DEMAND'!R22*'10_DEMAND'!$G$9+'10_DEMAND'!R23*'10_DEMAND'!$G$10+'10_DEMAND'!R24*'10_DEMAND'!$G$11+'10_DEMAND'!R25*'10_DEMAND'!$G$12+'10_DEMAND'!R26*'10_DEMAND'!$G$13+'10_DEMAND'!$C$16</f>
        <v>14369.920451103</v>
      </c>
      <c r="S29" s="56" t="n">
        <f aca="false">'10_DEMAND'!S21*'10_DEMAND'!$G$8+'10_DEMAND'!S22*'10_DEMAND'!$G$9+'10_DEMAND'!S23*'10_DEMAND'!$G$10+'10_DEMAND'!S24*'10_DEMAND'!$G$11+'10_DEMAND'!S25*'10_DEMAND'!$G$12+'10_DEMAND'!S26*'10_DEMAND'!$G$13+'10_DEMAND'!$C$16</f>
        <v>15270.6352499385</v>
      </c>
      <c r="T29" s="56" t="n">
        <f aca="false">'10_DEMAND'!T21*'10_DEMAND'!$G$8+'10_DEMAND'!T22*'10_DEMAND'!$G$9+'10_DEMAND'!T23*'10_DEMAND'!$G$10+'10_DEMAND'!T24*'10_DEMAND'!$G$11+'10_DEMAND'!T25*'10_DEMAND'!$G$12+'10_DEMAND'!T26*'10_DEMAND'!$G$13+'10_DEMAND'!$C$16</f>
        <v>16229.7549711008</v>
      </c>
      <c r="U29" s="56" t="n">
        <f aca="false">'10_DEMAND'!U21*'10_DEMAND'!$G$8+'10_DEMAND'!U22*'10_DEMAND'!$G$9+'10_DEMAND'!U23*'10_DEMAND'!$G$10+'10_DEMAND'!U24*'10_DEMAND'!$G$11+'10_DEMAND'!U25*'10_DEMAND'!$G$12+'10_DEMAND'!U26*'10_DEMAND'!$G$13+'10_DEMAND'!$C$16</f>
        <v>17251.2093701965</v>
      </c>
      <c r="V29" s="56" t="n">
        <f aca="false">'10_DEMAND'!V21*'10_DEMAND'!$G$8+'10_DEMAND'!V22*'10_DEMAND'!$G$9+'10_DEMAND'!V23*'10_DEMAND'!$G$10+'10_DEMAND'!V24*'10_DEMAND'!$G$11+'10_DEMAND'!V25*'10_DEMAND'!$G$12+'10_DEMAND'!V26*'10_DEMAND'!$G$13+'10_DEMAND'!$C$16</f>
        <v>18339.2036420894</v>
      </c>
      <c r="W29" s="56" t="n">
        <f aca="false">'10_DEMAND'!W21*'10_DEMAND'!$G$8+'10_DEMAND'!W22*'10_DEMAND'!$G$9+'10_DEMAND'!W23*'10_DEMAND'!$G$10+'10_DEMAND'!W24*'10_DEMAND'!$G$11+'10_DEMAND'!W25*'10_DEMAND'!$G$12+'10_DEMAND'!W26*'10_DEMAND'!$G$13+'10_DEMAND'!$C$16</f>
        <v>19498.2386104909</v>
      </c>
      <c r="X29" s="56" t="n">
        <f aca="false">'10_DEMAND'!X21*'10_DEMAND'!$G$8+'10_DEMAND'!X22*'10_DEMAND'!$G$9+'10_DEMAND'!X23*'10_DEMAND'!$G$10+'10_DEMAND'!X24*'10_DEMAND'!$G$11+'10_DEMAND'!X25*'10_DEMAND'!$G$12+'10_DEMAND'!X26*'10_DEMAND'!$G$13+'10_DEMAND'!$C$16</f>
        <v>20733.1324694037</v>
      </c>
      <c r="Y29" s="56" t="n">
        <f aca="false">'10_DEMAND'!Y21*'10_DEMAND'!$G$8+'10_DEMAND'!Y22*'10_DEMAND'!$G$9+'10_DEMAND'!Y23*'10_DEMAND'!$G$10+'10_DEMAND'!Y24*'10_DEMAND'!$G$11+'10_DEMAND'!Y25*'10_DEMAND'!$G$12+'10_DEMAND'!Y26*'10_DEMAND'!$G$13+'10_DEMAND'!$C$16</f>
        <v>22049.0442015466</v>
      </c>
      <c r="Z29" s="56" t="n">
        <f aca="false">'10_DEMAND'!Z21*'10_DEMAND'!$G$8+'10_DEMAND'!Z22*'10_DEMAND'!$G$9+'10_DEMAND'!Z23*'10_DEMAND'!$G$10+'10_DEMAND'!Z24*'10_DEMAND'!$G$11+'10_DEMAND'!Z25*'10_DEMAND'!$G$12+'10_DEMAND'!Z26*'10_DEMAND'!$G$13+'10_DEMAND'!$C$16</f>
        <v>23451.4988094436</v>
      </c>
      <c r="AA29" s="56" t="n">
        <f aca="false">'10_DEMAND'!AA21*'10_DEMAND'!$G$8+'10_DEMAND'!AA22*'10_DEMAND'!$G$9+'10_DEMAND'!AA23*'10_DEMAND'!$G$10+'10_DEMAND'!AA24*'10_DEMAND'!$G$11+'10_DEMAND'!AA25*'10_DEMAND'!$G$12+'10_DEMAND'!AA26*'10_DEMAND'!$G$13+'10_DEMAND'!$C$16</f>
        <v>24946.4145063433</v>
      </c>
      <c r="AB29" s="56" t="n">
        <f aca="false">'10_DEMAND'!AB21*'10_DEMAND'!$G$8+'10_DEMAND'!AB22*'10_DEMAND'!$G$9+'10_DEMAND'!AB23*'10_DEMAND'!$G$10+'10_DEMAND'!AB24*'10_DEMAND'!$G$11+'10_DEMAND'!AB25*'10_DEMAND'!$G$12+'10_DEMAND'!AB26*'10_DEMAND'!$G$13+'10_DEMAND'!$C$16</f>
        <v>26540.1320266304</v>
      </c>
      <c r="AC29" s="56" t="n">
        <f aca="false">'10_DEMAND'!AC21*'10_DEMAND'!$G$8+'10_DEMAND'!AC22*'10_DEMAND'!$G$9+'10_DEMAND'!AC23*'10_DEMAND'!$G$10+'10_DEMAND'!AC24*'10_DEMAND'!$G$11+'10_DEMAND'!AC25*'10_DEMAND'!$G$12+'10_DEMAND'!AC26*'10_DEMAND'!$G$13+'10_DEMAND'!$C$16</f>
        <v>28239.4462289874</v>
      </c>
      <c r="AD29" s="56" t="n">
        <f aca="false">'10_DEMAND'!AD21*'10_DEMAND'!$G$8+'10_DEMAND'!AD22*'10_DEMAND'!$G$9+'10_DEMAND'!AD23*'10_DEMAND'!$G$10+'10_DEMAND'!AD24*'10_DEMAND'!$G$11+'10_DEMAND'!AD25*'10_DEMAND'!$G$12+'10_DEMAND'!AD26*'10_DEMAND'!$G$13+'10_DEMAND'!$C$16</f>
        <v>30051.6401803658</v>
      </c>
      <c r="AE29" s="56" t="n">
        <f aca="false">'10_DEMAND'!AE21*'10_DEMAND'!$G$8+'10_DEMAND'!AE22*'10_DEMAND'!$G$9+'10_DEMAND'!AE23*'10_DEMAND'!$G$10+'10_DEMAND'!AE24*'10_DEMAND'!$G$11+'10_DEMAND'!AE25*'10_DEMAND'!$G$12+'10_DEMAND'!AE26*'10_DEMAND'!$G$13+'10_DEMAND'!$C$16</f>
        <v>31984.521924944</v>
      </c>
      <c r="AF29" s="56" t="n">
        <f aca="false">'10_DEMAND'!AF21*'10_DEMAND'!$G$8+'10_DEMAND'!AF22*'10_DEMAND'!$G$9+'10_DEMAND'!AF23*'10_DEMAND'!$G$10+'10_DEMAND'!AF24*'10_DEMAND'!$G$11+'10_DEMAND'!AF25*'10_DEMAND'!$G$12+'10_DEMAND'!AF26*'10_DEMAND'!$G$13+'10_DEMAND'!$C$16</f>
        <v>34046.464159796</v>
      </c>
      <c r="AG29" s="56" t="n">
        <f aca="false">'10_DEMAND'!AG21*'10_DEMAND'!$G$8+'10_DEMAND'!AG22*'10_DEMAND'!$G$9+'10_DEMAND'!AG23*'10_DEMAND'!$G$10+'10_DEMAND'!AG24*'10_DEMAND'!$G$11+'10_DEMAND'!AG25*'10_DEMAND'!$G$12+'10_DEMAND'!AG26*'10_DEMAND'!$G$13+'10_DEMAND'!$C$16</f>
        <v>36246.4470581113</v>
      </c>
      <c r="AH29" s="56" t="n">
        <f aca="false">'10_DEMAND'!AH21*'10_DEMAND'!$G$8+'10_DEMAND'!AH22*'10_DEMAND'!$G$9+'10_DEMAND'!AH23*'10_DEMAND'!$G$10+'10_DEMAND'!AH24*'10_DEMAND'!$G$11+'10_DEMAND'!AH25*'10_DEMAND'!$G$12+'10_DEMAND'!AH26*'10_DEMAND'!$G$13+'10_DEMAND'!$C$16</f>
        <v>38594.1045016316</v>
      </c>
      <c r="AI29" s="56" t="n">
        <f aca="false">'10_DEMAND'!AI21*'10_DEMAND'!$G$8+'10_DEMAND'!AI22*'10_DEMAND'!$G$9+'10_DEMAND'!AI23*'10_DEMAND'!$G$10+'10_DEMAND'!AI24*'10_DEMAND'!$G$11+'10_DEMAND'!AI25*'10_DEMAND'!$G$12+'10_DEMAND'!AI26*'10_DEMAND'!$G$13+'10_DEMAND'!$C$16</f>
        <v>41099.7740066641</v>
      </c>
      <c r="AJ29" s="56" t="n">
        <f aca="false">'10_DEMAND'!AJ21*'10_DEMAND'!$G$8+'10_DEMAND'!AJ22*'10_DEMAND'!$G$9+'10_DEMAND'!AJ23*'10_DEMAND'!$G$10+'10_DEMAND'!AJ24*'10_DEMAND'!$G$11+'10_DEMAND'!AJ25*'10_DEMAND'!$G$12+'10_DEMAND'!AJ26*'10_DEMAND'!$G$13+'10_DEMAND'!$C$16</f>
        <v>43774.5506527603</v>
      </c>
      <c r="AK29" s="56" t="n">
        <f aca="false">'10_DEMAND'!AK21*'10_DEMAND'!$G$8+'10_DEMAND'!AK22*'10_DEMAND'!$G$9+'10_DEMAND'!AK23*'10_DEMAND'!$G$10+'10_DEMAND'!AK24*'10_DEMAND'!$G$11+'10_DEMAND'!AK25*'10_DEMAND'!$G$12+'10_DEMAND'!AK26*'10_DEMAND'!$G$13+'10_DEMAND'!$C$16</f>
        <v>46630.3453501145</v>
      </c>
      <c r="AL29" s="56" t="n">
        <f aca="false">'10_DEMAND'!AL21*'10_DEMAND'!$G$8+'10_DEMAND'!AL22*'10_DEMAND'!$G$9+'10_DEMAND'!AL23*'10_DEMAND'!$G$10+'10_DEMAND'!AL24*'10_DEMAND'!$G$11+'10_DEMAND'!AL25*'10_DEMAND'!$G$12+'10_DEMAND'!AL26*'10_DEMAND'!$G$13+'10_DEMAND'!$C$16</f>
        <v>49679.9478111282</v>
      </c>
      <c r="AM29" s="56" t="n">
        <f aca="false">'10_DEMAND'!AM21*'10_DEMAND'!$G$8+'10_DEMAND'!AM22*'10_DEMAND'!$G$9+'10_DEMAND'!AM23*'10_DEMAND'!$G$10+'10_DEMAND'!AM24*'10_DEMAND'!$G$11+'10_DEMAND'!AM25*'10_DEMAND'!$G$12+'10_DEMAND'!AM26*'10_DEMAND'!$G$13+'10_DEMAND'!$C$16</f>
        <v>52937.0946236484</v>
      </c>
      <c r="AN29" s="56" t="n">
        <f aca="false">'10_DEMAND'!AN21*'10_DEMAND'!$G$8+'10_DEMAND'!AN22*'10_DEMAND'!$G$9+'10_DEMAND'!AN23*'10_DEMAND'!$G$10+'10_DEMAND'!AN24*'10_DEMAND'!$G$11+'10_DEMAND'!AN25*'10_DEMAND'!$G$12+'10_DEMAND'!AN26*'10_DEMAND'!$G$13+'10_DEMAND'!$C$16</f>
        <v>56416.5428583494</v>
      </c>
      <c r="AO29" s="56" t="n">
        <f aca="false">'10_DEMAND'!AO21*'10_DEMAND'!$G$8+'10_DEMAND'!AO22*'10_DEMAND'!$G$9+'10_DEMAND'!AO23*'10_DEMAND'!$G$10+'10_DEMAND'!AO24*'10_DEMAND'!$G$11+'10_DEMAND'!AO25*'10_DEMAND'!$G$12+'10_DEMAND'!AO26*'10_DEMAND'!$G$13+'10_DEMAND'!$C$16</f>
        <v>60134.1496808786</v>
      </c>
      <c r="AP29" s="56" t="n">
        <f aca="false">'10_DEMAND'!AP21*'10_DEMAND'!$G$8+'10_DEMAND'!AP22*'10_DEMAND'!$G$9+'10_DEMAND'!AP23*'10_DEMAND'!$G$10+'10_DEMAND'!AP24*'10_DEMAND'!$G$11+'10_DEMAND'!AP25*'10_DEMAND'!$G$12+'10_DEMAND'!AP26*'10_DEMAND'!$G$13+'10_DEMAND'!$C$16</f>
        <v>64106.9584810054</v>
      </c>
      <c r="AQ29" s="56" t="n">
        <f aca="false">'10_DEMAND'!AQ21*'10_DEMAND'!$G$8+'10_DEMAND'!AQ22*'10_DEMAND'!$G$9+'10_DEMAND'!AQ23*'10_DEMAND'!$G$10+'10_DEMAND'!AQ24*'10_DEMAND'!$G$11+'10_DEMAND'!AQ25*'10_DEMAND'!$G$12+'10_DEMAND'!AQ26*'10_DEMAND'!$G$13+'10_DEMAND'!$C$16</f>
        <v>68353.2920764405</v>
      </c>
      <c r="AR29" s="56" t="n">
        <f aca="false">'10_DEMAND'!AR21*'10_DEMAND'!$G$8+'10_DEMAND'!AR22*'10_DEMAND'!$G$9+'10_DEMAND'!AR23*'10_DEMAND'!$G$10+'10_DEMAND'!AR24*'10_DEMAND'!$G$11+'10_DEMAND'!AR25*'10_DEMAND'!$G$12+'10_DEMAND'!AR26*'10_DEMAND'!$G$13+'10_DEMAND'!$C$16</f>
        <v>72892.8535985735</v>
      </c>
    </row>
    <row r="30" customFormat="false" ht="15" hidden="false" customHeight="true" outlineLevel="0" collapsed="false">
      <c r="A30" s="23" t="s">
        <v>514</v>
      </c>
      <c r="B30" s="23" t="s">
        <v>299</v>
      </c>
      <c r="E30" s="56" t="n">
        <f aca="false">'10_DEMAND'!E27/(1-'12_UTILITY'!$C$11-'12_UTILITY'!$C$12)</f>
        <v>9935.89743589744</v>
      </c>
      <c r="F30" s="56" t="n">
        <f aca="false">'10_DEMAND'!F27/(1-'12_UTILITY'!$C$11-'12_UTILITY'!$C$12)</f>
        <v>10549.6282051282</v>
      </c>
      <c r="G30" s="56" t="n">
        <f aca="false">'10_DEMAND'!G27/(1-'12_UTILITY'!$C$11-'12_UTILITY'!$C$12)</f>
        <v>11202.6001282051</v>
      </c>
      <c r="H30" s="56" t="n">
        <f aca="false">'10_DEMAND'!H27/(1-'12_UTILITY'!$C$11-'12_UTILITY'!$C$12)</f>
        <v>11897.4137858974</v>
      </c>
      <c r="I30" s="56" t="n">
        <f aca="false">'10_DEMAND'!I27/(1-'12_UTILITY'!$C$11-'12_UTILITY'!$C$12)</f>
        <v>12636.8488380128</v>
      </c>
      <c r="J30" s="56" t="n">
        <f aca="false">'10_DEMAND'!J27/(1-'12_UTILITY'!$C$11-'12_UTILITY'!$C$12)</f>
        <v>13423.8768778309</v>
      </c>
      <c r="K30" s="56" t="n">
        <f aca="false">'10_DEMAND'!K27/(1-'12_UTILITY'!$C$11-'12_UTILITY'!$C$12)</f>
        <v>14261.6752512344</v>
      </c>
      <c r="L30" s="56" t="n">
        <f aca="false">'10_DEMAND'!L27/(1-'12_UTILITY'!$C$11-'12_UTILITY'!$C$12)</f>
        <v>15153.6419163539</v>
      </c>
      <c r="M30" s="56" t="n">
        <f aca="false">'10_DEMAND'!M27/(1-'12_UTILITY'!$C$11-'12_UTILITY'!$C$12)</f>
        <v>16103.4114257777</v>
      </c>
      <c r="N30" s="56" t="n">
        <f aca="false">'10_DEMAND'!N27/(1-'12_UTILITY'!$C$11-'12_UTILITY'!$C$12)</f>
        <v>17114.8721201467</v>
      </c>
      <c r="O30" s="56" t="n">
        <f aca="false">'10_DEMAND'!O27/(1-'12_UTILITY'!$C$11-'12_UTILITY'!$C$12)</f>
        <v>18192.1846293101</v>
      </c>
      <c r="P30" s="56" t="n">
        <f aca="false">'10_DEMAND'!P27/(1-'12_UTILITY'!$C$11-'12_UTILITY'!$C$12)</f>
        <v>19339.8017851999</v>
      </c>
      <c r="Q30" s="56" t="n">
        <f aca="false">'10_DEMAND'!Q27/(1-'12_UTILITY'!$C$11-'12_UTILITY'!$C$12)</f>
        <v>20562.4900592641</v>
      </c>
      <c r="R30" s="56" t="n">
        <f aca="false">'10_DEMAND'!R27/(1-'12_UTILITY'!$C$11-'12_UTILITY'!$C$12)</f>
        <v>21865.3526467279</v>
      </c>
      <c r="S30" s="56" t="n">
        <f aca="false">'10_DEMAND'!S27/(1-'12_UTILITY'!$C$11-'12_UTILITY'!$C$12)</f>
        <v>23253.8543302028</v>
      </c>
      <c r="T30" s="56" t="n">
        <f aca="false">'10_DEMAND'!T27/(1-'12_UTILITY'!$C$11-'12_UTILITY'!$C$12)</f>
        <v>24733.8482663124</v>
      </c>
      <c r="U30" s="56" t="n">
        <f aca="false">'10_DEMAND'!U27/(1-'12_UTILITY'!$C$11-'12_UTILITY'!$C$12)</f>
        <v>26311.6048511232</v>
      </c>
      <c r="V30" s="56" t="n">
        <f aca="false">'10_DEMAND'!V27/(1-'12_UTILITY'!$C$11-'12_UTILITY'!$C$12)</f>
        <v>27993.8428333547</v>
      </c>
      <c r="W30" s="56" t="n">
        <f aca="false">'10_DEMAND'!W27/(1-'12_UTILITY'!$C$11-'12_UTILITY'!$C$12)</f>
        <v>29787.7628586896</v>
      </c>
      <c r="X30" s="56" t="n">
        <f aca="false">'10_DEMAND'!X27/(1-'12_UTILITY'!$C$11-'12_UTILITY'!$C$12)</f>
        <v>31701.0836441145</v>
      </c>
      <c r="Y30" s="56" t="n">
        <f aca="false">'10_DEMAND'!Y27/(1-'12_UTILITY'!$C$11-'12_UTILITY'!$C$12)</f>
        <v>33742.0809982144</v>
      </c>
      <c r="Z30" s="56" t="n">
        <f aca="false">'10_DEMAND'!Z27/(1-'12_UTILITY'!$C$11-'12_UTILITY'!$C$12)</f>
        <v>35919.6299218434</v>
      </c>
      <c r="AA30" s="56" t="n">
        <f aca="false">'10_DEMAND'!AA27/(1-'12_UTILITY'!$C$11-'12_UTILITY'!$C$12)</f>
        <v>38243.2500437348</v>
      </c>
      <c r="AB30" s="56" t="n">
        <f aca="false">'10_DEMAND'!AB27/(1-'12_UTILITY'!$C$11-'12_UTILITY'!$C$12)</f>
        <v>40723.1546675585</v>
      </c>
      <c r="AC30" s="56" t="n">
        <f aca="false">'10_DEMAND'!AC27/(1-'12_UTILITY'!$C$11-'12_UTILITY'!$C$12)</f>
        <v>43370.3037308254</v>
      </c>
      <c r="AD30" s="56" t="n">
        <f aca="false">'10_DEMAND'!AD27/(1-'12_UTILITY'!$C$11-'12_UTILITY'!$C$12)</f>
        <v>46196.4610020854</v>
      </c>
      <c r="AE30" s="56" t="n">
        <f aca="false">'10_DEMAND'!AE27/(1-'12_UTILITY'!$C$11-'12_UTILITY'!$C$12)</f>
        <v>49214.2558712408</v>
      </c>
      <c r="AF30" s="56" t="n">
        <f aca="false">'10_DEMAND'!AF27/(1-'12_UTILITY'!$C$11-'12_UTILITY'!$C$12)</f>
        <v>52437.2501187284</v>
      </c>
      <c r="AG30" s="56" t="n">
        <f aca="false">'10_DEMAND'!AG27/(1-'12_UTILITY'!$C$11-'12_UTILITY'!$C$12)</f>
        <v>55880.0100830502</v>
      </c>
      <c r="AH30" s="56" t="n">
        <f aca="false">'10_DEMAND'!AH27/(1-'12_UTILITY'!$C$11-'12_UTILITY'!$C$12)</f>
        <v>59558.1846829032</v>
      </c>
      <c r="AI30" s="56" t="n">
        <f aca="false">'10_DEMAND'!AI27/(1-'12_UTILITY'!$C$11-'12_UTILITY'!$C$12)</f>
        <v>63488.5897902627</v>
      </c>
      <c r="AJ30" s="56" t="n">
        <f aca="false">'10_DEMAND'!AJ27/(1-'12_UTILITY'!$C$11-'12_UTILITY'!$C$12)</f>
        <v>67689.2994945273</v>
      </c>
      <c r="AK30" s="56" t="n">
        <f aca="false">'10_DEMAND'!AK27/(1-'12_UTILITY'!$C$11-'12_UTILITY'!$C$12)</f>
        <v>72179.7448455577</v>
      </c>
      <c r="AL30" s="56" t="n">
        <f aca="false">'10_DEMAND'!AL27/(1-'12_UTILITY'!$C$11-'12_UTILITY'!$C$12)</f>
        <v>76980.820715532</v>
      </c>
      <c r="AM30" s="56" t="n">
        <f aca="false">'10_DEMAND'!AM27/(1-'12_UTILITY'!$C$11-'12_UTILITY'!$C$12)</f>
        <v>82115.0014763858</v>
      </c>
      <c r="AN30" s="56" t="n">
        <f aca="false">'10_DEMAND'!AN27/(1-'12_UTILITY'!$C$11-'12_UTILITY'!$C$12)</f>
        <v>87606.4662516598</v>
      </c>
      <c r="AO30" s="56" t="n">
        <f aca="false">'10_DEMAND'!AO27/(1-'12_UTILITY'!$C$11-'12_UTILITY'!$C$12)</f>
        <v>93481.2345693302</v>
      </c>
      <c r="AP30" s="56" t="n">
        <f aca="false">'10_DEMAND'!AP27/(1-'12_UTILITY'!$C$11-'12_UTILITY'!$C$12)</f>
        <v>99767.3133161823</v>
      </c>
      <c r="AQ30" s="56" t="n">
        <f aca="false">'10_DEMAND'!AQ27/(1-'12_UTILITY'!$C$11-'12_UTILITY'!$C$12)</f>
        <v>106494.855975087</v>
      </c>
      <c r="AR30" s="56" t="n">
        <f aca="false">'10_DEMAND'!AR27/(1-'12_UTILITY'!$C$11-'12_UTILITY'!$C$12)</f>
        <v>113696.335214815</v>
      </c>
    </row>
    <row r="31" customFormat="false" ht="15" hidden="false" customHeight="true" outlineLevel="0" collapsed="false">
      <c r="A31" s="23" t="s">
        <v>515</v>
      </c>
      <c r="B31" s="23" t="s">
        <v>299</v>
      </c>
      <c r="E31" s="56" t="n">
        <f aca="false">'10_DEMAND'!$C$17*(1+'10_DEMAND'!$C$18)^('06_CONSTRUCTION'!E4-'02_PROJECT_INPUTS'!$C$11)</f>
        <v>8987</v>
      </c>
      <c r="F31" s="56" t="n">
        <f aca="false">'10_DEMAND'!$C$17*(1+'10_DEMAND'!$C$18)^('06_CONSTRUCTION'!F4-'02_PROJECT_INPUTS'!$C$11)</f>
        <v>9391.415</v>
      </c>
      <c r="G31" s="56" t="n">
        <f aca="false">'10_DEMAND'!$C$17*(1+'10_DEMAND'!$C$18)^('06_CONSTRUCTION'!G4-'02_PROJECT_INPUTS'!$C$11)</f>
        <v>9814.028675</v>
      </c>
      <c r="H31" s="56" t="n">
        <f aca="false">'10_DEMAND'!$C$17*(1+'10_DEMAND'!$C$18)^('06_CONSTRUCTION'!H4-'02_PROJECT_INPUTS'!$C$11)</f>
        <v>10255.659965375</v>
      </c>
      <c r="I31" s="56" t="n">
        <f aca="false">'10_DEMAND'!$C$17*(1+'10_DEMAND'!$C$18)^('06_CONSTRUCTION'!I4-'02_PROJECT_INPUTS'!$C$11)</f>
        <v>10717.1646638169</v>
      </c>
      <c r="J31" s="56" t="n">
        <f aca="false">'10_DEMAND'!$C$17*(1+'10_DEMAND'!$C$18)^('06_CONSTRUCTION'!J4-'02_PROJECT_INPUTS'!$C$11)</f>
        <v>11199.4370736886</v>
      </c>
      <c r="K31" s="56" t="n">
        <f aca="false">'10_DEMAND'!$C$17*(1+'10_DEMAND'!$C$18)^('06_CONSTRUCTION'!K4-'02_PROJECT_INPUTS'!$C$11)</f>
        <v>11703.4117420046</v>
      </c>
      <c r="L31" s="56" t="n">
        <f aca="false">'10_DEMAND'!$C$17*(1+'10_DEMAND'!$C$18)^('06_CONSTRUCTION'!L4-'02_PROJECT_INPUTS'!$C$11)</f>
        <v>12230.0652703948</v>
      </c>
      <c r="M31" s="56" t="n">
        <f aca="false">'10_DEMAND'!$C$17*(1+'10_DEMAND'!$C$18)^('06_CONSTRUCTION'!M4-'02_PROJECT_INPUTS'!$C$11)</f>
        <v>12780.4182075626</v>
      </c>
      <c r="N31" s="56" t="n">
        <f aca="false">'10_DEMAND'!$C$17*(1+'10_DEMAND'!$C$18)^('06_CONSTRUCTION'!N4-'02_PROJECT_INPUTS'!$C$11)</f>
        <v>13355.5370269029</v>
      </c>
      <c r="O31" s="56" t="n">
        <f aca="false">'10_DEMAND'!$C$17*(1+'10_DEMAND'!$C$18)^('06_CONSTRUCTION'!O4-'02_PROJECT_INPUTS'!$C$11)</f>
        <v>13956.5361931135</v>
      </c>
      <c r="P31" s="56" t="n">
        <f aca="false">'10_DEMAND'!$C$17*(1+'10_DEMAND'!$C$18)^('06_CONSTRUCTION'!P4-'02_PROJECT_INPUTS'!$C$11)</f>
        <v>14584.5803218036</v>
      </c>
      <c r="Q31" s="56" t="n">
        <f aca="false">'10_DEMAND'!$C$17*(1+'10_DEMAND'!$C$18)^('06_CONSTRUCTION'!Q4-'02_PROJECT_INPUTS'!$C$11)</f>
        <v>15240.8864362848</v>
      </c>
      <c r="R31" s="56" t="n">
        <f aca="false">'10_DEMAND'!$C$17*(1+'10_DEMAND'!$C$18)^('06_CONSTRUCTION'!R4-'02_PROJECT_INPUTS'!$C$11)</f>
        <v>15926.7263259176</v>
      </c>
      <c r="S31" s="56" t="n">
        <f aca="false">'10_DEMAND'!$C$17*(1+'10_DEMAND'!$C$18)^('06_CONSTRUCTION'!S4-'02_PROJECT_INPUTS'!$C$11)</f>
        <v>16643.4290105839</v>
      </c>
      <c r="T31" s="56" t="n">
        <f aca="false">'10_DEMAND'!$C$17*(1+'10_DEMAND'!$C$18)^('06_CONSTRUCTION'!T4-'02_PROJECT_INPUTS'!$C$11)</f>
        <v>17392.3833160602</v>
      </c>
      <c r="U31" s="56" t="n">
        <f aca="false">'10_DEMAND'!$C$17*(1+'10_DEMAND'!$C$18)^('06_CONSTRUCTION'!U4-'02_PROJECT_INPUTS'!$C$11)</f>
        <v>18175.0405652829</v>
      </c>
      <c r="V31" s="56" t="n">
        <f aca="false">'10_DEMAND'!$C$17*(1+'10_DEMAND'!$C$18)^('06_CONSTRUCTION'!V4-'02_PROJECT_INPUTS'!$C$11)</f>
        <v>18992.9173907206</v>
      </c>
      <c r="W31" s="56" t="n">
        <f aca="false">'10_DEMAND'!$C$17*(1+'10_DEMAND'!$C$18)^('06_CONSTRUCTION'!W4-'02_PROJECT_INPUTS'!$C$11)</f>
        <v>19847.5986733031</v>
      </c>
      <c r="X31" s="56" t="n">
        <f aca="false">'10_DEMAND'!$C$17*(1+'10_DEMAND'!$C$18)^('06_CONSTRUCTION'!X4-'02_PROJECT_INPUTS'!$C$11)</f>
        <v>20740.7406136017</v>
      </c>
      <c r="Y31" s="56" t="n">
        <f aca="false">'10_DEMAND'!$C$17*(1+'10_DEMAND'!$C$18)^('06_CONSTRUCTION'!Y4-'02_PROJECT_INPUTS'!$C$11)</f>
        <v>21674.0739412138</v>
      </c>
      <c r="Z31" s="56" t="n">
        <f aca="false">'10_DEMAND'!$C$17*(1+'10_DEMAND'!$C$18)^('06_CONSTRUCTION'!Z4-'02_PROJECT_INPUTS'!$C$11)</f>
        <v>22649.4072685684</v>
      </c>
      <c r="AA31" s="56" t="n">
        <f aca="false">'10_DEMAND'!$C$17*(1+'10_DEMAND'!$C$18)^('06_CONSTRUCTION'!AA4-'02_PROJECT_INPUTS'!$C$11)</f>
        <v>23668.630595654</v>
      </c>
      <c r="AB31" s="56" t="n">
        <f aca="false">'10_DEMAND'!$C$17*(1+'10_DEMAND'!$C$18)^('06_CONSTRUCTION'!AB4-'02_PROJECT_INPUTS'!$C$11)</f>
        <v>24733.7189724584</v>
      </c>
      <c r="AC31" s="56" t="n">
        <f aca="false">'10_DEMAND'!$C$17*(1+'10_DEMAND'!$C$18)^('06_CONSTRUCTION'!AC4-'02_PROJECT_INPUTS'!$C$11)</f>
        <v>25846.736326219</v>
      </c>
      <c r="AD31" s="56" t="n">
        <f aca="false">'10_DEMAND'!$C$17*(1+'10_DEMAND'!$C$18)^('06_CONSTRUCTION'!AD4-'02_PROJECT_INPUTS'!$C$11)</f>
        <v>27009.8394608989</v>
      </c>
      <c r="AE31" s="56" t="n">
        <f aca="false">'10_DEMAND'!$C$17*(1+'10_DEMAND'!$C$18)^('06_CONSTRUCTION'!AE4-'02_PROJECT_INPUTS'!$C$11)</f>
        <v>28225.2822366393</v>
      </c>
      <c r="AF31" s="56" t="n">
        <f aca="false">'10_DEMAND'!$C$17*(1+'10_DEMAND'!$C$18)^('06_CONSTRUCTION'!AF4-'02_PROJECT_INPUTS'!$C$11)</f>
        <v>29495.4199372881</v>
      </c>
      <c r="AG31" s="56" t="n">
        <f aca="false">'10_DEMAND'!$C$17*(1+'10_DEMAND'!$C$18)^('06_CONSTRUCTION'!AG4-'02_PROJECT_INPUTS'!$C$11)</f>
        <v>30822.713834466</v>
      </c>
      <c r="AH31" s="56" t="n">
        <f aca="false">'10_DEMAND'!$C$17*(1+'10_DEMAND'!$C$18)^('06_CONSTRUCTION'!AH4-'02_PROJECT_INPUTS'!$C$11)</f>
        <v>32209.735957017</v>
      </c>
      <c r="AI31" s="56" t="n">
        <f aca="false">'10_DEMAND'!$C$17*(1+'10_DEMAND'!$C$18)^('06_CONSTRUCTION'!AI4-'02_PROJECT_INPUTS'!$C$11)</f>
        <v>33659.1740750828</v>
      </c>
      <c r="AJ31" s="56" t="n">
        <f aca="false">'10_DEMAND'!$C$17*(1+'10_DEMAND'!$C$18)^('06_CONSTRUCTION'!AJ4-'02_PROJECT_INPUTS'!$C$11)</f>
        <v>35173.8369084615</v>
      </c>
      <c r="AK31" s="56" t="n">
        <f aca="false">'10_DEMAND'!$C$17*(1+'10_DEMAND'!$C$18)^('06_CONSTRUCTION'!AK4-'02_PROJECT_INPUTS'!$C$11)</f>
        <v>36756.6595693423</v>
      </c>
      <c r="AL31" s="56" t="n">
        <f aca="false">'10_DEMAND'!$C$17*(1+'10_DEMAND'!$C$18)^('06_CONSTRUCTION'!AL4-'02_PROJECT_INPUTS'!$C$11)</f>
        <v>38410.7092499627</v>
      </c>
      <c r="AM31" s="56" t="n">
        <f aca="false">'10_DEMAND'!$C$17*(1+'10_DEMAND'!$C$18)^('06_CONSTRUCTION'!AM4-'02_PROJECT_INPUTS'!$C$11)</f>
        <v>40139.191166211</v>
      </c>
      <c r="AN31" s="56" t="n">
        <f aca="false">'10_DEMAND'!$C$17*(1+'10_DEMAND'!$C$18)^('06_CONSTRUCTION'!AN4-'02_PROJECT_INPUTS'!$C$11)</f>
        <v>41945.4547686905</v>
      </c>
      <c r="AO31" s="56" t="n">
        <f aca="false">'10_DEMAND'!$C$17*(1+'10_DEMAND'!$C$18)^('06_CONSTRUCTION'!AO4-'02_PROJECT_INPUTS'!$C$11)</f>
        <v>43833.0002332815</v>
      </c>
      <c r="AP31" s="56" t="n">
        <f aca="false">'10_DEMAND'!$C$17*(1+'10_DEMAND'!$C$18)^('06_CONSTRUCTION'!AP4-'02_PROJECT_INPUTS'!$C$11)</f>
        <v>45805.4852437792</v>
      </c>
      <c r="AQ31" s="56" t="n">
        <f aca="false">'10_DEMAND'!$C$17*(1+'10_DEMAND'!$C$18)^('06_CONSTRUCTION'!AQ4-'02_PROJECT_INPUTS'!$C$11)</f>
        <v>47866.7320797493</v>
      </c>
      <c r="AR31" s="56" t="n">
        <f aca="false">'10_DEMAND'!$C$17*(1+'10_DEMAND'!$C$18)^('06_CONSTRUCTION'!AR4-'02_PROJECT_INPUTS'!$C$11)</f>
        <v>50020.735023338</v>
      </c>
    </row>
    <row r="32" customFormat="false" ht="15" hidden="false" customHeight="true" outlineLevel="0" collapsed="false">
      <c r="A32" s="23" t="s">
        <v>516</v>
      </c>
      <c r="B32" s="23" t="s">
        <v>299</v>
      </c>
      <c r="E32" s="56" t="n">
        <f aca="false">MAX(0,'10_DEMAND'!E30-'10_DEMAND'!E31)</f>
        <v>948.897435897436</v>
      </c>
      <c r="F32" s="56" t="n">
        <f aca="false">MAX(0,'10_DEMAND'!F30-'10_DEMAND'!F31)</f>
        <v>1158.21320512821</v>
      </c>
      <c r="G32" s="56" t="n">
        <f aca="false">MAX(0,'10_DEMAND'!G30-'10_DEMAND'!G31)</f>
        <v>1388.57145320513</v>
      </c>
      <c r="H32" s="56" t="n">
        <f aca="false">MAX(0,'10_DEMAND'!H30-'10_DEMAND'!H31)</f>
        <v>1641.75382052244</v>
      </c>
      <c r="I32" s="56" t="n">
        <f aca="false">MAX(0,'10_DEMAND'!I30-'10_DEMAND'!I31)</f>
        <v>1919.68417419595</v>
      </c>
      <c r="J32" s="56" t="n">
        <f aca="false">MAX(0,'10_DEMAND'!J30-'10_DEMAND'!J31)</f>
        <v>2224.43980414227</v>
      </c>
      <c r="K32" s="56" t="n">
        <f aca="false">MAX(0,'10_DEMAND'!K30-'10_DEMAND'!K31)</f>
        <v>2558.26350922977</v>
      </c>
      <c r="L32" s="56" t="n">
        <f aca="false">MAX(0,'10_DEMAND'!L30-'10_DEMAND'!L31)</f>
        <v>2923.57664595911</v>
      </c>
      <c r="M32" s="56" t="n">
        <f aca="false">MAX(0,'10_DEMAND'!M30-'10_DEMAND'!M31)</f>
        <v>3322.99321821508</v>
      </c>
      <c r="N32" s="56" t="n">
        <f aca="false">MAX(0,'10_DEMAND'!N30-'10_DEMAND'!N31)</f>
        <v>3759.3350932438</v>
      </c>
      <c r="O32" s="56" t="n">
        <f aca="false">MAX(0,'10_DEMAND'!O30-'10_DEMAND'!O31)</f>
        <v>4235.64843619659</v>
      </c>
      <c r="P32" s="56" t="n">
        <f aca="false">MAX(0,'10_DEMAND'!P30-'10_DEMAND'!P31)</f>
        <v>4755.22146339626</v>
      </c>
      <c r="Q32" s="56" t="n">
        <f aca="false">MAX(0,'10_DEMAND'!Q30-'10_DEMAND'!Q31)</f>
        <v>5321.60362297934</v>
      </c>
      <c r="R32" s="56" t="n">
        <f aca="false">MAX(0,'10_DEMAND'!R30-'10_DEMAND'!R31)</f>
        <v>5938.62632081029</v>
      </c>
      <c r="S32" s="56" t="n">
        <f aca="false">MAX(0,'10_DEMAND'!S30-'10_DEMAND'!S31)</f>
        <v>6610.42531961888</v>
      </c>
      <c r="T32" s="56" t="n">
        <f aca="false">MAX(0,'10_DEMAND'!T30-'10_DEMAND'!T31)</f>
        <v>7341.46495025224</v>
      </c>
      <c r="U32" s="56" t="n">
        <f aca="false">MAX(0,'10_DEMAND'!U30-'10_DEMAND'!U31)</f>
        <v>8136.56428584033</v>
      </c>
      <c r="V32" s="56" t="n">
        <f aca="false">MAX(0,'10_DEMAND'!V30-'10_DEMAND'!V31)</f>
        <v>9000.9254426341</v>
      </c>
      <c r="W32" s="56" t="n">
        <f aca="false">MAX(0,'10_DEMAND'!W30-'10_DEMAND'!W31)</f>
        <v>9940.16418538654</v>
      </c>
      <c r="X32" s="56" t="n">
        <f aca="false">MAX(0,'10_DEMAND'!X30-'10_DEMAND'!X31)</f>
        <v>10960.3430305128</v>
      </c>
      <c r="Y32" s="56" t="n">
        <f aca="false">MAX(0,'10_DEMAND'!Y30-'10_DEMAND'!Y31)</f>
        <v>12068.0070570007</v>
      </c>
      <c r="Z32" s="56" t="n">
        <f aca="false">MAX(0,'10_DEMAND'!Z30-'10_DEMAND'!Z31)</f>
        <v>13270.222653275</v>
      </c>
      <c r="AA32" s="56" t="n">
        <f aca="false">MAX(0,'10_DEMAND'!AA30-'10_DEMAND'!AA31)</f>
        <v>14574.6194480809</v>
      </c>
      <c r="AB32" s="56" t="n">
        <f aca="false">MAX(0,'10_DEMAND'!AB30-'10_DEMAND'!AB31)</f>
        <v>15989.4356951001</v>
      </c>
      <c r="AC32" s="56" t="n">
        <f aca="false">MAX(0,'10_DEMAND'!AC30-'10_DEMAND'!AC31)</f>
        <v>17523.5674046063</v>
      </c>
      <c r="AD32" s="56" t="n">
        <f aca="false">MAX(0,'10_DEMAND'!AD30-'10_DEMAND'!AD31)</f>
        <v>19186.6215411865</v>
      </c>
      <c r="AE32" s="56" t="n">
        <f aca="false">MAX(0,'10_DEMAND'!AE30-'10_DEMAND'!AE31)</f>
        <v>20988.9736346015</v>
      </c>
      <c r="AF32" s="56" t="n">
        <f aca="false">MAX(0,'10_DEMAND'!AF30-'10_DEMAND'!AF31)</f>
        <v>22941.8301814403</v>
      </c>
      <c r="AG32" s="56" t="n">
        <f aca="false">MAX(0,'10_DEMAND'!AG30-'10_DEMAND'!AG31)</f>
        <v>25057.2962485842</v>
      </c>
      <c r="AH32" s="56" t="n">
        <f aca="false">MAX(0,'10_DEMAND'!AH30-'10_DEMAND'!AH31)</f>
        <v>27348.4487258861</v>
      </c>
      <c r="AI32" s="56" t="n">
        <f aca="false">MAX(0,'10_DEMAND'!AI30-'10_DEMAND'!AI31)</f>
        <v>29829.4157151799</v>
      </c>
      <c r="AJ32" s="56" t="n">
        <f aca="false">MAX(0,'10_DEMAND'!AJ30-'10_DEMAND'!AJ31)</f>
        <v>32515.4625860659</v>
      </c>
      <c r="AK32" s="56" t="n">
        <f aca="false">MAX(0,'10_DEMAND'!AK30-'10_DEMAND'!AK31)</f>
        <v>35423.0852762155</v>
      </c>
      <c r="AL32" s="56" t="n">
        <f aca="false">MAX(0,'10_DEMAND'!AL30-'10_DEMAND'!AL31)</f>
        <v>38570.1114655693</v>
      </c>
      <c r="AM32" s="56" t="n">
        <f aca="false">MAX(0,'10_DEMAND'!AM30-'10_DEMAND'!AM31)</f>
        <v>41975.8103101748</v>
      </c>
      <c r="AN32" s="56" t="n">
        <f aca="false">MAX(0,'10_DEMAND'!AN30-'10_DEMAND'!AN31)</f>
        <v>45661.0114829693</v>
      </c>
      <c r="AO32" s="56" t="n">
        <f aca="false">MAX(0,'10_DEMAND'!AO30-'10_DEMAND'!AO31)</f>
        <v>49648.2343360487</v>
      </c>
      <c r="AP32" s="56" t="n">
        <f aca="false">MAX(0,'10_DEMAND'!AP30-'10_DEMAND'!AP31)</f>
        <v>53961.8280724031</v>
      </c>
      <c r="AQ32" s="56" t="n">
        <f aca="false">MAX(0,'10_DEMAND'!AQ30-'10_DEMAND'!AQ31)</f>
        <v>58628.1238953382</v>
      </c>
      <c r="AR32" s="56" t="n">
        <f aca="false">MAX(0,'10_DEMAND'!AR30-'10_DEMAND'!AR31)</f>
        <v>63675.6001914768</v>
      </c>
    </row>
    <row r="33" customFormat="false" ht="15" hidden="false" customHeight="true" outlineLevel="0" collapsed="false">
      <c r="A33" s="23" t="s">
        <v>517</v>
      </c>
      <c r="B33" s="23" t="s">
        <v>299</v>
      </c>
      <c r="E33" s="56" t="n">
        <f aca="false">'10_DEMAND'!E32+'10_DEMAND'!$C$19+'10_DEMAND'!$C$16</f>
        <v>1448.89743589744</v>
      </c>
      <c r="F33" s="56" t="n">
        <f aca="false">'10_DEMAND'!F32+'10_DEMAND'!$C$19+'10_DEMAND'!$C$16</f>
        <v>1658.21320512821</v>
      </c>
      <c r="G33" s="56" t="n">
        <f aca="false">'10_DEMAND'!G32+'10_DEMAND'!$C$19+'10_DEMAND'!$C$16</f>
        <v>1888.57145320513</v>
      </c>
      <c r="H33" s="56" t="n">
        <f aca="false">'10_DEMAND'!H32+'10_DEMAND'!$C$19+'10_DEMAND'!$C$16</f>
        <v>2141.75382052244</v>
      </c>
      <c r="I33" s="56" t="n">
        <f aca="false">'10_DEMAND'!I32+'10_DEMAND'!$C$19+'10_DEMAND'!$C$16</f>
        <v>2419.68417419595</v>
      </c>
      <c r="J33" s="56" t="n">
        <f aca="false">'10_DEMAND'!J32+'10_DEMAND'!$C$19+'10_DEMAND'!$C$16</f>
        <v>2724.43980414227</v>
      </c>
      <c r="K33" s="56" t="n">
        <f aca="false">'10_DEMAND'!K32+'10_DEMAND'!$C$19+'10_DEMAND'!$C$16</f>
        <v>3058.26350922977</v>
      </c>
      <c r="L33" s="56" t="n">
        <f aca="false">'10_DEMAND'!L32+'10_DEMAND'!$C$19+'10_DEMAND'!$C$16</f>
        <v>3423.57664595911</v>
      </c>
      <c r="M33" s="56" t="n">
        <f aca="false">'10_DEMAND'!M32+'10_DEMAND'!$C$19+'10_DEMAND'!$C$16</f>
        <v>3822.99321821508</v>
      </c>
      <c r="N33" s="56" t="n">
        <f aca="false">'10_DEMAND'!N32+'10_DEMAND'!$C$19+'10_DEMAND'!$C$16</f>
        <v>4259.3350932438</v>
      </c>
      <c r="O33" s="56" t="n">
        <f aca="false">'10_DEMAND'!O32+'10_DEMAND'!$C$19+'10_DEMAND'!$C$16</f>
        <v>4735.64843619659</v>
      </c>
      <c r="P33" s="56" t="n">
        <f aca="false">'10_DEMAND'!P32+'10_DEMAND'!$C$19+'10_DEMAND'!$C$16</f>
        <v>5255.22146339626</v>
      </c>
      <c r="Q33" s="56" t="n">
        <f aca="false">'10_DEMAND'!Q32+'10_DEMAND'!$C$19+'10_DEMAND'!$C$16</f>
        <v>5821.60362297934</v>
      </c>
      <c r="R33" s="56" t="n">
        <f aca="false">'10_DEMAND'!R32+'10_DEMAND'!$C$19+'10_DEMAND'!$C$16</f>
        <v>6438.62632081029</v>
      </c>
      <c r="S33" s="56" t="n">
        <f aca="false">'10_DEMAND'!S32+'10_DEMAND'!$C$19+'10_DEMAND'!$C$16</f>
        <v>7110.42531961888</v>
      </c>
      <c r="T33" s="56" t="n">
        <f aca="false">'10_DEMAND'!T32+'10_DEMAND'!$C$19+'10_DEMAND'!$C$16</f>
        <v>7841.46495025224</v>
      </c>
      <c r="U33" s="56" t="n">
        <f aca="false">'10_DEMAND'!U32+'10_DEMAND'!$C$19+'10_DEMAND'!$C$16</f>
        <v>8636.56428584033</v>
      </c>
      <c r="V33" s="56" t="n">
        <f aca="false">'10_DEMAND'!V32+'10_DEMAND'!$C$19+'10_DEMAND'!$C$16</f>
        <v>9500.9254426341</v>
      </c>
      <c r="W33" s="56" t="n">
        <f aca="false">'10_DEMAND'!W32+'10_DEMAND'!$C$19+'10_DEMAND'!$C$16</f>
        <v>10440.1641853865</v>
      </c>
      <c r="X33" s="56" t="n">
        <f aca="false">'10_DEMAND'!X32+'10_DEMAND'!$C$19+'10_DEMAND'!$C$16</f>
        <v>11460.3430305128</v>
      </c>
      <c r="Y33" s="56" t="n">
        <f aca="false">'10_DEMAND'!Y32+'10_DEMAND'!$C$19+'10_DEMAND'!$C$16</f>
        <v>12568.0070570007</v>
      </c>
      <c r="Z33" s="56" t="n">
        <f aca="false">'10_DEMAND'!Z32+'10_DEMAND'!$C$19+'10_DEMAND'!$C$16</f>
        <v>13770.222653275</v>
      </c>
      <c r="AA33" s="56" t="n">
        <f aca="false">'10_DEMAND'!AA32+'10_DEMAND'!$C$19+'10_DEMAND'!$C$16</f>
        <v>15074.6194480809</v>
      </c>
      <c r="AB33" s="56" t="n">
        <f aca="false">'10_DEMAND'!AB32+'10_DEMAND'!$C$19+'10_DEMAND'!$C$16</f>
        <v>16489.4356951001</v>
      </c>
      <c r="AC33" s="56" t="n">
        <f aca="false">'10_DEMAND'!AC32+'10_DEMAND'!$C$19+'10_DEMAND'!$C$16</f>
        <v>18023.5674046063</v>
      </c>
      <c r="AD33" s="56" t="n">
        <f aca="false">'10_DEMAND'!AD32+'10_DEMAND'!$C$19+'10_DEMAND'!$C$16</f>
        <v>19686.6215411865</v>
      </c>
      <c r="AE33" s="56" t="n">
        <f aca="false">'10_DEMAND'!AE32+'10_DEMAND'!$C$19+'10_DEMAND'!$C$16</f>
        <v>21488.9736346015</v>
      </c>
      <c r="AF33" s="56" t="n">
        <f aca="false">'10_DEMAND'!AF32+'10_DEMAND'!$C$19+'10_DEMAND'!$C$16</f>
        <v>23441.8301814403</v>
      </c>
      <c r="AG33" s="56" t="n">
        <f aca="false">'10_DEMAND'!AG32+'10_DEMAND'!$C$19+'10_DEMAND'!$C$16</f>
        <v>25557.2962485842</v>
      </c>
      <c r="AH33" s="56" t="n">
        <f aca="false">'10_DEMAND'!AH32+'10_DEMAND'!$C$19+'10_DEMAND'!$C$16</f>
        <v>27848.4487258861</v>
      </c>
      <c r="AI33" s="56" t="n">
        <f aca="false">'10_DEMAND'!AI32+'10_DEMAND'!$C$19+'10_DEMAND'!$C$16</f>
        <v>30329.4157151799</v>
      </c>
      <c r="AJ33" s="56" t="n">
        <f aca="false">'10_DEMAND'!AJ32+'10_DEMAND'!$C$19+'10_DEMAND'!$C$16</f>
        <v>33015.4625860659</v>
      </c>
      <c r="AK33" s="56" t="n">
        <f aca="false">'10_DEMAND'!AK32+'10_DEMAND'!$C$19+'10_DEMAND'!$C$16</f>
        <v>35923.0852762155</v>
      </c>
      <c r="AL33" s="56" t="n">
        <f aca="false">'10_DEMAND'!AL32+'10_DEMAND'!$C$19+'10_DEMAND'!$C$16</f>
        <v>39070.1114655693</v>
      </c>
      <c r="AM33" s="56" t="n">
        <f aca="false">'10_DEMAND'!AM32+'10_DEMAND'!$C$19+'10_DEMAND'!$C$16</f>
        <v>42475.8103101748</v>
      </c>
      <c r="AN33" s="56" t="n">
        <f aca="false">'10_DEMAND'!AN32+'10_DEMAND'!$C$19+'10_DEMAND'!$C$16</f>
        <v>46161.0114829693</v>
      </c>
      <c r="AO33" s="56" t="n">
        <f aca="false">'10_DEMAND'!AO32+'10_DEMAND'!$C$19+'10_DEMAND'!$C$16</f>
        <v>50148.2343360487</v>
      </c>
      <c r="AP33" s="56" t="n">
        <f aca="false">'10_DEMAND'!AP32+'10_DEMAND'!$C$19+'10_DEMAND'!$C$16</f>
        <v>54461.8280724031</v>
      </c>
      <c r="AQ33" s="56" t="n">
        <f aca="false">'10_DEMAND'!AQ32+'10_DEMAND'!$C$19+'10_DEMAND'!$C$16</f>
        <v>59128.1238953382</v>
      </c>
      <c r="AR33" s="56" t="n">
        <f aca="false">'10_DEMAND'!AR32+'10_DEMAND'!$C$19+'10_DEMAND'!$C$16</f>
        <v>64175.6001914768</v>
      </c>
    </row>
    <row r="34" customFormat="false" ht="15" hidden="false" customHeight="true" outlineLevel="0" collapsed="false">
      <c r="A34" s="23" t="s">
        <v>518</v>
      </c>
      <c r="B34" s="23" t="s">
        <v>299</v>
      </c>
      <c r="E34" s="56" t="n">
        <f aca="false">'06_CONSTRUCTION'!E14*'03_HYDROLOGY'!$C$33</f>
        <v>0</v>
      </c>
      <c r="F34" s="56" t="n">
        <f aca="false">'06_CONSTRUCTION'!F14*'03_HYDROLOGY'!$C$33</f>
        <v>0</v>
      </c>
      <c r="G34" s="56" t="n">
        <f aca="false">'06_CONSTRUCTION'!G14*'03_HYDROLOGY'!$C$33</f>
        <v>0</v>
      </c>
      <c r="H34" s="56" t="n">
        <f aca="false">'06_CONSTRUCTION'!H14*'03_HYDROLOGY'!$C$33</f>
        <v>292.481378037504</v>
      </c>
      <c r="I34" s="56" t="n">
        <f aca="false">'06_CONSTRUCTION'!I14*'03_HYDROLOGY'!$C$33</f>
        <v>292.481378037504</v>
      </c>
      <c r="J34" s="56" t="n">
        <f aca="false">'06_CONSTRUCTION'!J14*'03_HYDROLOGY'!$C$33</f>
        <v>292.481378037504</v>
      </c>
      <c r="K34" s="56" t="n">
        <f aca="false">'06_CONSTRUCTION'!K14*'03_HYDROLOGY'!$C$33</f>
        <v>292.481378037504</v>
      </c>
      <c r="L34" s="56" t="n">
        <f aca="false">'06_CONSTRUCTION'!L14*'03_HYDROLOGY'!$C$33</f>
        <v>292.481378037504</v>
      </c>
      <c r="M34" s="56" t="n">
        <f aca="false">'06_CONSTRUCTION'!M14*'03_HYDROLOGY'!$C$33</f>
        <v>292.481378037504</v>
      </c>
      <c r="N34" s="56" t="n">
        <f aca="false">'06_CONSTRUCTION'!N14*'03_HYDROLOGY'!$C$33</f>
        <v>292.481378037504</v>
      </c>
      <c r="O34" s="56" t="n">
        <f aca="false">'06_CONSTRUCTION'!O14*'03_HYDROLOGY'!$C$33</f>
        <v>292.481378037504</v>
      </c>
      <c r="P34" s="56" t="n">
        <f aca="false">'06_CONSTRUCTION'!P14*'03_HYDROLOGY'!$C$33</f>
        <v>292.481378037504</v>
      </c>
      <c r="Q34" s="56" t="n">
        <f aca="false">'06_CONSTRUCTION'!Q14*'03_HYDROLOGY'!$C$33</f>
        <v>292.481378037504</v>
      </c>
      <c r="R34" s="56" t="n">
        <f aca="false">'06_CONSTRUCTION'!R14*'03_HYDROLOGY'!$C$33</f>
        <v>292.481378037504</v>
      </c>
      <c r="S34" s="56" t="n">
        <f aca="false">'06_CONSTRUCTION'!S14*'03_HYDROLOGY'!$C$33</f>
        <v>292.481378037504</v>
      </c>
      <c r="T34" s="56" t="n">
        <f aca="false">'06_CONSTRUCTION'!T14*'03_HYDROLOGY'!$C$33</f>
        <v>292.481378037504</v>
      </c>
      <c r="U34" s="56" t="n">
        <f aca="false">'06_CONSTRUCTION'!U14*'03_HYDROLOGY'!$C$33</f>
        <v>292.481378037504</v>
      </c>
      <c r="V34" s="56" t="n">
        <f aca="false">'06_CONSTRUCTION'!V14*'03_HYDROLOGY'!$C$33</f>
        <v>292.481378037504</v>
      </c>
      <c r="W34" s="56" t="n">
        <f aca="false">'06_CONSTRUCTION'!W14*'03_HYDROLOGY'!$C$33</f>
        <v>292.481378037504</v>
      </c>
      <c r="X34" s="56" t="n">
        <f aca="false">'06_CONSTRUCTION'!X14*'03_HYDROLOGY'!$C$33</f>
        <v>292.481378037504</v>
      </c>
      <c r="Y34" s="56" t="n">
        <f aca="false">'06_CONSTRUCTION'!Y14*'03_HYDROLOGY'!$C$33</f>
        <v>292.481378037504</v>
      </c>
      <c r="Z34" s="56" t="n">
        <f aca="false">'06_CONSTRUCTION'!Z14*'03_HYDROLOGY'!$C$33</f>
        <v>292.481378037504</v>
      </c>
      <c r="AA34" s="56" t="n">
        <f aca="false">'06_CONSTRUCTION'!AA14*'03_HYDROLOGY'!$C$33</f>
        <v>292.481378037504</v>
      </c>
      <c r="AB34" s="56" t="n">
        <f aca="false">'06_CONSTRUCTION'!AB14*'03_HYDROLOGY'!$C$33</f>
        <v>292.481378037504</v>
      </c>
      <c r="AC34" s="56" t="n">
        <f aca="false">'06_CONSTRUCTION'!AC14*'03_HYDROLOGY'!$C$33</f>
        <v>292.481378037504</v>
      </c>
      <c r="AD34" s="56" t="n">
        <f aca="false">'06_CONSTRUCTION'!AD14*'03_HYDROLOGY'!$C$33</f>
        <v>292.481378037504</v>
      </c>
      <c r="AE34" s="56" t="n">
        <f aca="false">'06_CONSTRUCTION'!AE14*'03_HYDROLOGY'!$C$33</f>
        <v>292.481378037504</v>
      </c>
      <c r="AF34" s="56" t="n">
        <f aca="false">'06_CONSTRUCTION'!AF14*'03_HYDROLOGY'!$C$33</f>
        <v>292.481378037504</v>
      </c>
      <c r="AG34" s="56" t="n">
        <f aca="false">'06_CONSTRUCTION'!AG14*'03_HYDROLOGY'!$C$33</f>
        <v>0</v>
      </c>
      <c r="AH34" s="56" t="n">
        <f aca="false">'06_CONSTRUCTION'!AH14*'03_HYDROLOGY'!$C$33</f>
        <v>0</v>
      </c>
      <c r="AI34" s="56" t="n">
        <f aca="false">'06_CONSTRUCTION'!AI14*'03_HYDROLOGY'!$C$33</f>
        <v>0</v>
      </c>
      <c r="AJ34" s="56" t="n">
        <f aca="false">'06_CONSTRUCTION'!AJ14*'03_HYDROLOGY'!$C$33</f>
        <v>0</v>
      </c>
      <c r="AK34" s="56" t="n">
        <f aca="false">'06_CONSTRUCTION'!AK14*'03_HYDROLOGY'!$C$33</f>
        <v>0</v>
      </c>
      <c r="AL34" s="56" t="n">
        <f aca="false">'06_CONSTRUCTION'!AL14*'03_HYDROLOGY'!$C$33</f>
        <v>0</v>
      </c>
      <c r="AM34" s="56" t="n">
        <f aca="false">'06_CONSTRUCTION'!AM14*'03_HYDROLOGY'!$C$33</f>
        <v>0</v>
      </c>
      <c r="AN34" s="56" t="n">
        <f aca="false">'06_CONSTRUCTION'!AN14*'03_HYDROLOGY'!$C$33</f>
        <v>0</v>
      </c>
      <c r="AO34" s="56" t="n">
        <f aca="false">'06_CONSTRUCTION'!AO14*'03_HYDROLOGY'!$C$33</f>
        <v>0</v>
      </c>
      <c r="AP34" s="56" t="n">
        <f aca="false">'06_CONSTRUCTION'!AP14*'03_HYDROLOGY'!$C$33</f>
        <v>0</v>
      </c>
      <c r="AQ34" s="56" t="n">
        <f aca="false">'06_CONSTRUCTION'!AQ14*'03_HYDROLOGY'!$C$33</f>
        <v>0</v>
      </c>
      <c r="AR34" s="56" t="n">
        <f aca="false">'06_CONSTRUCTION'!AR14*'03_HYDROLOGY'!$C$33</f>
        <v>0</v>
      </c>
    </row>
    <row r="35" customFormat="false" ht="15" hidden="false" customHeight="true" outlineLevel="0" collapsed="false">
      <c r="A35" s="19" t="s">
        <v>519</v>
      </c>
      <c r="B35" s="23" t="s">
        <v>299</v>
      </c>
      <c r="E35" s="64" t="n">
        <f aca="false">'06_CONSTRUCTION'!E14*MIN('10_DEMAND'!E34,'10_DEMAND'!E33*'10_DEMAND'!E29/('10_DEMAND'!E27+'10_DEMAND'!$C$16))</f>
        <v>0</v>
      </c>
      <c r="F35" s="64" t="n">
        <f aca="false">'06_CONSTRUCTION'!F14*MIN('10_DEMAND'!F34,'10_DEMAND'!F33*'10_DEMAND'!F29/('10_DEMAND'!F27+'10_DEMAND'!$C$16))</f>
        <v>0</v>
      </c>
      <c r="G35" s="64" t="n">
        <f aca="false">'06_CONSTRUCTION'!G14*MIN('10_DEMAND'!G34,'10_DEMAND'!G33*'10_DEMAND'!G29/('10_DEMAND'!G27+'10_DEMAND'!$C$16))</f>
        <v>0</v>
      </c>
      <c r="H35" s="64" t="n">
        <f aca="false">'06_CONSTRUCTION'!H14*MIN('10_DEMAND'!H34,'10_DEMAND'!H33*'10_DEMAND'!H29/('10_DEMAND'!H27+'10_DEMAND'!$C$16))</f>
        <v>292.481378037504</v>
      </c>
      <c r="I35" s="64" t="n">
        <f aca="false">'06_CONSTRUCTION'!I14*MIN('10_DEMAND'!I34,'10_DEMAND'!I33*'10_DEMAND'!I29/('10_DEMAND'!I27+'10_DEMAND'!$C$16))</f>
        <v>292.481378037504</v>
      </c>
      <c r="J35" s="64" t="n">
        <f aca="false">'06_CONSTRUCTION'!J14*MIN('10_DEMAND'!J34,'10_DEMAND'!J33*'10_DEMAND'!J29/('10_DEMAND'!J27+'10_DEMAND'!$C$16))</f>
        <v>292.481378037504</v>
      </c>
      <c r="K35" s="64" t="n">
        <f aca="false">'06_CONSTRUCTION'!K14*MIN('10_DEMAND'!K34,'10_DEMAND'!K33*'10_DEMAND'!K29/('10_DEMAND'!K27+'10_DEMAND'!$C$16))</f>
        <v>292.481378037504</v>
      </c>
      <c r="L35" s="64" t="n">
        <f aca="false">'06_CONSTRUCTION'!L14*MIN('10_DEMAND'!L34,'10_DEMAND'!L33*'10_DEMAND'!L29/('10_DEMAND'!L27+'10_DEMAND'!$C$16))</f>
        <v>292.481378037504</v>
      </c>
      <c r="M35" s="64" t="n">
        <f aca="false">'06_CONSTRUCTION'!M14*MIN('10_DEMAND'!M34,'10_DEMAND'!M33*'10_DEMAND'!M29/('10_DEMAND'!M27+'10_DEMAND'!$C$16))</f>
        <v>292.481378037504</v>
      </c>
      <c r="N35" s="64" t="n">
        <f aca="false">'06_CONSTRUCTION'!N14*MIN('10_DEMAND'!N34,'10_DEMAND'!N33*'10_DEMAND'!N29/('10_DEMAND'!N27+'10_DEMAND'!$C$16))</f>
        <v>292.481378037504</v>
      </c>
      <c r="O35" s="64" t="n">
        <f aca="false">'06_CONSTRUCTION'!O14*MIN('10_DEMAND'!O34,'10_DEMAND'!O33*'10_DEMAND'!O29/('10_DEMAND'!O27+'10_DEMAND'!$C$16))</f>
        <v>292.481378037504</v>
      </c>
      <c r="P35" s="64" t="n">
        <f aca="false">'06_CONSTRUCTION'!P14*MIN('10_DEMAND'!P34,'10_DEMAND'!P33*'10_DEMAND'!P29/('10_DEMAND'!P27+'10_DEMAND'!$C$16))</f>
        <v>292.481378037504</v>
      </c>
      <c r="Q35" s="64" t="n">
        <f aca="false">'06_CONSTRUCTION'!Q14*MIN('10_DEMAND'!Q34,'10_DEMAND'!Q33*'10_DEMAND'!Q29/('10_DEMAND'!Q27+'10_DEMAND'!$C$16))</f>
        <v>292.481378037504</v>
      </c>
      <c r="R35" s="64" t="n">
        <f aca="false">'06_CONSTRUCTION'!R14*MIN('10_DEMAND'!R34,'10_DEMAND'!R33*'10_DEMAND'!R29/('10_DEMAND'!R27+'10_DEMAND'!$C$16))</f>
        <v>292.481378037504</v>
      </c>
      <c r="S35" s="64" t="n">
        <f aca="false">'06_CONSTRUCTION'!S14*MIN('10_DEMAND'!S34,'10_DEMAND'!S33*'10_DEMAND'!S29/('10_DEMAND'!S27+'10_DEMAND'!$C$16))</f>
        <v>292.481378037504</v>
      </c>
      <c r="T35" s="64" t="n">
        <f aca="false">'06_CONSTRUCTION'!T14*MIN('10_DEMAND'!T34,'10_DEMAND'!T33*'10_DEMAND'!T29/('10_DEMAND'!T27+'10_DEMAND'!$C$16))</f>
        <v>292.481378037504</v>
      </c>
      <c r="U35" s="64" t="n">
        <f aca="false">'06_CONSTRUCTION'!U14*MIN('10_DEMAND'!U34,'10_DEMAND'!U33*'10_DEMAND'!U29/('10_DEMAND'!U27+'10_DEMAND'!$C$16))</f>
        <v>292.481378037504</v>
      </c>
      <c r="V35" s="64" t="n">
        <f aca="false">'06_CONSTRUCTION'!V14*MIN('10_DEMAND'!V34,'10_DEMAND'!V33*'10_DEMAND'!V29/('10_DEMAND'!V27+'10_DEMAND'!$C$16))</f>
        <v>292.481378037504</v>
      </c>
      <c r="W35" s="64" t="n">
        <f aca="false">'06_CONSTRUCTION'!W14*MIN('10_DEMAND'!W34,'10_DEMAND'!W33*'10_DEMAND'!W29/('10_DEMAND'!W27+'10_DEMAND'!$C$16))</f>
        <v>292.481378037504</v>
      </c>
      <c r="X35" s="64" t="n">
        <f aca="false">'06_CONSTRUCTION'!X14*MIN('10_DEMAND'!X34,'10_DEMAND'!X33*'10_DEMAND'!X29/('10_DEMAND'!X27+'10_DEMAND'!$C$16))</f>
        <v>292.481378037504</v>
      </c>
      <c r="Y35" s="64" t="n">
        <f aca="false">'06_CONSTRUCTION'!Y14*MIN('10_DEMAND'!Y34,'10_DEMAND'!Y33*'10_DEMAND'!Y29/('10_DEMAND'!Y27+'10_DEMAND'!$C$16))</f>
        <v>292.481378037504</v>
      </c>
      <c r="Z35" s="64" t="n">
        <f aca="false">'06_CONSTRUCTION'!Z14*MIN('10_DEMAND'!Z34,'10_DEMAND'!Z33*'10_DEMAND'!Z29/('10_DEMAND'!Z27+'10_DEMAND'!$C$16))</f>
        <v>292.481378037504</v>
      </c>
      <c r="AA35" s="64" t="n">
        <f aca="false">'06_CONSTRUCTION'!AA14*MIN('10_DEMAND'!AA34,'10_DEMAND'!AA33*'10_DEMAND'!AA29/('10_DEMAND'!AA27+'10_DEMAND'!$C$16))</f>
        <v>292.481378037504</v>
      </c>
      <c r="AB35" s="64" t="n">
        <f aca="false">'06_CONSTRUCTION'!AB14*MIN('10_DEMAND'!AB34,'10_DEMAND'!AB33*'10_DEMAND'!AB29/('10_DEMAND'!AB27+'10_DEMAND'!$C$16))</f>
        <v>292.481378037504</v>
      </c>
      <c r="AC35" s="64" t="n">
        <f aca="false">'06_CONSTRUCTION'!AC14*MIN('10_DEMAND'!AC34,'10_DEMAND'!AC33*'10_DEMAND'!AC29/('10_DEMAND'!AC27+'10_DEMAND'!$C$16))</f>
        <v>292.481378037504</v>
      </c>
      <c r="AD35" s="64" t="n">
        <f aca="false">'06_CONSTRUCTION'!AD14*MIN('10_DEMAND'!AD34,'10_DEMAND'!AD33*'10_DEMAND'!AD29/('10_DEMAND'!AD27+'10_DEMAND'!$C$16))</f>
        <v>292.481378037504</v>
      </c>
      <c r="AE35" s="64" t="n">
        <f aca="false">'06_CONSTRUCTION'!AE14*MIN('10_DEMAND'!AE34,'10_DEMAND'!AE33*'10_DEMAND'!AE29/('10_DEMAND'!AE27+'10_DEMAND'!$C$16))</f>
        <v>292.481378037504</v>
      </c>
      <c r="AF35" s="64" t="n">
        <f aca="false">'06_CONSTRUCTION'!AF14*MIN('10_DEMAND'!AF34,'10_DEMAND'!AF33*'10_DEMAND'!AF29/('10_DEMAND'!AF27+'10_DEMAND'!$C$16))</f>
        <v>292.481378037504</v>
      </c>
      <c r="AG35" s="64" t="n">
        <f aca="false">'06_CONSTRUCTION'!AG14*MIN('10_DEMAND'!AG34,'10_DEMAND'!AG33*'10_DEMAND'!AG29/('10_DEMAND'!AG27+'10_DEMAND'!$C$16))</f>
        <v>0</v>
      </c>
      <c r="AH35" s="64" t="n">
        <f aca="false">'06_CONSTRUCTION'!AH14*MIN('10_DEMAND'!AH34,'10_DEMAND'!AH33*'10_DEMAND'!AH29/('10_DEMAND'!AH27+'10_DEMAND'!$C$16))</f>
        <v>0</v>
      </c>
      <c r="AI35" s="64" t="n">
        <f aca="false">'06_CONSTRUCTION'!AI14*MIN('10_DEMAND'!AI34,'10_DEMAND'!AI33*'10_DEMAND'!AI29/('10_DEMAND'!AI27+'10_DEMAND'!$C$16))</f>
        <v>0</v>
      </c>
      <c r="AJ35" s="64" t="n">
        <f aca="false">'06_CONSTRUCTION'!AJ14*MIN('10_DEMAND'!AJ34,'10_DEMAND'!AJ33*'10_DEMAND'!AJ29/('10_DEMAND'!AJ27+'10_DEMAND'!$C$16))</f>
        <v>0</v>
      </c>
      <c r="AK35" s="64" t="n">
        <f aca="false">'06_CONSTRUCTION'!AK14*MIN('10_DEMAND'!AK34,'10_DEMAND'!AK33*'10_DEMAND'!AK29/('10_DEMAND'!AK27+'10_DEMAND'!$C$16))</f>
        <v>0</v>
      </c>
      <c r="AL35" s="64" t="n">
        <f aca="false">'06_CONSTRUCTION'!AL14*MIN('10_DEMAND'!AL34,'10_DEMAND'!AL33*'10_DEMAND'!AL29/('10_DEMAND'!AL27+'10_DEMAND'!$C$16))</f>
        <v>0</v>
      </c>
      <c r="AM35" s="64" t="n">
        <f aca="false">'06_CONSTRUCTION'!AM14*MIN('10_DEMAND'!AM34,'10_DEMAND'!AM33*'10_DEMAND'!AM29/('10_DEMAND'!AM27+'10_DEMAND'!$C$16))</f>
        <v>0</v>
      </c>
      <c r="AN35" s="64" t="n">
        <f aca="false">'06_CONSTRUCTION'!AN14*MIN('10_DEMAND'!AN34,'10_DEMAND'!AN33*'10_DEMAND'!AN29/('10_DEMAND'!AN27+'10_DEMAND'!$C$16))</f>
        <v>0</v>
      </c>
      <c r="AO35" s="64" t="n">
        <f aca="false">'06_CONSTRUCTION'!AO14*MIN('10_DEMAND'!AO34,'10_DEMAND'!AO33*'10_DEMAND'!AO29/('10_DEMAND'!AO27+'10_DEMAND'!$C$16))</f>
        <v>0</v>
      </c>
      <c r="AP35" s="64" t="n">
        <f aca="false">'06_CONSTRUCTION'!AP14*MIN('10_DEMAND'!AP34,'10_DEMAND'!AP33*'10_DEMAND'!AP29/('10_DEMAND'!AP27+'10_DEMAND'!$C$16))</f>
        <v>0</v>
      </c>
      <c r="AQ35" s="64" t="n">
        <f aca="false">'06_CONSTRUCTION'!AQ14*MIN('10_DEMAND'!AQ34,'10_DEMAND'!AQ33*'10_DEMAND'!AQ29/('10_DEMAND'!AQ27+'10_DEMAND'!$C$16))</f>
        <v>0</v>
      </c>
      <c r="AR35" s="64" t="n">
        <f aca="false">'06_CONSTRUCTION'!AR14*MIN('10_DEMAND'!AR34,'10_DEMAND'!AR33*'10_DEMAND'!AR29/('10_DEMAND'!AR27+'10_DEMAND'!$C$16))</f>
        <v>0</v>
      </c>
    </row>
    <row r="36" customFormat="false" ht="15" hidden="false" customHeight="true" outlineLevel="0" collapsed="false">
      <c r="A36" s="23" t="s">
        <v>520</v>
      </c>
      <c r="B36" s="23" t="s">
        <v>119</v>
      </c>
      <c r="E36" s="76" t="str">
        <f aca="false">IF('10_DEMAND'!E34&gt;0,'10_DEMAND'!E35/'10_DEMAND'!E34,"")</f>
        <v/>
      </c>
      <c r="F36" s="76" t="str">
        <f aca="false">IF('10_DEMAND'!F34&gt;0,'10_DEMAND'!F35/'10_DEMAND'!F34,"")</f>
        <v/>
      </c>
      <c r="G36" s="76" t="str">
        <f aca="false">IF('10_DEMAND'!G34&gt;0,'10_DEMAND'!G35/'10_DEMAND'!G34,"")</f>
        <v/>
      </c>
      <c r="H36" s="76" t="n">
        <f aca="false">IF('10_DEMAND'!H34&gt;0,'10_DEMAND'!H35/'10_DEMAND'!H34,"")</f>
        <v>1</v>
      </c>
      <c r="I36" s="76" t="n">
        <f aca="false">IF('10_DEMAND'!I34&gt;0,'10_DEMAND'!I35/'10_DEMAND'!I34,"")</f>
        <v>1</v>
      </c>
      <c r="J36" s="76" t="n">
        <f aca="false">IF('10_DEMAND'!J34&gt;0,'10_DEMAND'!J35/'10_DEMAND'!J34,"")</f>
        <v>1</v>
      </c>
      <c r="K36" s="76" t="n">
        <f aca="false">IF('10_DEMAND'!K34&gt;0,'10_DEMAND'!K35/'10_DEMAND'!K34,"")</f>
        <v>1</v>
      </c>
      <c r="L36" s="76" t="n">
        <f aca="false">IF('10_DEMAND'!L34&gt;0,'10_DEMAND'!L35/'10_DEMAND'!L34,"")</f>
        <v>1</v>
      </c>
      <c r="M36" s="76" t="n">
        <f aca="false">IF('10_DEMAND'!M34&gt;0,'10_DEMAND'!M35/'10_DEMAND'!M34,"")</f>
        <v>1</v>
      </c>
      <c r="N36" s="76" t="n">
        <f aca="false">IF('10_DEMAND'!N34&gt;0,'10_DEMAND'!N35/'10_DEMAND'!N34,"")</f>
        <v>1</v>
      </c>
      <c r="O36" s="76" t="n">
        <f aca="false">IF('10_DEMAND'!O34&gt;0,'10_DEMAND'!O35/'10_DEMAND'!O34,"")</f>
        <v>1</v>
      </c>
      <c r="P36" s="76" t="n">
        <f aca="false">IF('10_DEMAND'!P34&gt;0,'10_DEMAND'!P35/'10_DEMAND'!P34,"")</f>
        <v>1</v>
      </c>
      <c r="Q36" s="76" t="n">
        <f aca="false">IF('10_DEMAND'!Q34&gt;0,'10_DEMAND'!Q35/'10_DEMAND'!Q34,"")</f>
        <v>1</v>
      </c>
      <c r="R36" s="76" t="n">
        <f aca="false">IF('10_DEMAND'!R34&gt;0,'10_DEMAND'!R35/'10_DEMAND'!R34,"")</f>
        <v>1</v>
      </c>
      <c r="S36" s="76" t="n">
        <f aca="false">IF('10_DEMAND'!S34&gt;0,'10_DEMAND'!S35/'10_DEMAND'!S34,"")</f>
        <v>1</v>
      </c>
      <c r="T36" s="76" t="n">
        <f aca="false">IF('10_DEMAND'!T34&gt;0,'10_DEMAND'!T35/'10_DEMAND'!T34,"")</f>
        <v>1</v>
      </c>
      <c r="U36" s="76" t="n">
        <f aca="false">IF('10_DEMAND'!U34&gt;0,'10_DEMAND'!U35/'10_DEMAND'!U34,"")</f>
        <v>1</v>
      </c>
      <c r="V36" s="76" t="n">
        <f aca="false">IF('10_DEMAND'!V34&gt;0,'10_DEMAND'!V35/'10_DEMAND'!V34,"")</f>
        <v>1</v>
      </c>
      <c r="W36" s="76" t="n">
        <f aca="false">IF('10_DEMAND'!W34&gt;0,'10_DEMAND'!W35/'10_DEMAND'!W34,"")</f>
        <v>1</v>
      </c>
      <c r="X36" s="76" t="n">
        <f aca="false">IF('10_DEMAND'!X34&gt;0,'10_DEMAND'!X35/'10_DEMAND'!X34,"")</f>
        <v>1</v>
      </c>
      <c r="Y36" s="76" t="n">
        <f aca="false">IF('10_DEMAND'!Y34&gt;0,'10_DEMAND'!Y35/'10_DEMAND'!Y34,"")</f>
        <v>1</v>
      </c>
      <c r="Z36" s="76" t="n">
        <f aca="false">IF('10_DEMAND'!Z34&gt;0,'10_DEMAND'!Z35/'10_DEMAND'!Z34,"")</f>
        <v>1</v>
      </c>
      <c r="AA36" s="76" t="n">
        <f aca="false">IF('10_DEMAND'!AA34&gt;0,'10_DEMAND'!AA35/'10_DEMAND'!AA34,"")</f>
        <v>1</v>
      </c>
      <c r="AB36" s="76" t="n">
        <f aca="false">IF('10_DEMAND'!AB34&gt;0,'10_DEMAND'!AB35/'10_DEMAND'!AB34,"")</f>
        <v>1</v>
      </c>
      <c r="AC36" s="76" t="n">
        <f aca="false">IF('10_DEMAND'!AC34&gt;0,'10_DEMAND'!AC35/'10_DEMAND'!AC34,"")</f>
        <v>1</v>
      </c>
      <c r="AD36" s="76" t="n">
        <f aca="false">IF('10_DEMAND'!AD34&gt;0,'10_DEMAND'!AD35/'10_DEMAND'!AD34,"")</f>
        <v>1</v>
      </c>
      <c r="AE36" s="76" t="n">
        <f aca="false">IF('10_DEMAND'!AE34&gt;0,'10_DEMAND'!AE35/'10_DEMAND'!AE34,"")</f>
        <v>1</v>
      </c>
      <c r="AF36" s="76" t="n">
        <f aca="false">IF('10_DEMAND'!AF34&gt;0,'10_DEMAND'!AF35/'10_DEMAND'!AF34,"")</f>
        <v>1</v>
      </c>
      <c r="AG36" s="76" t="str">
        <f aca="false">IF('10_DEMAND'!AG34&gt;0,'10_DEMAND'!AG35/'10_DEMAND'!AG34,"")</f>
        <v/>
      </c>
      <c r="AH36" s="76" t="str">
        <f aca="false">IF('10_DEMAND'!AH34&gt;0,'10_DEMAND'!AH35/'10_DEMAND'!AH34,"")</f>
        <v/>
      </c>
      <c r="AI36" s="76" t="str">
        <f aca="false">IF('10_DEMAND'!AI34&gt;0,'10_DEMAND'!AI35/'10_DEMAND'!AI34,"")</f>
        <v/>
      </c>
      <c r="AJ36" s="76" t="str">
        <f aca="false">IF('10_DEMAND'!AJ34&gt;0,'10_DEMAND'!AJ35/'10_DEMAND'!AJ34,"")</f>
        <v/>
      </c>
      <c r="AK36" s="76" t="str">
        <f aca="false">IF('10_DEMAND'!AK34&gt;0,'10_DEMAND'!AK35/'10_DEMAND'!AK34,"")</f>
        <v/>
      </c>
      <c r="AL36" s="76" t="str">
        <f aca="false">IF('10_DEMAND'!AL34&gt;0,'10_DEMAND'!AL35/'10_DEMAND'!AL34,"")</f>
        <v/>
      </c>
      <c r="AM36" s="76" t="str">
        <f aca="false">IF('10_DEMAND'!AM34&gt;0,'10_DEMAND'!AM35/'10_DEMAND'!AM34,"")</f>
        <v/>
      </c>
      <c r="AN36" s="76" t="str">
        <f aca="false">IF('10_DEMAND'!AN34&gt;0,'10_DEMAND'!AN35/'10_DEMAND'!AN34,"")</f>
        <v/>
      </c>
      <c r="AO36" s="76" t="str">
        <f aca="false">IF('10_DEMAND'!AO34&gt;0,'10_DEMAND'!AO35/'10_DEMAND'!AO34,"")</f>
        <v/>
      </c>
      <c r="AP36" s="76" t="str">
        <f aca="false">IF('10_DEMAND'!AP34&gt;0,'10_DEMAND'!AP35/'10_DEMAND'!AP34,"")</f>
        <v/>
      </c>
      <c r="AQ36" s="76" t="str">
        <f aca="false">IF('10_DEMAND'!AQ34&gt;0,'10_DEMAND'!AQ35/'10_DEMAND'!AQ34,"")</f>
        <v/>
      </c>
      <c r="AR36" s="76" t="str">
        <f aca="false">IF('10_DEMAND'!AR34&gt;0,'10_DEMAND'!AR35/'10_DEMAND'!AR34,"")</f>
        <v/>
      </c>
    </row>
    <row r="37" customFormat="false" ht="15" hidden="false" customHeight="true" outlineLevel="0" collapsed="false">
      <c r="A37" s="23" t="s">
        <v>521</v>
      </c>
      <c r="B37" s="23" t="s">
        <v>119</v>
      </c>
      <c r="C37" s="76" t="n">
        <f aca="false">IF(COUNT('10_DEMAND'!$E$37:$AR$37)=0,99,MIN('10_DEMAND'!$E$37:$AR$37))</f>
        <v>1</v>
      </c>
      <c r="E37" s="76" t="str">
        <f aca="false">IF(AND('06_CONSTRUCTION'!E5&gt;=1,'06_CONSTRUCTION'!E5&lt;=5),'10_DEMAND'!E36,"")</f>
        <v/>
      </c>
      <c r="F37" s="76" t="str">
        <f aca="false">IF(AND('06_CONSTRUCTION'!F5&gt;=1,'06_CONSTRUCTION'!F5&lt;=5),'10_DEMAND'!F36,"")</f>
        <v/>
      </c>
      <c r="G37" s="76" t="str">
        <f aca="false">IF(AND('06_CONSTRUCTION'!G5&gt;=1,'06_CONSTRUCTION'!G5&lt;=5),'10_DEMAND'!G36,"")</f>
        <v/>
      </c>
      <c r="H37" s="76" t="n">
        <f aca="false">IF(AND('06_CONSTRUCTION'!H5&gt;=1,'06_CONSTRUCTION'!H5&lt;=5),'10_DEMAND'!H36,"")</f>
        <v>1</v>
      </c>
      <c r="I37" s="76" t="n">
        <f aca="false">IF(AND('06_CONSTRUCTION'!I5&gt;=1,'06_CONSTRUCTION'!I5&lt;=5),'10_DEMAND'!I36,"")</f>
        <v>1</v>
      </c>
      <c r="J37" s="76" t="n">
        <f aca="false">IF(AND('06_CONSTRUCTION'!J5&gt;=1,'06_CONSTRUCTION'!J5&lt;=5),'10_DEMAND'!J36,"")</f>
        <v>1</v>
      </c>
      <c r="K37" s="76" t="n">
        <f aca="false">IF(AND('06_CONSTRUCTION'!K5&gt;=1,'06_CONSTRUCTION'!K5&lt;=5),'10_DEMAND'!K36,"")</f>
        <v>1</v>
      </c>
      <c r="L37" s="76" t="n">
        <f aca="false">IF(AND('06_CONSTRUCTION'!L5&gt;=1,'06_CONSTRUCTION'!L5&lt;=5),'10_DEMAND'!L36,"")</f>
        <v>1</v>
      </c>
      <c r="M37" s="76" t="str">
        <f aca="false">IF(AND('06_CONSTRUCTION'!M5&gt;=1,'06_CONSTRUCTION'!M5&lt;=5),'10_DEMAND'!M36,"")</f>
        <v/>
      </c>
      <c r="N37" s="76" t="str">
        <f aca="false">IF(AND('06_CONSTRUCTION'!N5&gt;=1,'06_CONSTRUCTION'!N5&lt;=5),'10_DEMAND'!N36,"")</f>
        <v/>
      </c>
      <c r="O37" s="76" t="str">
        <f aca="false">IF(AND('06_CONSTRUCTION'!O5&gt;=1,'06_CONSTRUCTION'!O5&lt;=5),'10_DEMAND'!O36,"")</f>
        <v/>
      </c>
      <c r="P37" s="76" t="str">
        <f aca="false">IF(AND('06_CONSTRUCTION'!P5&gt;=1,'06_CONSTRUCTION'!P5&lt;=5),'10_DEMAND'!P36,"")</f>
        <v/>
      </c>
      <c r="Q37" s="76" t="str">
        <f aca="false">IF(AND('06_CONSTRUCTION'!Q5&gt;=1,'06_CONSTRUCTION'!Q5&lt;=5),'10_DEMAND'!Q36,"")</f>
        <v/>
      </c>
      <c r="R37" s="76" t="str">
        <f aca="false">IF(AND('06_CONSTRUCTION'!R5&gt;=1,'06_CONSTRUCTION'!R5&lt;=5),'10_DEMAND'!R36,"")</f>
        <v/>
      </c>
      <c r="S37" s="76" t="str">
        <f aca="false">IF(AND('06_CONSTRUCTION'!S5&gt;=1,'06_CONSTRUCTION'!S5&lt;=5),'10_DEMAND'!S36,"")</f>
        <v/>
      </c>
      <c r="T37" s="76" t="str">
        <f aca="false">IF(AND('06_CONSTRUCTION'!T5&gt;=1,'06_CONSTRUCTION'!T5&lt;=5),'10_DEMAND'!T36,"")</f>
        <v/>
      </c>
      <c r="U37" s="76" t="str">
        <f aca="false">IF(AND('06_CONSTRUCTION'!U5&gt;=1,'06_CONSTRUCTION'!U5&lt;=5),'10_DEMAND'!U36,"")</f>
        <v/>
      </c>
      <c r="V37" s="76" t="str">
        <f aca="false">IF(AND('06_CONSTRUCTION'!V5&gt;=1,'06_CONSTRUCTION'!V5&lt;=5),'10_DEMAND'!V36,"")</f>
        <v/>
      </c>
      <c r="W37" s="76" t="str">
        <f aca="false">IF(AND('06_CONSTRUCTION'!W5&gt;=1,'06_CONSTRUCTION'!W5&lt;=5),'10_DEMAND'!W36,"")</f>
        <v/>
      </c>
      <c r="X37" s="76" t="str">
        <f aca="false">IF(AND('06_CONSTRUCTION'!X5&gt;=1,'06_CONSTRUCTION'!X5&lt;=5),'10_DEMAND'!X36,"")</f>
        <v/>
      </c>
      <c r="Y37" s="76" t="str">
        <f aca="false">IF(AND('06_CONSTRUCTION'!Y5&gt;=1,'06_CONSTRUCTION'!Y5&lt;=5),'10_DEMAND'!Y36,"")</f>
        <v/>
      </c>
      <c r="Z37" s="76" t="str">
        <f aca="false">IF(AND('06_CONSTRUCTION'!Z5&gt;=1,'06_CONSTRUCTION'!Z5&lt;=5),'10_DEMAND'!Z36,"")</f>
        <v/>
      </c>
      <c r="AA37" s="76" t="str">
        <f aca="false">IF(AND('06_CONSTRUCTION'!AA5&gt;=1,'06_CONSTRUCTION'!AA5&lt;=5),'10_DEMAND'!AA36,"")</f>
        <v/>
      </c>
      <c r="AB37" s="76" t="str">
        <f aca="false">IF(AND('06_CONSTRUCTION'!AB5&gt;=1,'06_CONSTRUCTION'!AB5&lt;=5),'10_DEMAND'!AB36,"")</f>
        <v/>
      </c>
      <c r="AC37" s="76" t="str">
        <f aca="false">IF(AND('06_CONSTRUCTION'!AC5&gt;=1,'06_CONSTRUCTION'!AC5&lt;=5),'10_DEMAND'!AC36,"")</f>
        <v/>
      </c>
      <c r="AD37" s="76" t="str">
        <f aca="false">IF(AND('06_CONSTRUCTION'!AD5&gt;=1,'06_CONSTRUCTION'!AD5&lt;=5),'10_DEMAND'!AD36,"")</f>
        <v/>
      </c>
      <c r="AE37" s="76" t="str">
        <f aca="false">IF(AND('06_CONSTRUCTION'!AE5&gt;=1,'06_CONSTRUCTION'!AE5&lt;=5),'10_DEMAND'!AE36,"")</f>
        <v/>
      </c>
      <c r="AF37" s="76" t="str">
        <f aca="false">IF(AND('06_CONSTRUCTION'!AF5&gt;=1,'06_CONSTRUCTION'!AF5&lt;=5),'10_DEMAND'!AF36,"")</f>
        <v/>
      </c>
      <c r="AG37" s="76" t="str">
        <f aca="false">IF(AND('06_CONSTRUCTION'!AG5&gt;=1,'06_CONSTRUCTION'!AG5&lt;=5),'10_DEMAND'!AG36,"")</f>
        <v/>
      </c>
      <c r="AH37" s="76" t="str">
        <f aca="false">IF(AND('06_CONSTRUCTION'!AH5&gt;=1,'06_CONSTRUCTION'!AH5&lt;=5),'10_DEMAND'!AH36,"")</f>
        <v/>
      </c>
      <c r="AI37" s="76" t="str">
        <f aca="false">IF(AND('06_CONSTRUCTION'!AI5&gt;=1,'06_CONSTRUCTION'!AI5&lt;=5),'10_DEMAND'!AI36,"")</f>
        <v/>
      </c>
      <c r="AJ37" s="76" t="str">
        <f aca="false">IF(AND('06_CONSTRUCTION'!AJ5&gt;=1,'06_CONSTRUCTION'!AJ5&lt;=5),'10_DEMAND'!AJ36,"")</f>
        <v/>
      </c>
      <c r="AK37" s="76" t="str">
        <f aca="false">IF(AND('06_CONSTRUCTION'!AK5&gt;=1,'06_CONSTRUCTION'!AK5&lt;=5),'10_DEMAND'!AK36,"")</f>
        <v/>
      </c>
      <c r="AL37" s="76" t="str">
        <f aca="false">IF(AND('06_CONSTRUCTION'!AL5&gt;=1,'06_CONSTRUCTION'!AL5&lt;=5),'10_DEMAND'!AL36,"")</f>
        <v/>
      </c>
      <c r="AM37" s="76" t="str">
        <f aca="false">IF(AND('06_CONSTRUCTION'!AM5&gt;=1,'06_CONSTRUCTION'!AM5&lt;=5),'10_DEMAND'!AM36,"")</f>
        <v/>
      </c>
      <c r="AN37" s="76" t="str">
        <f aca="false">IF(AND('06_CONSTRUCTION'!AN5&gt;=1,'06_CONSTRUCTION'!AN5&lt;=5),'10_DEMAND'!AN36,"")</f>
        <v/>
      </c>
      <c r="AO37" s="76" t="str">
        <f aca="false">IF(AND('06_CONSTRUCTION'!AO5&gt;=1,'06_CONSTRUCTION'!AO5&lt;=5),'10_DEMAND'!AO36,"")</f>
        <v/>
      </c>
      <c r="AP37" s="76" t="str">
        <f aca="false">IF(AND('06_CONSTRUCTION'!AP5&gt;=1,'06_CONSTRUCTION'!AP5&lt;=5),'10_DEMAND'!AP36,"")</f>
        <v/>
      </c>
      <c r="AQ37" s="76" t="str">
        <f aca="false">IF(AND('06_CONSTRUCTION'!AQ5&gt;=1,'06_CONSTRUCTION'!AQ5&lt;=5),'10_DEMAND'!AQ36,"")</f>
        <v/>
      </c>
      <c r="AR37" s="76" t="str">
        <f aca="false">IF(AND('06_CONSTRUCTION'!AR5&gt;=1,'06_CONSTRUCTION'!AR5&lt;=5),'10_DEMAND'!AR36,"")</f>
        <v/>
      </c>
    </row>
    <row r="99" customFormat="false" ht="15" hidden="false" customHeight="true" outlineLevel="0" collapsed="false">
      <c r="A99" s="23" t="s">
        <v>522</v>
      </c>
      <c r="C99" s="56" t="n">
        <f aca="false">$B$8+$B$9+$B$10+$B$11+$B$12+$B$13</f>
        <v>7300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J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523</v>
      </c>
      <c r="B1" s="17"/>
      <c r="C1" s="17"/>
      <c r="D1" s="17"/>
      <c r="E1" s="17"/>
      <c r="F1" s="17"/>
      <c r="G1" s="17"/>
      <c r="H1" s="17"/>
      <c r="I1" s="17"/>
      <c r="J1" s="17"/>
    </row>
    <row r="2" customFormat="false" ht="15" hidden="false" customHeight="true" outlineLevel="0" collapsed="false">
      <c r="A2" s="18" t="s">
        <v>524</v>
      </c>
      <c r="B2" s="17"/>
      <c r="C2" s="17"/>
      <c r="D2" s="17"/>
      <c r="E2" s="17"/>
      <c r="F2" s="17"/>
      <c r="G2" s="17"/>
      <c r="H2" s="17"/>
      <c r="I2" s="17"/>
      <c r="J2" s="17"/>
    </row>
    <row r="4" customFormat="false" ht="15" hidden="false" customHeight="true" outlineLevel="0" collapsed="false">
      <c r="A4" s="23" t="s">
        <v>525</v>
      </c>
      <c r="B4" s="23"/>
      <c r="C4" s="47" t="s">
        <v>526</v>
      </c>
      <c r="D4" s="25" t="s">
        <v>241</v>
      </c>
    </row>
    <row r="5" customFormat="false" ht="15" hidden="false" customHeight="true" outlineLevel="0" collapsed="false">
      <c r="A5" s="23" t="s">
        <v>527</v>
      </c>
      <c r="B5" s="23"/>
      <c r="C5" s="47" t="s">
        <v>528</v>
      </c>
    </row>
    <row r="6" customFormat="false" ht="15" hidden="false" customHeight="true" outlineLevel="0" collapsed="false">
      <c r="A6" s="23" t="s">
        <v>529</v>
      </c>
      <c r="B6" s="23" t="s">
        <v>93</v>
      </c>
      <c r="C6" s="39" t="n">
        <v>1</v>
      </c>
    </row>
    <row r="7" customFormat="false" ht="15" hidden="false" customHeight="true" outlineLevel="0" collapsed="false">
      <c r="A7" s="23" t="s">
        <v>530</v>
      </c>
      <c r="B7" s="23" t="s">
        <v>93</v>
      </c>
      <c r="C7" s="77" t="n">
        <f aca="false">1-'11_OFFTAKER'!$C$6</f>
        <v>0</v>
      </c>
    </row>
    <row r="8" customFormat="false" ht="15" hidden="false" customHeight="true" outlineLevel="0" collapsed="false">
      <c r="A8" s="23" t="s">
        <v>531</v>
      </c>
      <c r="B8" s="23" t="s">
        <v>532</v>
      </c>
      <c r="C8" s="24" t="n">
        <v>3</v>
      </c>
      <c r="D8" s="25" t="s">
        <v>533</v>
      </c>
    </row>
    <row r="9" customFormat="false" ht="15" hidden="false" customHeight="true" outlineLevel="0" collapsed="false">
      <c r="A9" s="23" t="s">
        <v>534</v>
      </c>
      <c r="B9" s="23" t="s">
        <v>294</v>
      </c>
      <c r="C9" s="35" t="n">
        <v>120</v>
      </c>
      <c r="D9" s="25" t="s">
        <v>241</v>
      </c>
    </row>
    <row r="10" customFormat="false" ht="15" hidden="false" customHeight="true" outlineLevel="0" collapsed="false">
      <c r="A10" s="23" t="s">
        <v>535</v>
      </c>
      <c r="B10" s="23" t="s">
        <v>121</v>
      </c>
      <c r="C10" s="60" t="n">
        <f aca="false">'11_OFFTAKER'!$C$8/12*'16_REVENUE'!$C$16</f>
        <v>8.61566233951072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AR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536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537</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1" t="s">
        <v>538</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ustomFormat="false" ht="15" hidden="false" customHeight="true" outlineLevel="0" collapsed="false">
      <c r="A7" s="23" t="s">
        <v>539</v>
      </c>
      <c r="B7" s="23" t="s">
        <v>115</v>
      </c>
      <c r="C7" s="52" t="n">
        <v>1350000</v>
      </c>
      <c r="D7" s="25" t="s">
        <v>241</v>
      </c>
    </row>
    <row r="8" customFormat="false" ht="15" hidden="false" customHeight="true" outlineLevel="0" collapsed="false">
      <c r="A8" s="23" t="s">
        <v>540</v>
      </c>
      <c r="B8" s="23" t="s">
        <v>237</v>
      </c>
      <c r="C8" s="27" t="n">
        <v>0.05</v>
      </c>
    </row>
    <row r="9" customFormat="false" ht="15" hidden="false" customHeight="true" outlineLevel="0" collapsed="false">
      <c r="A9" s="23" t="s">
        <v>541</v>
      </c>
      <c r="B9" s="23" t="s">
        <v>542</v>
      </c>
      <c r="C9" s="73" t="n">
        <v>2.7</v>
      </c>
      <c r="D9" s="25" t="s">
        <v>543</v>
      </c>
    </row>
    <row r="10" customFormat="false" ht="15" hidden="false" customHeight="true" outlineLevel="0" collapsed="false">
      <c r="A10" s="23" t="s">
        <v>544</v>
      </c>
      <c r="B10" s="23" t="s">
        <v>93</v>
      </c>
      <c r="C10" s="39" t="n">
        <v>1</v>
      </c>
      <c r="D10" s="25" t="s">
        <v>545</v>
      </c>
    </row>
    <row r="11" customFormat="false" ht="15" hidden="false" customHeight="true" outlineLevel="0" collapsed="false">
      <c r="A11" s="23" t="s">
        <v>546</v>
      </c>
      <c r="B11" s="23" t="s">
        <v>547</v>
      </c>
      <c r="C11" s="27" t="n">
        <v>0.14</v>
      </c>
    </row>
    <row r="12" customFormat="false" ht="15" hidden="false" customHeight="true" outlineLevel="0" collapsed="false">
      <c r="A12" s="23" t="s">
        <v>548</v>
      </c>
      <c r="B12" s="23" t="s">
        <v>547</v>
      </c>
      <c r="C12" s="27" t="n">
        <v>0.08</v>
      </c>
    </row>
    <row r="13" customFormat="false" ht="15" hidden="false" customHeight="true" outlineLevel="0" collapsed="false">
      <c r="A13" s="23" t="s">
        <v>549</v>
      </c>
      <c r="B13" s="23" t="s">
        <v>550</v>
      </c>
      <c r="C13" s="39" t="n">
        <v>0.88</v>
      </c>
    </row>
    <row r="14" customFormat="false" ht="15" hidden="false" customHeight="true" outlineLevel="0" collapsed="false">
      <c r="A14" s="23" t="s">
        <v>551</v>
      </c>
      <c r="B14" s="23" t="s">
        <v>552</v>
      </c>
      <c r="C14" s="36" t="n">
        <v>55</v>
      </c>
    </row>
    <row r="15" customFormat="false" ht="15" hidden="false" customHeight="true" outlineLevel="0" collapsed="false">
      <c r="A15" s="23" t="s">
        <v>553</v>
      </c>
      <c r="B15" s="23" t="s">
        <v>93</v>
      </c>
      <c r="C15" s="27" t="n">
        <v>0.5</v>
      </c>
    </row>
    <row r="16" customFormat="false" ht="15" hidden="false" customHeight="true" outlineLevel="0" collapsed="false">
      <c r="A16" s="23" t="s">
        <v>554</v>
      </c>
      <c r="B16" s="23" t="s">
        <v>555</v>
      </c>
      <c r="C16" s="65" t="n">
        <v>190</v>
      </c>
      <c r="D16" s="25" t="s">
        <v>556</v>
      </c>
    </row>
    <row r="17" customFormat="false" ht="15" hidden="false" customHeight="true" outlineLevel="0" collapsed="false">
      <c r="A17" s="23" t="s">
        <v>557</v>
      </c>
      <c r="B17" s="23" t="s">
        <v>555</v>
      </c>
      <c r="C17" s="65" t="n">
        <v>80</v>
      </c>
      <c r="D17" s="25" t="s">
        <v>558</v>
      </c>
    </row>
    <row r="18" customFormat="false" ht="15" hidden="false" customHeight="true" outlineLevel="0" collapsed="false">
      <c r="A18" s="23" t="s">
        <v>559</v>
      </c>
      <c r="B18" s="23" t="s">
        <v>560</v>
      </c>
      <c r="C18" s="65" t="n">
        <v>85</v>
      </c>
      <c r="D18" s="25" t="s">
        <v>561</v>
      </c>
    </row>
    <row r="19" customFormat="false" ht="15" hidden="false" customHeight="true" outlineLevel="0" collapsed="false">
      <c r="A19" s="23" t="s">
        <v>562</v>
      </c>
      <c r="B19" s="23" t="s">
        <v>121</v>
      </c>
      <c r="C19" s="65" t="n">
        <v>180</v>
      </c>
    </row>
    <row r="20" customFormat="false" ht="15" hidden="false" customHeight="true" outlineLevel="0" collapsed="false">
      <c r="A20" s="23" t="s">
        <v>563</v>
      </c>
      <c r="B20" s="23" t="s">
        <v>564</v>
      </c>
      <c r="C20" s="27" t="n">
        <v>0.3</v>
      </c>
    </row>
    <row r="21" customFormat="false" ht="15" hidden="false" customHeight="true" outlineLevel="0" collapsed="false">
      <c r="A21" s="23" t="s">
        <v>565</v>
      </c>
      <c r="B21" s="23" t="s">
        <v>119</v>
      </c>
      <c r="C21" s="78" t="n">
        <v>1.2</v>
      </c>
      <c r="D21" s="25" t="s">
        <v>566</v>
      </c>
    </row>
    <row r="22" customFormat="false" ht="15" hidden="false" customHeight="true" outlineLevel="0" collapsed="false">
      <c r="A22" s="21" t="s">
        <v>567</v>
      </c>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row>
    <row r="23" customFormat="false" ht="15" hidden="false" customHeight="true" outlineLevel="0" collapsed="false">
      <c r="A23" s="23" t="s">
        <v>568</v>
      </c>
      <c r="B23" s="23" t="s">
        <v>299</v>
      </c>
      <c r="E23" s="56" t="n">
        <f aca="false">MAX(0,'10_DEMAND'!E27-'04_GENERATION'!E20*'11_OFFTAKER'!$C$7)</f>
        <v>7750</v>
      </c>
      <c r="F23" s="56" t="n">
        <f aca="false">MAX(0,'10_DEMAND'!F27-'04_GENERATION'!F20*'11_OFFTAKER'!$C$7)</f>
        <v>8228.71</v>
      </c>
      <c r="G23" s="56" t="n">
        <f aca="false">MAX(0,'10_DEMAND'!G27-'04_GENERATION'!G20*'11_OFFTAKER'!$C$7)</f>
        <v>8738.0281</v>
      </c>
      <c r="H23" s="56" t="n">
        <f aca="false">MAX(0,'10_DEMAND'!H27-'04_GENERATION'!H20*'11_OFFTAKER'!$C$7)</f>
        <v>9279.982753</v>
      </c>
      <c r="I23" s="56" t="n">
        <f aca="false">MAX(0,'10_DEMAND'!I27-'04_GENERATION'!I20*'11_OFFTAKER'!$C$7)</f>
        <v>9856.74209365</v>
      </c>
      <c r="J23" s="56" t="n">
        <f aca="false">MAX(0,'10_DEMAND'!J27-'04_GENERATION'!J20*'11_OFFTAKER'!$C$7)</f>
        <v>10470.6239647081</v>
      </c>
      <c r="K23" s="56" t="n">
        <f aca="false">MAX(0,'10_DEMAND'!K27-'04_GENERATION'!K20*'11_OFFTAKER'!$C$7)</f>
        <v>11124.1066959628</v>
      </c>
      <c r="L23" s="56" t="n">
        <f aca="false">MAX(0,'10_DEMAND'!L27-'04_GENERATION'!L20*'11_OFFTAKER'!$C$7)</f>
        <v>11819.8406947561</v>
      </c>
      <c r="M23" s="56" t="n">
        <f aca="false">MAX(0,'10_DEMAND'!M27-'04_GENERATION'!M20*'11_OFFTAKER'!$C$7)</f>
        <v>12560.6609121066</v>
      </c>
      <c r="N23" s="56" t="n">
        <f aca="false">MAX(0,'10_DEMAND'!N27-'04_GENERATION'!N20*'11_OFFTAKER'!$C$7)</f>
        <v>13349.6002537144</v>
      </c>
      <c r="O23" s="56" t="n">
        <f aca="false">MAX(0,'10_DEMAND'!O27-'04_GENERATION'!O20*'11_OFFTAKER'!$C$7)</f>
        <v>14189.9040108619</v>
      </c>
      <c r="P23" s="56" t="n">
        <f aca="false">MAX(0,'10_DEMAND'!P27-'04_GENERATION'!P20*'11_OFFTAKER'!$C$7)</f>
        <v>15085.0453924559</v>
      </c>
      <c r="Q23" s="56" t="n">
        <f aca="false">MAX(0,'10_DEMAND'!Q27-'04_GENERATION'!Q20*'11_OFFTAKER'!$C$7)</f>
        <v>16038.742246226</v>
      </c>
      <c r="R23" s="56" t="n">
        <f aca="false">MAX(0,'10_DEMAND'!R27-'04_GENERATION'!R20*'11_OFFTAKER'!$C$7)</f>
        <v>17054.9750644478</v>
      </c>
      <c r="S23" s="56" t="n">
        <f aca="false">MAX(0,'10_DEMAND'!S27-'04_GENERATION'!S20*'11_OFFTAKER'!$C$7)</f>
        <v>18138.0063775582</v>
      </c>
      <c r="T23" s="56" t="n">
        <f aca="false">MAX(0,'10_DEMAND'!T27-'04_GENERATION'!T20*'11_OFFTAKER'!$C$7)</f>
        <v>19292.4016477237</v>
      </c>
      <c r="U23" s="56" t="n">
        <f aca="false">MAX(0,'10_DEMAND'!U27-'04_GENERATION'!U20*'11_OFFTAKER'!$C$7)</f>
        <v>20523.0517838761</v>
      </c>
      <c r="V23" s="56" t="n">
        <f aca="false">MAX(0,'10_DEMAND'!V27-'04_GENERATION'!V20*'11_OFFTAKER'!$C$7)</f>
        <v>21835.1974100167</v>
      </c>
      <c r="W23" s="56" t="n">
        <f aca="false">MAX(0,'10_DEMAND'!W27-'04_GENERATION'!W20*'11_OFFTAKER'!$C$7)</f>
        <v>23234.4550297779</v>
      </c>
      <c r="X23" s="56" t="n">
        <f aca="false">MAX(0,'10_DEMAND'!X27-'04_GENERATION'!X20*'11_OFFTAKER'!$C$7)</f>
        <v>24726.8452424093</v>
      </c>
      <c r="Y23" s="56" t="n">
        <f aca="false">MAX(0,'10_DEMAND'!Y27-'04_GENERATION'!Y20*'11_OFFTAKER'!$C$7)</f>
        <v>26318.8231786073</v>
      </c>
      <c r="Z23" s="56" t="n">
        <f aca="false">MAX(0,'10_DEMAND'!Z27-'04_GENERATION'!Z20*'11_OFFTAKER'!$C$7)</f>
        <v>28017.3113390378</v>
      </c>
      <c r="AA23" s="56" t="n">
        <f aca="false">MAX(0,'10_DEMAND'!AA27-'04_GENERATION'!AA20*'11_OFFTAKER'!$C$7)</f>
        <v>29829.7350341132</v>
      </c>
      <c r="AB23" s="56" t="n">
        <f aca="false">MAX(0,'10_DEMAND'!AB27-'04_GENERATION'!AB20*'11_OFFTAKER'!$C$7)</f>
        <v>31764.0606406957</v>
      </c>
      <c r="AC23" s="56" t="n">
        <f aca="false">MAX(0,'10_DEMAND'!AC27-'04_GENERATION'!AC20*'11_OFFTAKER'!$C$7)</f>
        <v>33828.8369100438</v>
      </c>
      <c r="AD23" s="56" t="n">
        <f aca="false">MAX(0,'10_DEMAND'!AD27-'04_GENERATION'!AD20*'11_OFFTAKER'!$C$7)</f>
        <v>36033.2395816266</v>
      </c>
      <c r="AE23" s="56" t="n">
        <f aca="false">MAX(0,'10_DEMAND'!AE27-'04_GENERATION'!AE20*'11_OFFTAKER'!$C$7)</f>
        <v>38387.1195795678</v>
      </c>
      <c r="AF23" s="56" t="n">
        <f aca="false">MAX(0,'10_DEMAND'!AF27-'04_GENERATION'!AF20*'11_OFFTAKER'!$C$7)</f>
        <v>40901.0550926081</v>
      </c>
      <c r="AG23" s="56" t="n">
        <f aca="false">MAX(0,'10_DEMAND'!AG27-'04_GENERATION'!AG20*'11_OFFTAKER'!$C$7)</f>
        <v>43586.4078647792</v>
      </c>
      <c r="AH23" s="56" t="n">
        <f aca="false">MAX(0,'10_DEMAND'!AH27-'04_GENERATION'!AH20*'11_OFFTAKER'!$C$7)</f>
        <v>46455.3840526645</v>
      </c>
      <c r="AI23" s="56" t="n">
        <f aca="false">MAX(0,'10_DEMAND'!AI27-'04_GENERATION'!AI20*'11_OFFTAKER'!$C$7)</f>
        <v>49521.1000364049</v>
      </c>
      <c r="AJ23" s="56" t="n">
        <f aca="false">MAX(0,'10_DEMAND'!AJ27-'04_GENERATION'!AJ20*'11_OFFTAKER'!$C$7)</f>
        <v>52797.6536057313</v>
      </c>
      <c r="AK23" s="56" t="n">
        <f aca="false">MAX(0,'10_DEMAND'!AK27-'04_GENERATION'!AK20*'11_OFFTAKER'!$C$7)</f>
        <v>56300.200979535</v>
      </c>
      <c r="AL23" s="56" t="n">
        <f aca="false">MAX(0,'10_DEMAND'!AL27-'04_GENERATION'!AL20*'11_OFFTAKER'!$C$7)</f>
        <v>60045.0401581149</v>
      </c>
      <c r="AM23" s="56" t="n">
        <f aca="false">MAX(0,'10_DEMAND'!AM27-'04_GENERATION'!AM20*'11_OFFTAKER'!$C$7)</f>
        <v>64049.7011515809</v>
      </c>
      <c r="AN23" s="56" t="n">
        <f aca="false">MAX(0,'10_DEMAND'!AN27-'04_GENERATION'!AN20*'11_OFFTAKER'!$C$7)</f>
        <v>68333.0436762946</v>
      </c>
      <c r="AO23" s="56" t="n">
        <f aca="false">MAX(0,'10_DEMAND'!AO27-'04_GENERATION'!AO20*'11_OFFTAKER'!$C$7)</f>
        <v>72915.3629640776</v>
      </c>
      <c r="AP23" s="56" t="n">
        <f aca="false">MAX(0,'10_DEMAND'!AP27-'04_GENERATION'!AP20*'11_OFFTAKER'!$C$7)</f>
        <v>77818.5043866222</v>
      </c>
      <c r="AQ23" s="56" t="n">
        <f aca="false">MAX(0,'10_DEMAND'!AQ27-'04_GENERATION'!AQ20*'11_OFFTAKER'!$C$7)</f>
        <v>83065.9876605682</v>
      </c>
      <c r="AR23" s="56" t="n">
        <f aca="false">MAX(0,'10_DEMAND'!AR27-'04_GENERATION'!AR20*'11_OFFTAKER'!$C$7)</f>
        <v>88683.1414675555</v>
      </c>
    </row>
    <row r="24" customFormat="false" ht="15" hidden="false" customHeight="true" outlineLevel="0" collapsed="false">
      <c r="A24" s="23" t="s">
        <v>569</v>
      </c>
      <c r="B24" s="23" t="s">
        <v>299</v>
      </c>
      <c r="E24" s="56" t="n">
        <f aca="false">'12_UTILITY'!E23/(1-'12_UTILITY'!$C$11-'12_UTILITY'!$C$12)</f>
        <v>9935.89743589744</v>
      </c>
      <c r="F24" s="56" t="n">
        <f aca="false">'12_UTILITY'!F23/(1-'12_UTILITY'!$C$11-'12_UTILITY'!$C$12)</f>
        <v>10549.6282051282</v>
      </c>
      <c r="G24" s="56" t="n">
        <f aca="false">'12_UTILITY'!G23/(1-'12_UTILITY'!$C$11-'12_UTILITY'!$C$12)</f>
        <v>11202.6001282051</v>
      </c>
      <c r="H24" s="56" t="n">
        <f aca="false">'12_UTILITY'!H23/(1-'12_UTILITY'!$C$11-'12_UTILITY'!$C$12)</f>
        <v>11897.4137858974</v>
      </c>
      <c r="I24" s="56" t="n">
        <f aca="false">'12_UTILITY'!I23/(1-'12_UTILITY'!$C$11-'12_UTILITY'!$C$12)</f>
        <v>12636.8488380128</v>
      </c>
      <c r="J24" s="56" t="n">
        <f aca="false">'12_UTILITY'!J23/(1-'12_UTILITY'!$C$11-'12_UTILITY'!$C$12)</f>
        <v>13423.8768778309</v>
      </c>
      <c r="K24" s="56" t="n">
        <f aca="false">'12_UTILITY'!K23/(1-'12_UTILITY'!$C$11-'12_UTILITY'!$C$12)</f>
        <v>14261.6752512344</v>
      </c>
      <c r="L24" s="56" t="n">
        <f aca="false">'12_UTILITY'!L23/(1-'12_UTILITY'!$C$11-'12_UTILITY'!$C$12)</f>
        <v>15153.6419163539</v>
      </c>
      <c r="M24" s="56" t="n">
        <f aca="false">'12_UTILITY'!M23/(1-'12_UTILITY'!$C$11-'12_UTILITY'!$C$12)</f>
        <v>16103.4114257777</v>
      </c>
      <c r="N24" s="56" t="n">
        <f aca="false">'12_UTILITY'!N23/(1-'12_UTILITY'!$C$11-'12_UTILITY'!$C$12)</f>
        <v>17114.8721201467</v>
      </c>
      <c r="O24" s="56" t="n">
        <f aca="false">'12_UTILITY'!O23/(1-'12_UTILITY'!$C$11-'12_UTILITY'!$C$12)</f>
        <v>18192.1846293101</v>
      </c>
      <c r="P24" s="56" t="n">
        <f aca="false">'12_UTILITY'!P23/(1-'12_UTILITY'!$C$11-'12_UTILITY'!$C$12)</f>
        <v>19339.8017851999</v>
      </c>
      <c r="Q24" s="56" t="n">
        <f aca="false">'12_UTILITY'!Q23/(1-'12_UTILITY'!$C$11-'12_UTILITY'!$C$12)</f>
        <v>20562.4900592641</v>
      </c>
      <c r="R24" s="56" t="n">
        <f aca="false">'12_UTILITY'!R23/(1-'12_UTILITY'!$C$11-'12_UTILITY'!$C$12)</f>
        <v>21865.3526467279</v>
      </c>
      <c r="S24" s="56" t="n">
        <f aca="false">'12_UTILITY'!S23/(1-'12_UTILITY'!$C$11-'12_UTILITY'!$C$12)</f>
        <v>23253.8543302028</v>
      </c>
      <c r="T24" s="56" t="n">
        <f aca="false">'12_UTILITY'!T23/(1-'12_UTILITY'!$C$11-'12_UTILITY'!$C$12)</f>
        <v>24733.8482663124</v>
      </c>
      <c r="U24" s="56" t="n">
        <f aca="false">'12_UTILITY'!U23/(1-'12_UTILITY'!$C$11-'12_UTILITY'!$C$12)</f>
        <v>26311.6048511232</v>
      </c>
      <c r="V24" s="56" t="n">
        <f aca="false">'12_UTILITY'!V23/(1-'12_UTILITY'!$C$11-'12_UTILITY'!$C$12)</f>
        <v>27993.8428333547</v>
      </c>
      <c r="W24" s="56" t="n">
        <f aca="false">'12_UTILITY'!W23/(1-'12_UTILITY'!$C$11-'12_UTILITY'!$C$12)</f>
        <v>29787.7628586896</v>
      </c>
      <c r="X24" s="56" t="n">
        <f aca="false">'12_UTILITY'!X23/(1-'12_UTILITY'!$C$11-'12_UTILITY'!$C$12)</f>
        <v>31701.0836441145</v>
      </c>
      <c r="Y24" s="56" t="n">
        <f aca="false">'12_UTILITY'!Y23/(1-'12_UTILITY'!$C$11-'12_UTILITY'!$C$12)</f>
        <v>33742.0809982144</v>
      </c>
      <c r="Z24" s="56" t="n">
        <f aca="false">'12_UTILITY'!Z23/(1-'12_UTILITY'!$C$11-'12_UTILITY'!$C$12)</f>
        <v>35919.6299218434</v>
      </c>
      <c r="AA24" s="56" t="n">
        <f aca="false">'12_UTILITY'!AA23/(1-'12_UTILITY'!$C$11-'12_UTILITY'!$C$12)</f>
        <v>38243.2500437348</v>
      </c>
      <c r="AB24" s="56" t="n">
        <f aca="false">'12_UTILITY'!AB23/(1-'12_UTILITY'!$C$11-'12_UTILITY'!$C$12)</f>
        <v>40723.1546675585</v>
      </c>
      <c r="AC24" s="56" t="n">
        <f aca="false">'12_UTILITY'!AC23/(1-'12_UTILITY'!$C$11-'12_UTILITY'!$C$12)</f>
        <v>43370.3037308254</v>
      </c>
      <c r="AD24" s="56" t="n">
        <f aca="false">'12_UTILITY'!AD23/(1-'12_UTILITY'!$C$11-'12_UTILITY'!$C$12)</f>
        <v>46196.4610020854</v>
      </c>
      <c r="AE24" s="56" t="n">
        <f aca="false">'12_UTILITY'!AE23/(1-'12_UTILITY'!$C$11-'12_UTILITY'!$C$12)</f>
        <v>49214.2558712408</v>
      </c>
      <c r="AF24" s="56" t="n">
        <f aca="false">'12_UTILITY'!AF23/(1-'12_UTILITY'!$C$11-'12_UTILITY'!$C$12)</f>
        <v>52437.2501187284</v>
      </c>
      <c r="AG24" s="56" t="n">
        <f aca="false">'12_UTILITY'!AG23/(1-'12_UTILITY'!$C$11-'12_UTILITY'!$C$12)</f>
        <v>55880.0100830502</v>
      </c>
      <c r="AH24" s="56" t="n">
        <f aca="false">'12_UTILITY'!AH23/(1-'12_UTILITY'!$C$11-'12_UTILITY'!$C$12)</f>
        <v>59558.1846829032</v>
      </c>
      <c r="AI24" s="56" t="n">
        <f aca="false">'12_UTILITY'!AI23/(1-'12_UTILITY'!$C$11-'12_UTILITY'!$C$12)</f>
        <v>63488.5897902627</v>
      </c>
      <c r="AJ24" s="56" t="n">
        <f aca="false">'12_UTILITY'!AJ23/(1-'12_UTILITY'!$C$11-'12_UTILITY'!$C$12)</f>
        <v>67689.2994945273</v>
      </c>
      <c r="AK24" s="56" t="n">
        <f aca="false">'12_UTILITY'!AK23/(1-'12_UTILITY'!$C$11-'12_UTILITY'!$C$12)</f>
        <v>72179.7448455577</v>
      </c>
      <c r="AL24" s="56" t="n">
        <f aca="false">'12_UTILITY'!AL23/(1-'12_UTILITY'!$C$11-'12_UTILITY'!$C$12)</f>
        <v>76980.820715532</v>
      </c>
      <c r="AM24" s="56" t="n">
        <f aca="false">'12_UTILITY'!AM23/(1-'12_UTILITY'!$C$11-'12_UTILITY'!$C$12)</f>
        <v>82115.0014763858</v>
      </c>
      <c r="AN24" s="56" t="n">
        <f aca="false">'12_UTILITY'!AN23/(1-'12_UTILITY'!$C$11-'12_UTILITY'!$C$12)</f>
        <v>87606.4662516598</v>
      </c>
      <c r="AO24" s="56" t="n">
        <f aca="false">'12_UTILITY'!AO23/(1-'12_UTILITY'!$C$11-'12_UTILITY'!$C$12)</f>
        <v>93481.2345693302</v>
      </c>
      <c r="AP24" s="56" t="n">
        <f aca="false">'12_UTILITY'!AP23/(1-'12_UTILITY'!$C$11-'12_UTILITY'!$C$12)</f>
        <v>99767.3133161823</v>
      </c>
      <c r="AQ24" s="56" t="n">
        <f aca="false">'12_UTILITY'!AQ23/(1-'12_UTILITY'!$C$11-'12_UTILITY'!$C$12)</f>
        <v>106494.855975087</v>
      </c>
      <c r="AR24" s="56" t="n">
        <f aca="false">'12_UTILITY'!AR23/(1-'12_UTILITY'!$C$11-'12_UTILITY'!$C$12)</f>
        <v>113696.335214815</v>
      </c>
    </row>
    <row r="25" customFormat="false" ht="15" hidden="false" customHeight="true" outlineLevel="0" collapsed="false">
      <c r="A25" s="23" t="s">
        <v>570</v>
      </c>
      <c r="B25" s="23" t="s">
        <v>299</v>
      </c>
      <c r="E25" s="56" t="n">
        <f aca="false">MIN('04_GENERATION'!E20*'11_OFFTAKER'!$C$6*(1-'08_TRANSMISSION'!$C$15),'12_UTILITY'!E24)</f>
        <v>0</v>
      </c>
      <c r="F25" s="56" t="n">
        <f aca="false">MIN('04_GENERATION'!F20*'11_OFFTAKER'!$C$6*(1-'08_TRANSMISSION'!$C$15),'12_UTILITY'!F24)</f>
        <v>0</v>
      </c>
      <c r="G25" s="56" t="n">
        <f aca="false">MIN('04_GENERATION'!G20*'11_OFFTAKER'!$C$6*(1-'08_TRANSMISSION'!$C$15),'12_UTILITY'!G24)</f>
        <v>0</v>
      </c>
      <c r="H25" s="56" t="n">
        <f aca="false">MIN('04_GENERATION'!H20*'11_OFFTAKER'!$C$6*(1-'08_TRANSMISSION'!$C$15),'12_UTILITY'!H24)</f>
        <v>243.636987905241</v>
      </c>
      <c r="I25" s="56" t="n">
        <f aca="false">MIN('04_GENERATION'!I20*'11_OFFTAKER'!$C$6*(1-'08_TRANSMISSION'!$C$15),'12_UTILITY'!I24)</f>
        <v>286.631750476754</v>
      </c>
      <c r="J25" s="56" t="n">
        <f aca="false">MIN('04_GENERATION'!J20*'11_OFFTAKER'!$C$6*(1-'08_TRANSMISSION'!$C$15),'12_UTILITY'!J24)</f>
        <v>286.631750476754</v>
      </c>
      <c r="K25" s="56" t="n">
        <f aca="false">MIN('04_GENERATION'!K20*'11_OFFTAKER'!$C$6*(1-'08_TRANSMISSION'!$C$15),'12_UTILITY'!K24)</f>
        <v>286.631750476754</v>
      </c>
      <c r="L25" s="56" t="n">
        <f aca="false">MIN('04_GENERATION'!L20*'11_OFFTAKER'!$C$6*(1-'08_TRANSMISSION'!$C$15),'12_UTILITY'!L24)</f>
        <v>286.631750476754</v>
      </c>
      <c r="M25" s="56" t="n">
        <f aca="false">MIN('04_GENERATION'!M20*'11_OFFTAKER'!$C$6*(1-'08_TRANSMISSION'!$C$15),'12_UTILITY'!M24)</f>
        <v>286.631750476754</v>
      </c>
      <c r="N25" s="56" t="n">
        <f aca="false">MIN('04_GENERATION'!N20*'11_OFFTAKER'!$C$6*(1-'08_TRANSMISSION'!$C$15),'12_UTILITY'!N24)</f>
        <v>286.631750476754</v>
      </c>
      <c r="O25" s="56" t="n">
        <f aca="false">MIN('04_GENERATION'!O20*'11_OFFTAKER'!$C$6*(1-'08_TRANSMISSION'!$C$15),'12_UTILITY'!O24)</f>
        <v>286.631750476754</v>
      </c>
      <c r="P25" s="56" t="n">
        <f aca="false">MIN('04_GENERATION'!P20*'11_OFFTAKER'!$C$6*(1-'08_TRANSMISSION'!$C$15),'12_UTILITY'!P24)</f>
        <v>286.631750476754</v>
      </c>
      <c r="Q25" s="56" t="n">
        <f aca="false">MIN('04_GENERATION'!Q20*'11_OFFTAKER'!$C$6*(1-'08_TRANSMISSION'!$C$15),'12_UTILITY'!Q24)</f>
        <v>286.631750476754</v>
      </c>
      <c r="R25" s="56" t="n">
        <f aca="false">MIN('04_GENERATION'!R20*'11_OFFTAKER'!$C$6*(1-'08_TRANSMISSION'!$C$15),'12_UTILITY'!R24)</f>
        <v>286.631750476754</v>
      </c>
      <c r="S25" s="56" t="n">
        <f aca="false">MIN('04_GENERATION'!S20*'11_OFFTAKER'!$C$6*(1-'08_TRANSMISSION'!$C$15),'12_UTILITY'!S24)</f>
        <v>286.631750476754</v>
      </c>
      <c r="T25" s="56" t="n">
        <f aca="false">MIN('04_GENERATION'!T20*'11_OFFTAKER'!$C$6*(1-'08_TRANSMISSION'!$C$15),'12_UTILITY'!T24)</f>
        <v>286.631750476754</v>
      </c>
      <c r="U25" s="56" t="n">
        <f aca="false">MIN('04_GENERATION'!U20*'11_OFFTAKER'!$C$6*(1-'08_TRANSMISSION'!$C$15),'12_UTILITY'!U24)</f>
        <v>286.631750476754</v>
      </c>
      <c r="V25" s="56" t="n">
        <f aca="false">MIN('04_GENERATION'!V20*'11_OFFTAKER'!$C$6*(1-'08_TRANSMISSION'!$C$15),'12_UTILITY'!V24)</f>
        <v>286.631750476754</v>
      </c>
      <c r="W25" s="56" t="n">
        <f aca="false">MIN('04_GENERATION'!W20*'11_OFFTAKER'!$C$6*(1-'08_TRANSMISSION'!$C$15),'12_UTILITY'!W24)</f>
        <v>286.631750476754</v>
      </c>
      <c r="X25" s="56" t="n">
        <f aca="false">MIN('04_GENERATION'!X20*'11_OFFTAKER'!$C$6*(1-'08_TRANSMISSION'!$C$15),'12_UTILITY'!X24)</f>
        <v>286.631750476754</v>
      </c>
      <c r="Y25" s="56" t="n">
        <f aca="false">MIN('04_GENERATION'!Y20*'11_OFFTAKER'!$C$6*(1-'08_TRANSMISSION'!$C$15),'12_UTILITY'!Y24)</f>
        <v>286.631750476754</v>
      </c>
      <c r="Z25" s="56" t="n">
        <f aca="false">MIN('04_GENERATION'!Z20*'11_OFFTAKER'!$C$6*(1-'08_TRANSMISSION'!$C$15),'12_UTILITY'!Z24)</f>
        <v>286.631750476754</v>
      </c>
      <c r="AA25" s="56" t="n">
        <f aca="false">MIN('04_GENERATION'!AA20*'11_OFFTAKER'!$C$6*(1-'08_TRANSMISSION'!$C$15),'12_UTILITY'!AA24)</f>
        <v>286.631750476754</v>
      </c>
      <c r="AB25" s="56" t="n">
        <f aca="false">MIN('04_GENERATION'!AB20*'11_OFFTAKER'!$C$6*(1-'08_TRANSMISSION'!$C$15),'12_UTILITY'!AB24)</f>
        <v>286.631750476754</v>
      </c>
      <c r="AC25" s="56" t="n">
        <f aca="false">MIN('04_GENERATION'!AC20*'11_OFFTAKER'!$C$6*(1-'08_TRANSMISSION'!$C$15),'12_UTILITY'!AC24)</f>
        <v>286.631750476754</v>
      </c>
      <c r="AD25" s="56" t="n">
        <f aca="false">MIN('04_GENERATION'!AD20*'11_OFFTAKER'!$C$6*(1-'08_TRANSMISSION'!$C$15),'12_UTILITY'!AD24)</f>
        <v>286.631750476754</v>
      </c>
      <c r="AE25" s="56" t="n">
        <f aca="false">MIN('04_GENERATION'!AE20*'11_OFFTAKER'!$C$6*(1-'08_TRANSMISSION'!$C$15),'12_UTILITY'!AE24)</f>
        <v>286.631750476754</v>
      </c>
      <c r="AF25" s="56" t="n">
        <f aca="false">MIN('04_GENERATION'!AF20*'11_OFFTAKER'!$C$6*(1-'08_TRANSMISSION'!$C$15),'12_UTILITY'!AF24)</f>
        <v>286.631750476754</v>
      </c>
      <c r="AG25" s="56" t="n">
        <f aca="false">MIN('04_GENERATION'!AG20*'11_OFFTAKER'!$C$6*(1-'08_TRANSMISSION'!$C$15),'12_UTILITY'!AG24)</f>
        <v>0</v>
      </c>
      <c r="AH25" s="56" t="n">
        <f aca="false">MIN('04_GENERATION'!AH20*'11_OFFTAKER'!$C$6*(1-'08_TRANSMISSION'!$C$15),'12_UTILITY'!AH24)</f>
        <v>0</v>
      </c>
      <c r="AI25" s="56" t="n">
        <f aca="false">MIN('04_GENERATION'!AI20*'11_OFFTAKER'!$C$6*(1-'08_TRANSMISSION'!$C$15),'12_UTILITY'!AI24)</f>
        <v>0</v>
      </c>
      <c r="AJ25" s="56" t="n">
        <f aca="false">MIN('04_GENERATION'!AJ20*'11_OFFTAKER'!$C$6*(1-'08_TRANSMISSION'!$C$15),'12_UTILITY'!AJ24)</f>
        <v>0</v>
      </c>
      <c r="AK25" s="56" t="n">
        <f aca="false">MIN('04_GENERATION'!AK20*'11_OFFTAKER'!$C$6*(1-'08_TRANSMISSION'!$C$15),'12_UTILITY'!AK24)</f>
        <v>0</v>
      </c>
      <c r="AL25" s="56" t="n">
        <f aca="false">MIN('04_GENERATION'!AL20*'11_OFFTAKER'!$C$6*(1-'08_TRANSMISSION'!$C$15),'12_UTILITY'!AL24)</f>
        <v>0</v>
      </c>
      <c r="AM25" s="56" t="n">
        <f aca="false">MIN('04_GENERATION'!AM20*'11_OFFTAKER'!$C$6*(1-'08_TRANSMISSION'!$C$15),'12_UTILITY'!AM24)</f>
        <v>0</v>
      </c>
      <c r="AN25" s="56" t="n">
        <f aca="false">MIN('04_GENERATION'!AN20*'11_OFFTAKER'!$C$6*(1-'08_TRANSMISSION'!$C$15),'12_UTILITY'!AN24)</f>
        <v>0</v>
      </c>
      <c r="AO25" s="56" t="n">
        <f aca="false">MIN('04_GENERATION'!AO20*'11_OFFTAKER'!$C$6*(1-'08_TRANSMISSION'!$C$15),'12_UTILITY'!AO24)</f>
        <v>0</v>
      </c>
      <c r="AP25" s="56" t="n">
        <f aca="false">MIN('04_GENERATION'!AP20*'11_OFFTAKER'!$C$6*(1-'08_TRANSMISSION'!$C$15),'12_UTILITY'!AP24)</f>
        <v>0</v>
      </c>
      <c r="AQ25" s="56" t="n">
        <f aca="false">MIN('04_GENERATION'!AQ20*'11_OFFTAKER'!$C$6*(1-'08_TRANSMISSION'!$C$15),'12_UTILITY'!AQ24)</f>
        <v>0</v>
      </c>
      <c r="AR25" s="56" t="n">
        <f aca="false">MIN('04_GENERATION'!AR20*'11_OFFTAKER'!$C$6*(1-'08_TRANSMISSION'!$C$15),'12_UTILITY'!AR24)</f>
        <v>0</v>
      </c>
    </row>
    <row r="26" customFormat="false" ht="15" hidden="false" customHeight="true" outlineLevel="0" collapsed="false">
      <c r="A26" s="23" t="s">
        <v>571</v>
      </c>
      <c r="B26" s="23" t="s">
        <v>299</v>
      </c>
      <c r="E26" s="56" t="n">
        <f aca="false">MIN('12_UTILITY'!E24-'12_UTILITY'!E25,'10_DEMAND'!E31)</f>
        <v>8987</v>
      </c>
      <c r="F26" s="56" t="n">
        <f aca="false">MIN('12_UTILITY'!F24-'12_UTILITY'!F25,'10_DEMAND'!F31)</f>
        <v>9391.415</v>
      </c>
      <c r="G26" s="56" t="n">
        <f aca="false">MIN('12_UTILITY'!G24-'12_UTILITY'!G25,'10_DEMAND'!G31)</f>
        <v>9814.028675</v>
      </c>
      <c r="H26" s="56" t="n">
        <f aca="false">MIN('12_UTILITY'!H24-'12_UTILITY'!H25,'10_DEMAND'!H31)</f>
        <v>10255.659965375</v>
      </c>
      <c r="I26" s="56" t="n">
        <f aca="false">MIN('12_UTILITY'!I24-'12_UTILITY'!I25,'10_DEMAND'!I31)</f>
        <v>10717.1646638169</v>
      </c>
      <c r="J26" s="56" t="n">
        <f aca="false">MIN('12_UTILITY'!J24-'12_UTILITY'!J25,'10_DEMAND'!J31)</f>
        <v>11199.4370736886</v>
      </c>
      <c r="K26" s="56" t="n">
        <f aca="false">MIN('12_UTILITY'!K24-'12_UTILITY'!K25,'10_DEMAND'!K31)</f>
        <v>11703.4117420046</v>
      </c>
      <c r="L26" s="56" t="n">
        <f aca="false">MIN('12_UTILITY'!L24-'12_UTILITY'!L25,'10_DEMAND'!L31)</f>
        <v>12230.0652703948</v>
      </c>
      <c r="M26" s="56" t="n">
        <f aca="false">MIN('12_UTILITY'!M24-'12_UTILITY'!M25,'10_DEMAND'!M31)</f>
        <v>12780.4182075626</v>
      </c>
      <c r="N26" s="56" t="n">
        <f aca="false">MIN('12_UTILITY'!N24-'12_UTILITY'!N25,'10_DEMAND'!N31)</f>
        <v>13355.5370269029</v>
      </c>
      <c r="O26" s="56" t="n">
        <f aca="false">MIN('12_UTILITY'!O24-'12_UTILITY'!O25,'10_DEMAND'!O31)</f>
        <v>13956.5361931135</v>
      </c>
      <c r="P26" s="56" t="n">
        <f aca="false">MIN('12_UTILITY'!P24-'12_UTILITY'!P25,'10_DEMAND'!P31)</f>
        <v>14584.5803218036</v>
      </c>
      <c r="Q26" s="56" t="n">
        <f aca="false">MIN('12_UTILITY'!Q24-'12_UTILITY'!Q25,'10_DEMAND'!Q31)</f>
        <v>15240.8864362848</v>
      </c>
      <c r="R26" s="56" t="n">
        <f aca="false">MIN('12_UTILITY'!R24-'12_UTILITY'!R25,'10_DEMAND'!R31)</f>
        <v>15926.7263259176</v>
      </c>
      <c r="S26" s="56" t="n">
        <f aca="false">MIN('12_UTILITY'!S24-'12_UTILITY'!S25,'10_DEMAND'!S31)</f>
        <v>16643.4290105839</v>
      </c>
      <c r="T26" s="56" t="n">
        <f aca="false">MIN('12_UTILITY'!T24-'12_UTILITY'!T25,'10_DEMAND'!T31)</f>
        <v>17392.3833160602</v>
      </c>
      <c r="U26" s="56" t="n">
        <f aca="false">MIN('12_UTILITY'!U24-'12_UTILITY'!U25,'10_DEMAND'!U31)</f>
        <v>18175.0405652829</v>
      </c>
      <c r="V26" s="56" t="n">
        <f aca="false">MIN('12_UTILITY'!V24-'12_UTILITY'!V25,'10_DEMAND'!V31)</f>
        <v>18992.9173907206</v>
      </c>
      <c r="W26" s="56" t="n">
        <f aca="false">MIN('12_UTILITY'!W24-'12_UTILITY'!W25,'10_DEMAND'!W31)</f>
        <v>19847.5986733031</v>
      </c>
      <c r="X26" s="56" t="n">
        <f aca="false">MIN('12_UTILITY'!X24-'12_UTILITY'!X25,'10_DEMAND'!X31)</f>
        <v>20740.7406136017</v>
      </c>
      <c r="Y26" s="56" t="n">
        <f aca="false">MIN('12_UTILITY'!Y24-'12_UTILITY'!Y25,'10_DEMAND'!Y31)</f>
        <v>21674.0739412138</v>
      </c>
      <c r="Z26" s="56" t="n">
        <f aca="false">MIN('12_UTILITY'!Z24-'12_UTILITY'!Z25,'10_DEMAND'!Z31)</f>
        <v>22649.4072685684</v>
      </c>
      <c r="AA26" s="56" t="n">
        <f aca="false">MIN('12_UTILITY'!AA24-'12_UTILITY'!AA25,'10_DEMAND'!AA31)</f>
        <v>23668.630595654</v>
      </c>
      <c r="AB26" s="56" t="n">
        <f aca="false">MIN('12_UTILITY'!AB24-'12_UTILITY'!AB25,'10_DEMAND'!AB31)</f>
        <v>24733.7189724584</v>
      </c>
      <c r="AC26" s="56" t="n">
        <f aca="false">MIN('12_UTILITY'!AC24-'12_UTILITY'!AC25,'10_DEMAND'!AC31)</f>
        <v>25846.736326219</v>
      </c>
      <c r="AD26" s="56" t="n">
        <f aca="false">MIN('12_UTILITY'!AD24-'12_UTILITY'!AD25,'10_DEMAND'!AD31)</f>
        <v>27009.8394608989</v>
      </c>
      <c r="AE26" s="56" t="n">
        <f aca="false">MIN('12_UTILITY'!AE24-'12_UTILITY'!AE25,'10_DEMAND'!AE31)</f>
        <v>28225.2822366393</v>
      </c>
      <c r="AF26" s="56" t="n">
        <f aca="false">MIN('12_UTILITY'!AF24-'12_UTILITY'!AF25,'10_DEMAND'!AF31)</f>
        <v>29495.4199372881</v>
      </c>
      <c r="AG26" s="56" t="n">
        <f aca="false">MIN('12_UTILITY'!AG24-'12_UTILITY'!AG25,'10_DEMAND'!AG31)</f>
        <v>30822.713834466</v>
      </c>
      <c r="AH26" s="56" t="n">
        <f aca="false">MIN('12_UTILITY'!AH24-'12_UTILITY'!AH25,'10_DEMAND'!AH31)</f>
        <v>32209.735957017</v>
      </c>
      <c r="AI26" s="56" t="n">
        <f aca="false">MIN('12_UTILITY'!AI24-'12_UTILITY'!AI25,'10_DEMAND'!AI31)</f>
        <v>33659.1740750828</v>
      </c>
      <c r="AJ26" s="56" t="n">
        <f aca="false">MIN('12_UTILITY'!AJ24-'12_UTILITY'!AJ25,'10_DEMAND'!AJ31)</f>
        <v>35173.8369084615</v>
      </c>
      <c r="AK26" s="56" t="n">
        <f aca="false">MIN('12_UTILITY'!AK24-'12_UTILITY'!AK25,'10_DEMAND'!AK31)</f>
        <v>36756.6595693423</v>
      </c>
      <c r="AL26" s="56" t="n">
        <f aca="false">MIN('12_UTILITY'!AL24-'12_UTILITY'!AL25,'10_DEMAND'!AL31)</f>
        <v>38410.7092499627</v>
      </c>
      <c r="AM26" s="56" t="n">
        <f aca="false">MIN('12_UTILITY'!AM24-'12_UTILITY'!AM25,'10_DEMAND'!AM31)</f>
        <v>40139.191166211</v>
      </c>
      <c r="AN26" s="56" t="n">
        <f aca="false">MIN('12_UTILITY'!AN24-'12_UTILITY'!AN25,'10_DEMAND'!AN31)</f>
        <v>41945.4547686905</v>
      </c>
      <c r="AO26" s="56" t="n">
        <f aca="false">MIN('12_UTILITY'!AO24-'12_UTILITY'!AO25,'10_DEMAND'!AO31)</f>
        <v>43833.0002332815</v>
      </c>
      <c r="AP26" s="56" t="n">
        <f aca="false">MIN('12_UTILITY'!AP24-'12_UTILITY'!AP25,'10_DEMAND'!AP31)</f>
        <v>45805.4852437792</v>
      </c>
      <c r="AQ26" s="56" t="n">
        <f aca="false">MIN('12_UTILITY'!AQ24-'12_UTILITY'!AQ25,'10_DEMAND'!AQ31)</f>
        <v>47866.7320797493</v>
      </c>
      <c r="AR26" s="56" t="n">
        <f aca="false">MIN('12_UTILITY'!AR24-'12_UTILITY'!AR25,'10_DEMAND'!AR31)</f>
        <v>50020.735023338</v>
      </c>
    </row>
    <row r="27" customFormat="false" ht="15" hidden="false" customHeight="true" outlineLevel="0" collapsed="false">
      <c r="A27" s="23" t="s">
        <v>572</v>
      </c>
      <c r="B27" s="23" t="s">
        <v>299</v>
      </c>
      <c r="E27" s="56" t="n">
        <f aca="false">'12_UTILITY'!E25+'12_UTILITY'!E26</f>
        <v>8987</v>
      </c>
      <c r="F27" s="56" t="n">
        <f aca="false">'12_UTILITY'!F25+'12_UTILITY'!F26</f>
        <v>9391.415</v>
      </c>
      <c r="G27" s="56" t="n">
        <f aca="false">'12_UTILITY'!G25+'12_UTILITY'!G26</f>
        <v>9814.028675</v>
      </c>
      <c r="H27" s="56" t="n">
        <f aca="false">'12_UTILITY'!H25+'12_UTILITY'!H26</f>
        <v>10499.2969532802</v>
      </c>
      <c r="I27" s="56" t="n">
        <f aca="false">'12_UTILITY'!I25+'12_UTILITY'!I26</f>
        <v>11003.7964142936</v>
      </c>
      <c r="J27" s="56" t="n">
        <f aca="false">'12_UTILITY'!J25+'12_UTILITY'!J26</f>
        <v>11486.0688241654</v>
      </c>
      <c r="K27" s="56" t="n">
        <f aca="false">'12_UTILITY'!K25+'12_UTILITY'!K26</f>
        <v>11990.0434924814</v>
      </c>
      <c r="L27" s="56" t="n">
        <f aca="false">'12_UTILITY'!L25+'12_UTILITY'!L26</f>
        <v>12516.6970208716</v>
      </c>
      <c r="M27" s="56" t="n">
        <f aca="false">'12_UTILITY'!M25+'12_UTILITY'!M26</f>
        <v>13067.0499580393</v>
      </c>
      <c r="N27" s="56" t="n">
        <f aca="false">'12_UTILITY'!N25+'12_UTILITY'!N26</f>
        <v>13642.1687773797</v>
      </c>
      <c r="O27" s="56" t="n">
        <f aca="false">'12_UTILITY'!O25+'12_UTILITY'!O26</f>
        <v>14243.1679435903</v>
      </c>
      <c r="P27" s="56" t="n">
        <f aca="false">'12_UTILITY'!P25+'12_UTILITY'!P26</f>
        <v>14871.2120722804</v>
      </c>
      <c r="Q27" s="56" t="n">
        <f aca="false">'12_UTILITY'!Q25+'12_UTILITY'!Q26</f>
        <v>15527.5181867616</v>
      </c>
      <c r="R27" s="56" t="n">
        <f aca="false">'12_UTILITY'!R25+'12_UTILITY'!R26</f>
        <v>16213.3580763944</v>
      </c>
      <c r="S27" s="56" t="n">
        <f aca="false">'12_UTILITY'!S25+'12_UTILITY'!S26</f>
        <v>16930.0607610607</v>
      </c>
      <c r="T27" s="56" t="n">
        <f aca="false">'12_UTILITY'!T25+'12_UTILITY'!T26</f>
        <v>17679.0150665369</v>
      </c>
      <c r="U27" s="56" t="n">
        <f aca="false">'12_UTILITY'!U25+'12_UTILITY'!U26</f>
        <v>18461.6723157597</v>
      </c>
      <c r="V27" s="56" t="n">
        <f aca="false">'12_UTILITY'!V25+'12_UTILITY'!V26</f>
        <v>19279.5491411974</v>
      </c>
      <c r="W27" s="56" t="n">
        <f aca="false">'12_UTILITY'!W25+'12_UTILITY'!W26</f>
        <v>20134.2304237798</v>
      </c>
      <c r="X27" s="56" t="n">
        <f aca="false">'12_UTILITY'!X25+'12_UTILITY'!X26</f>
        <v>21027.3723640784</v>
      </c>
      <c r="Y27" s="56" t="n">
        <f aca="false">'12_UTILITY'!Y25+'12_UTILITY'!Y26</f>
        <v>21960.7056916905</v>
      </c>
      <c r="Z27" s="56" t="n">
        <f aca="false">'12_UTILITY'!Z25+'12_UTILITY'!Z26</f>
        <v>22936.0390190451</v>
      </c>
      <c r="AA27" s="56" t="n">
        <f aca="false">'12_UTILITY'!AA25+'12_UTILITY'!AA26</f>
        <v>23955.2623461307</v>
      </c>
      <c r="AB27" s="56" t="n">
        <f aca="false">'12_UTILITY'!AB25+'12_UTILITY'!AB26</f>
        <v>25020.3507229351</v>
      </c>
      <c r="AC27" s="56" t="n">
        <f aca="false">'12_UTILITY'!AC25+'12_UTILITY'!AC26</f>
        <v>26133.3680766958</v>
      </c>
      <c r="AD27" s="56" t="n">
        <f aca="false">'12_UTILITY'!AD25+'12_UTILITY'!AD26</f>
        <v>27296.4712113756</v>
      </c>
      <c r="AE27" s="56" t="n">
        <f aca="false">'12_UTILITY'!AE25+'12_UTILITY'!AE26</f>
        <v>28511.9139871161</v>
      </c>
      <c r="AF27" s="56" t="n">
        <f aca="false">'12_UTILITY'!AF25+'12_UTILITY'!AF26</f>
        <v>29782.0516877648</v>
      </c>
      <c r="AG27" s="56" t="n">
        <f aca="false">'12_UTILITY'!AG25+'12_UTILITY'!AG26</f>
        <v>30822.713834466</v>
      </c>
      <c r="AH27" s="56" t="n">
        <f aca="false">'12_UTILITY'!AH25+'12_UTILITY'!AH26</f>
        <v>32209.735957017</v>
      </c>
      <c r="AI27" s="56" t="n">
        <f aca="false">'12_UTILITY'!AI25+'12_UTILITY'!AI26</f>
        <v>33659.1740750828</v>
      </c>
      <c r="AJ27" s="56" t="n">
        <f aca="false">'12_UTILITY'!AJ25+'12_UTILITY'!AJ26</f>
        <v>35173.8369084615</v>
      </c>
      <c r="AK27" s="56" t="n">
        <f aca="false">'12_UTILITY'!AK25+'12_UTILITY'!AK26</f>
        <v>36756.6595693423</v>
      </c>
      <c r="AL27" s="56" t="n">
        <f aca="false">'12_UTILITY'!AL25+'12_UTILITY'!AL26</f>
        <v>38410.7092499627</v>
      </c>
      <c r="AM27" s="56" t="n">
        <f aca="false">'12_UTILITY'!AM25+'12_UTILITY'!AM26</f>
        <v>40139.191166211</v>
      </c>
      <c r="AN27" s="56" t="n">
        <f aca="false">'12_UTILITY'!AN25+'12_UTILITY'!AN26</f>
        <v>41945.4547686905</v>
      </c>
      <c r="AO27" s="56" t="n">
        <f aca="false">'12_UTILITY'!AO25+'12_UTILITY'!AO26</f>
        <v>43833.0002332815</v>
      </c>
      <c r="AP27" s="56" t="n">
        <f aca="false">'12_UTILITY'!AP25+'12_UTILITY'!AP26</f>
        <v>45805.4852437792</v>
      </c>
      <c r="AQ27" s="56" t="n">
        <f aca="false">'12_UTILITY'!AQ25+'12_UTILITY'!AQ26</f>
        <v>47866.7320797493</v>
      </c>
      <c r="AR27" s="56" t="n">
        <f aca="false">'12_UTILITY'!AR25+'12_UTILITY'!AR26</f>
        <v>50020.735023338</v>
      </c>
    </row>
    <row r="28" customFormat="false" ht="15" hidden="false" customHeight="true" outlineLevel="0" collapsed="false">
      <c r="A28" s="23" t="s">
        <v>573</v>
      </c>
      <c r="B28" s="23" t="s">
        <v>299</v>
      </c>
      <c r="E28" s="56" t="n">
        <f aca="false">'12_UTILITY'!E27*(1-'12_UTILITY'!$C$11-'12_UTILITY'!$C$12)</f>
        <v>7009.86</v>
      </c>
      <c r="F28" s="56" t="n">
        <f aca="false">'12_UTILITY'!F27*(1-'12_UTILITY'!$C$11-'12_UTILITY'!$C$12)</f>
        <v>7325.3037</v>
      </c>
      <c r="G28" s="56" t="n">
        <f aca="false">'12_UTILITY'!G27*(1-'12_UTILITY'!$C$11-'12_UTILITY'!$C$12)</f>
        <v>7654.9423665</v>
      </c>
      <c r="H28" s="56" t="n">
        <f aca="false">'12_UTILITY'!H27*(1-'12_UTILITY'!$C$11-'12_UTILITY'!$C$12)</f>
        <v>8189.45162355859</v>
      </c>
      <c r="I28" s="56" t="n">
        <f aca="false">'12_UTILITY'!I27*(1-'12_UTILITY'!$C$11-'12_UTILITY'!$C$12)</f>
        <v>8582.96120314903</v>
      </c>
      <c r="J28" s="56" t="n">
        <f aca="false">'12_UTILITY'!J27*(1-'12_UTILITY'!$C$11-'12_UTILITY'!$C$12)</f>
        <v>8959.133682849</v>
      </c>
      <c r="K28" s="56" t="n">
        <f aca="false">'12_UTILITY'!K27*(1-'12_UTILITY'!$C$11-'12_UTILITY'!$C$12)</f>
        <v>9352.23392413547</v>
      </c>
      <c r="L28" s="56" t="n">
        <f aca="false">'12_UTILITY'!L27*(1-'12_UTILITY'!$C$11-'12_UTILITY'!$C$12)</f>
        <v>9763.02367627983</v>
      </c>
      <c r="M28" s="56" t="n">
        <f aca="false">'12_UTILITY'!M27*(1-'12_UTILITY'!$C$11-'12_UTILITY'!$C$12)</f>
        <v>10192.2989672707</v>
      </c>
      <c r="N28" s="56" t="n">
        <f aca="false">'12_UTILITY'!N27*(1-'12_UTILITY'!$C$11-'12_UTILITY'!$C$12)</f>
        <v>10640.8916463561</v>
      </c>
      <c r="O28" s="56" t="n">
        <f aca="false">'12_UTILITY'!O27*(1-'12_UTILITY'!$C$11-'12_UTILITY'!$C$12)</f>
        <v>11109.6709960004</v>
      </c>
      <c r="P28" s="56" t="n">
        <f aca="false">'12_UTILITY'!P27*(1-'12_UTILITY'!$C$11-'12_UTILITY'!$C$12)</f>
        <v>11599.5454163787</v>
      </c>
      <c r="Q28" s="56" t="n">
        <f aca="false">'12_UTILITY'!Q27*(1-'12_UTILITY'!$C$11-'12_UTILITY'!$C$12)</f>
        <v>12111.464185674</v>
      </c>
      <c r="R28" s="56" t="n">
        <f aca="false">'12_UTILITY'!R27*(1-'12_UTILITY'!$C$11-'12_UTILITY'!$C$12)</f>
        <v>12646.4192995876</v>
      </c>
      <c r="S28" s="56" t="n">
        <f aca="false">'12_UTILITY'!S27*(1-'12_UTILITY'!$C$11-'12_UTILITY'!$C$12)</f>
        <v>13205.4473936273</v>
      </c>
      <c r="T28" s="56" t="n">
        <f aca="false">'12_UTILITY'!T27*(1-'12_UTILITY'!$C$11-'12_UTILITY'!$C$12)</f>
        <v>13789.6317518988</v>
      </c>
      <c r="U28" s="56" t="n">
        <f aca="false">'12_UTILITY'!U27*(1-'12_UTILITY'!$C$11-'12_UTILITY'!$C$12)</f>
        <v>14400.1044062925</v>
      </c>
      <c r="V28" s="56" t="n">
        <f aca="false">'12_UTILITY'!V27*(1-'12_UTILITY'!$C$11-'12_UTILITY'!$C$12)</f>
        <v>15038.048330134</v>
      </c>
      <c r="W28" s="56" t="n">
        <f aca="false">'12_UTILITY'!W27*(1-'12_UTILITY'!$C$11-'12_UTILITY'!$C$12)</f>
        <v>15704.6997305483</v>
      </c>
      <c r="X28" s="56" t="n">
        <f aca="false">'12_UTILITY'!X27*(1-'12_UTILITY'!$C$11-'12_UTILITY'!$C$12)</f>
        <v>16401.3504439812</v>
      </c>
      <c r="Y28" s="56" t="n">
        <f aca="false">'12_UTILITY'!Y27*(1-'12_UTILITY'!$C$11-'12_UTILITY'!$C$12)</f>
        <v>17129.3504395186</v>
      </c>
      <c r="Z28" s="56" t="n">
        <f aca="false">'12_UTILITY'!Z27*(1-'12_UTILITY'!$C$11-'12_UTILITY'!$C$12)</f>
        <v>17890.1104348552</v>
      </c>
      <c r="AA28" s="56" t="n">
        <f aca="false">'12_UTILITY'!AA27*(1-'12_UTILITY'!$C$11-'12_UTILITY'!$C$12)</f>
        <v>18685.104629982</v>
      </c>
      <c r="AB28" s="56" t="n">
        <f aca="false">'12_UTILITY'!AB27*(1-'12_UTILITY'!$C$11-'12_UTILITY'!$C$12)</f>
        <v>19515.8735638894</v>
      </c>
      <c r="AC28" s="56" t="n">
        <f aca="false">'12_UTILITY'!AC27*(1-'12_UTILITY'!$C$11-'12_UTILITY'!$C$12)</f>
        <v>20384.0270998227</v>
      </c>
      <c r="AD28" s="56" t="n">
        <f aca="false">'12_UTILITY'!AD27*(1-'12_UTILITY'!$C$11-'12_UTILITY'!$C$12)</f>
        <v>21291.247544873</v>
      </c>
      <c r="AE28" s="56" t="n">
        <f aca="false">'12_UTILITY'!AE27*(1-'12_UTILITY'!$C$11-'12_UTILITY'!$C$12)</f>
        <v>22239.2929099505</v>
      </c>
      <c r="AF28" s="56" t="n">
        <f aca="false">'12_UTILITY'!AF27*(1-'12_UTILITY'!$C$11-'12_UTILITY'!$C$12)</f>
        <v>23230.0003164566</v>
      </c>
      <c r="AG28" s="56" t="n">
        <f aca="false">'12_UTILITY'!AG27*(1-'12_UTILITY'!$C$11-'12_UTILITY'!$C$12)</f>
        <v>24041.7167908835</v>
      </c>
      <c r="AH28" s="56" t="n">
        <f aca="false">'12_UTILITY'!AH27*(1-'12_UTILITY'!$C$11-'12_UTILITY'!$C$12)</f>
        <v>25123.5940464733</v>
      </c>
      <c r="AI28" s="56" t="n">
        <f aca="false">'12_UTILITY'!AI27*(1-'12_UTILITY'!$C$11-'12_UTILITY'!$C$12)</f>
        <v>26254.1557785646</v>
      </c>
      <c r="AJ28" s="56" t="n">
        <f aca="false">'12_UTILITY'!AJ27*(1-'12_UTILITY'!$C$11-'12_UTILITY'!$C$12)</f>
        <v>27435.5927886</v>
      </c>
      <c r="AK28" s="56" t="n">
        <f aca="false">'12_UTILITY'!AK27*(1-'12_UTILITY'!$C$11-'12_UTILITY'!$C$12)</f>
        <v>28670.194464087</v>
      </c>
      <c r="AL28" s="56" t="n">
        <f aca="false">'12_UTILITY'!AL27*(1-'12_UTILITY'!$C$11-'12_UTILITY'!$C$12)</f>
        <v>29960.3532149709</v>
      </c>
      <c r="AM28" s="56" t="n">
        <f aca="false">'12_UTILITY'!AM27*(1-'12_UTILITY'!$C$11-'12_UTILITY'!$C$12)</f>
        <v>31308.5691096446</v>
      </c>
      <c r="AN28" s="56" t="n">
        <f aca="false">'12_UTILITY'!AN27*(1-'12_UTILITY'!$C$11-'12_UTILITY'!$C$12)</f>
        <v>32717.4547195786</v>
      </c>
      <c r="AO28" s="56" t="n">
        <f aca="false">'12_UTILITY'!AO27*(1-'12_UTILITY'!$C$11-'12_UTILITY'!$C$12)</f>
        <v>34189.7401819596</v>
      </c>
      <c r="AP28" s="56" t="n">
        <f aca="false">'12_UTILITY'!AP27*(1-'12_UTILITY'!$C$11-'12_UTILITY'!$C$12)</f>
        <v>35728.2784901478</v>
      </c>
      <c r="AQ28" s="56" t="n">
        <f aca="false">'12_UTILITY'!AQ27*(1-'12_UTILITY'!$C$11-'12_UTILITY'!$C$12)</f>
        <v>37336.0510222044</v>
      </c>
      <c r="AR28" s="56" t="n">
        <f aca="false">'12_UTILITY'!AR27*(1-'12_UTILITY'!$C$11-'12_UTILITY'!$C$12)</f>
        <v>39016.1733182036</v>
      </c>
    </row>
    <row r="29" customFormat="false" ht="15" hidden="false" customHeight="true" outlineLevel="0" collapsed="false">
      <c r="A29" s="23" t="s">
        <v>574</v>
      </c>
      <c r="B29" s="23" t="s">
        <v>299</v>
      </c>
      <c r="C29" s="56" t="n">
        <f aca="false">SUM('12_UTILITY'!$E$29:$AR$29)</f>
        <v>566125.265424593</v>
      </c>
      <c r="E29" s="56" t="n">
        <f aca="false">'12_UTILITY'!E23-'12_UTILITY'!E28</f>
        <v>740.139999999999</v>
      </c>
      <c r="F29" s="56" t="n">
        <f aca="false">'12_UTILITY'!F23-'12_UTILITY'!F28</f>
        <v>903.406300000002</v>
      </c>
      <c r="G29" s="56" t="n">
        <f aca="false">'12_UTILITY'!G23-'12_UTILITY'!G28</f>
        <v>1083.0857335</v>
      </c>
      <c r="H29" s="56" t="n">
        <f aca="false">'12_UTILITY'!H23-'12_UTILITY'!H28</f>
        <v>1090.53112944142</v>
      </c>
      <c r="I29" s="56" t="n">
        <f aca="false">'12_UTILITY'!I23-'12_UTILITY'!I28</f>
        <v>1273.78089050097</v>
      </c>
      <c r="J29" s="56" t="n">
        <f aca="false">'12_UTILITY'!J23-'12_UTILITY'!J28</f>
        <v>1511.4902818591</v>
      </c>
      <c r="K29" s="56" t="n">
        <f aca="false">'12_UTILITY'!K23-'12_UTILITY'!K28</f>
        <v>1771.87277182735</v>
      </c>
      <c r="L29" s="56" t="n">
        <f aca="false">'12_UTILITY'!L23-'12_UTILITY'!L28</f>
        <v>2056.81701847624</v>
      </c>
      <c r="M29" s="56" t="n">
        <f aca="false">'12_UTILITY'!M23-'12_UTILITY'!M28</f>
        <v>2368.36194483589</v>
      </c>
      <c r="N29" s="56" t="n">
        <f aca="false">'12_UTILITY'!N23-'12_UTILITY'!N28</f>
        <v>2708.70860735829</v>
      </c>
      <c r="O29" s="56" t="n">
        <f aca="false">'12_UTILITY'!O23-'12_UTILITY'!O28</f>
        <v>3080.23301486147</v>
      </c>
      <c r="P29" s="56" t="n">
        <f aca="false">'12_UTILITY'!P23-'12_UTILITY'!P28</f>
        <v>3485.49997607721</v>
      </c>
      <c r="Q29" s="56" t="n">
        <f aca="false">'12_UTILITY'!Q23-'12_UTILITY'!Q28</f>
        <v>3927.27806055201</v>
      </c>
      <c r="R29" s="56" t="n">
        <f aca="false">'12_UTILITY'!R23-'12_UTILITY'!R28</f>
        <v>4408.55576486016</v>
      </c>
      <c r="S29" s="56" t="n">
        <f aca="false">'12_UTILITY'!S23-'12_UTILITY'!S28</f>
        <v>4932.55898393086</v>
      </c>
      <c r="T29" s="56" t="n">
        <f aca="false">'12_UTILITY'!T23-'12_UTILITY'!T28</f>
        <v>5502.76989582488</v>
      </c>
      <c r="U29" s="56" t="n">
        <f aca="false">'12_UTILITY'!U23-'12_UTILITY'!U28</f>
        <v>6122.94737758359</v>
      </c>
      <c r="V29" s="56" t="n">
        <f aca="false">'12_UTILITY'!V23-'12_UTILITY'!V28</f>
        <v>6797.14907988273</v>
      </c>
      <c r="W29" s="56" t="n">
        <f aca="false">'12_UTILITY'!W23-'12_UTILITY'!W28</f>
        <v>7529.75529922963</v>
      </c>
      <c r="X29" s="56" t="n">
        <f aca="false">'12_UTILITY'!X23-'12_UTILITY'!X28</f>
        <v>8325.49479842808</v>
      </c>
      <c r="Y29" s="56" t="n">
        <f aca="false">'12_UTILITY'!Y23-'12_UTILITY'!Y28</f>
        <v>9189.47273908866</v>
      </c>
      <c r="Z29" s="56" t="n">
        <f aca="false">'12_UTILITY'!Z23-'12_UTILITY'!Z28</f>
        <v>10127.2009041826</v>
      </c>
      <c r="AA29" s="56" t="n">
        <f aca="false">'12_UTILITY'!AA23-'12_UTILITY'!AA28</f>
        <v>11144.6304041312</v>
      </c>
      <c r="AB29" s="56" t="n">
        <f aca="false">'12_UTILITY'!AB23-'12_UTILITY'!AB28</f>
        <v>12248.1870768062</v>
      </c>
      <c r="AC29" s="56" t="n">
        <f aca="false">'12_UTILITY'!AC23-'12_UTILITY'!AC28</f>
        <v>13444.8098102211</v>
      </c>
      <c r="AD29" s="56" t="n">
        <f aca="false">'12_UTILITY'!AD23-'12_UTILITY'!AD28</f>
        <v>14741.9920367536</v>
      </c>
      <c r="AE29" s="56" t="n">
        <f aca="false">'12_UTILITY'!AE23-'12_UTILITY'!AE28</f>
        <v>16147.8266696173</v>
      </c>
      <c r="AF29" s="56" t="n">
        <f aca="false">'12_UTILITY'!AF23-'12_UTILITY'!AF28</f>
        <v>17671.0547761516</v>
      </c>
      <c r="AG29" s="56" t="n">
        <f aca="false">'12_UTILITY'!AG23-'12_UTILITY'!AG28</f>
        <v>19544.6910738957</v>
      </c>
      <c r="AH29" s="56" t="n">
        <f aca="false">'12_UTILITY'!AH23-'12_UTILITY'!AH28</f>
        <v>21331.7900061912</v>
      </c>
      <c r="AI29" s="56" t="n">
        <f aca="false">'12_UTILITY'!AI23-'12_UTILITY'!AI28</f>
        <v>23266.9442578403</v>
      </c>
      <c r="AJ29" s="56" t="n">
        <f aca="false">'12_UTILITY'!AJ23-'12_UTILITY'!AJ28</f>
        <v>25362.0608171314</v>
      </c>
      <c r="AK29" s="56" t="n">
        <f aca="false">'12_UTILITY'!AK23-'12_UTILITY'!AK28</f>
        <v>27630.0065154481</v>
      </c>
      <c r="AL29" s="56" t="n">
        <f aca="false">'12_UTILITY'!AL23-'12_UTILITY'!AL28</f>
        <v>30084.6869431441</v>
      </c>
      <c r="AM29" s="56" t="n">
        <f aca="false">'12_UTILITY'!AM23-'12_UTILITY'!AM28</f>
        <v>32741.1320419363</v>
      </c>
      <c r="AN29" s="56" t="n">
        <f aca="false">'12_UTILITY'!AN23-'12_UTILITY'!AN28</f>
        <v>35615.588956716</v>
      </c>
      <c r="AO29" s="56" t="n">
        <f aca="false">'12_UTILITY'!AO23-'12_UTILITY'!AO28</f>
        <v>38725.622782118</v>
      </c>
      <c r="AP29" s="56" t="n">
        <f aca="false">'12_UTILITY'!AP23-'12_UTILITY'!AP28</f>
        <v>42090.2258964744</v>
      </c>
      <c r="AQ29" s="56" t="n">
        <f aca="false">'12_UTILITY'!AQ23-'12_UTILITY'!AQ28</f>
        <v>45729.9366383638</v>
      </c>
      <c r="AR29" s="56" t="n">
        <f aca="false">'12_UTILITY'!AR23-'12_UTILITY'!AR28</f>
        <v>49666.9681493519</v>
      </c>
    </row>
    <row r="30" customFormat="false" ht="15" hidden="false" customHeight="true" outlineLevel="0" collapsed="false">
      <c r="A30" s="21" t="s">
        <v>575</v>
      </c>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row>
    <row r="31" customFormat="false" ht="15" hidden="false" customHeight="true" outlineLevel="0" collapsed="false">
      <c r="A31" s="23" t="s">
        <v>541</v>
      </c>
      <c r="B31" s="23" t="s">
        <v>542</v>
      </c>
      <c r="E31" s="41" t="n">
        <f aca="false">IF(1=1,'12_UTILITY'!$C$9,'12_UTILITY'!D31)*(1+'02_PROJECT_INPUTS'!$C$19*IF(AND('06_CONSTRUCTION'!E5&gt;=1,'06_CONSTRUCTION'!E5&lt;='27_SCENARIOS'!$C$33),0,'12_UTILITY'!$C$10))</f>
        <v>2.916</v>
      </c>
      <c r="F31" s="41" t="n">
        <f aca="false">IF(2=1,'12_UTILITY'!$C$9,'12_UTILITY'!E31)*(1+'02_PROJECT_INPUTS'!$C$19*IF(AND('06_CONSTRUCTION'!F5&gt;=1,'06_CONSTRUCTION'!F5&lt;='27_SCENARIOS'!$C$33),0,'12_UTILITY'!$C$10))</f>
        <v>3.14928</v>
      </c>
      <c r="G31" s="41" t="n">
        <f aca="false">IF(3=1,'12_UTILITY'!$C$9,'12_UTILITY'!F31)*(1+'02_PROJECT_INPUTS'!$C$19*IF(AND('06_CONSTRUCTION'!G5&gt;=1,'06_CONSTRUCTION'!G5&lt;='27_SCENARIOS'!$C$33),0,'12_UTILITY'!$C$10))</f>
        <v>3.4012224</v>
      </c>
      <c r="H31" s="41" t="n">
        <f aca="false">IF(4=1,'12_UTILITY'!$C$9,'12_UTILITY'!G31)*(1+'02_PROJECT_INPUTS'!$C$19*IF(AND('06_CONSTRUCTION'!H5&gt;=1,'06_CONSTRUCTION'!H5&lt;='27_SCENARIOS'!$C$33),0,'12_UTILITY'!$C$10))</f>
        <v>3.673320192</v>
      </c>
      <c r="I31" s="41" t="n">
        <f aca="false">IF(5=1,'12_UTILITY'!$C$9,'12_UTILITY'!H31)*(1+'02_PROJECT_INPUTS'!$C$19*IF(AND('06_CONSTRUCTION'!I5&gt;=1,'06_CONSTRUCTION'!I5&lt;='27_SCENARIOS'!$C$33),0,'12_UTILITY'!$C$10))</f>
        <v>3.96718580736</v>
      </c>
      <c r="J31" s="41" t="n">
        <f aca="false">IF(6=1,'12_UTILITY'!$C$9,'12_UTILITY'!I31)*(1+'02_PROJECT_INPUTS'!$C$19*IF(AND('06_CONSTRUCTION'!J5&gt;=1,'06_CONSTRUCTION'!J5&lt;='27_SCENARIOS'!$C$33),0,'12_UTILITY'!$C$10))</f>
        <v>4.2845606719488</v>
      </c>
      <c r="K31" s="41" t="n">
        <f aca="false">IF(7=1,'12_UTILITY'!$C$9,'12_UTILITY'!J31)*(1+'02_PROJECT_INPUTS'!$C$19*IF(AND('06_CONSTRUCTION'!K5&gt;=1,'06_CONSTRUCTION'!K5&lt;='27_SCENARIOS'!$C$33),0,'12_UTILITY'!$C$10))</f>
        <v>4.62732552570471</v>
      </c>
      <c r="L31" s="41" t="n">
        <f aca="false">IF(8=1,'12_UTILITY'!$C$9,'12_UTILITY'!K31)*(1+'02_PROJECT_INPUTS'!$C$19*IF(AND('06_CONSTRUCTION'!L5&gt;=1,'06_CONSTRUCTION'!L5&lt;='27_SCENARIOS'!$C$33),0,'12_UTILITY'!$C$10))</f>
        <v>4.99751156776108</v>
      </c>
      <c r="M31" s="41" t="n">
        <f aca="false">IF(9=1,'12_UTILITY'!$C$9,'12_UTILITY'!L31)*(1+'02_PROJECT_INPUTS'!$C$19*IF(AND('06_CONSTRUCTION'!M5&gt;=1,'06_CONSTRUCTION'!M5&lt;='27_SCENARIOS'!$C$33),0,'12_UTILITY'!$C$10))</f>
        <v>5.39731249318197</v>
      </c>
      <c r="N31" s="41" t="n">
        <f aca="false">IF(10=1,'12_UTILITY'!$C$9,'12_UTILITY'!M31)*(1+'02_PROJECT_INPUTS'!$C$19*IF(AND('06_CONSTRUCTION'!N5&gt;=1,'06_CONSTRUCTION'!N5&lt;='27_SCENARIOS'!$C$33),0,'12_UTILITY'!$C$10))</f>
        <v>5.82909749263653</v>
      </c>
      <c r="O31" s="41" t="n">
        <f aca="false">IF(11=1,'12_UTILITY'!$C$9,'12_UTILITY'!N31)*(1+'02_PROJECT_INPUTS'!$C$19*IF(AND('06_CONSTRUCTION'!O5&gt;=1,'06_CONSTRUCTION'!O5&lt;='27_SCENARIOS'!$C$33),0,'12_UTILITY'!$C$10))</f>
        <v>6.29542529204745</v>
      </c>
      <c r="P31" s="41" t="n">
        <f aca="false">IF(12=1,'12_UTILITY'!$C$9,'12_UTILITY'!O31)*(1+'02_PROJECT_INPUTS'!$C$19*IF(AND('06_CONSTRUCTION'!P5&gt;=1,'06_CONSTRUCTION'!P5&lt;='27_SCENARIOS'!$C$33),0,'12_UTILITY'!$C$10))</f>
        <v>6.79905931541125</v>
      </c>
      <c r="Q31" s="41" t="n">
        <f aca="false">IF(13=1,'12_UTILITY'!$C$9,'12_UTILITY'!P31)*(1+'02_PROJECT_INPUTS'!$C$19*IF(AND('06_CONSTRUCTION'!Q5&gt;=1,'06_CONSTRUCTION'!Q5&lt;='27_SCENARIOS'!$C$33),0,'12_UTILITY'!$C$10))</f>
        <v>7.34298406064415</v>
      </c>
      <c r="R31" s="41" t="n">
        <f aca="false">IF(14=1,'12_UTILITY'!$C$9,'12_UTILITY'!Q31)*(1+'02_PROJECT_INPUTS'!$C$19*IF(AND('06_CONSTRUCTION'!R5&gt;=1,'06_CONSTRUCTION'!R5&lt;='27_SCENARIOS'!$C$33),0,'12_UTILITY'!$C$10))</f>
        <v>7.93042278549568</v>
      </c>
      <c r="S31" s="41" t="n">
        <f aca="false">IF(15=1,'12_UTILITY'!$C$9,'12_UTILITY'!R31)*(1+'02_PROJECT_INPUTS'!$C$19*IF(AND('06_CONSTRUCTION'!S5&gt;=1,'06_CONSTRUCTION'!S5&lt;='27_SCENARIOS'!$C$33),0,'12_UTILITY'!$C$10))</f>
        <v>8.56485660833534</v>
      </c>
      <c r="T31" s="41" t="n">
        <f aca="false">IF(16=1,'12_UTILITY'!$C$9,'12_UTILITY'!S31)*(1+'02_PROJECT_INPUTS'!$C$19*IF(AND('06_CONSTRUCTION'!T5&gt;=1,'06_CONSTRUCTION'!T5&lt;='27_SCENARIOS'!$C$33),0,'12_UTILITY'!$C$10))</f>
        <v>9.25004513700216</v>
      </c>
      <c r="U31" s="41" t="n">
        <f aca="false">IF(17=1,'12_UTILITY'!$C$9,'12_UTILITY'!T31)*(1+'02_PROJECT_INPUTS'!$C$19*IF(AND('06_CONSTRUCTION'!U5&gt;=1,'06_CONSTRUCTION'!U5&lt;='27_SCENARIOS'!$C$33),0,'12_UTILITY'!$C$10))</f>
        <v>9.99004874796234</v>
      </c>
      <c r="V31" s="41" t="n">
        <f aca="false">IF(18=1,'12_UTILITY'!$C$9,'12_UTILITY'!U31)*(1+'02_PROJECT_INPUTS'!$C$19*IF(AND('06_CONSTRUCTION'!V5&gt;=1,'06_CONSTRUCTION'!V5&lt;='27_SCENARIOS'!$C$33),0,'12_UTILITY'!$C$10))</f>
        <v>10.7892526477993</v>
      </c>
      <c r="W31" s="41" t="n">
        <f aca="false">IF(19=1,'12_UTILITY'!$C$9,'12_UTILITY'!V31)*(1+'02_PROJECT_INPUTS'!$C$19*IF(AND('06_CONSTRUCTION'!W5&gt;=1,'06_CONSTRUCTION'!W5&lt;='27_SCENARIOS'!$C$33),0,'12_UTILITY'!$C$10))</f>
        <v>11.6523928596233</v>
      </c>
      <c r="X31" s="41" t="n">
        <f aca="false">IF(20=1,'12_UTILITY'!$C$9,'12_UTILITY'!W31)*(1+'02_PROJECT_INPUTS'!$C$19*IF(AND('06_CONSTRUCTION'!X5&gt;=1,'06_CONSTRUCTION'!X5&lt;='27_SCENARIOS'!$C$33),0,'12_UTILITY'!$C$10))</f>
        <v>12.5845842883931</v>
      </c>
      <c r="Y31" s="41" t="n">
        <f aca="false">IF(21=1,'12_UTILITY'!$C$9,'12_UTILITY'!X31)*(1+'02_PROJECT_INPUTS'!$C$19*IF(AND('06_CONSTRUCTION'!Y5&gt;=1,'06_CONSTRUCTION'!Y5&lt;='27_SCENARIOS'!$C$33),0,'12_UTILITY'!$C$10))</f>
        <v>13.5913510314646</v>
      </c>
      <c r="Z31" s="41" t="n">
        <f aca="false">IF(22=1,'12_UTILITY'!$C$9,'12_UTILITY'!Y31)*(1+'02_PROJECT_INPUTS'!$C$19*IF(AND('06_CONSTRUCTION'!Z5&gt;=1,'06_CONSTRUCTION'!Z5&lt;='27_SCENARIOS'!$C$33),0,'12_UTILITY'!$C$10))</f>
        <v>14.6786591139818</v>
      </c>
      <c r="AA31" s="41" t="n">
        <f aca="false">IF(23=1,'12_UTILITY'!$C$9,'12_UTILITY'!Z31)*(1+'02_PROJECT_INPUTS'!$C$19*IF(AND('06_CONSTRUCTION'!AA5&gt;=1,'06_CONSTRUCTION'!AA5&lt;='27_SCENARIOS'!$C$33),0,'12_UTILITY'!$C$10))</f>
        <v>15.8529518431003</v>
      </c>
      <c r="AB31" s="41" t="n">
        <f aca="false">IF(24=1,'12_UTILITY'!$C$9,'12_UTILITY'!AA31)*(1+'02_PROJECT_INPUTS'!$C$19*IF(AND('06_CONSTRUCTION'!AB5&gt;=1,'06_CONSTRUCTION'!AB5&lt;='27_SCENARIOS'!$C$33),0,'12_UTILITY'!$C$10))</f>
        <v>17.1211879905483</v>
      </c>
      <c r="AC31" s="41" t="n">
        <f aca="false">IF(25=1,'12_UTILITY'!$C$9,'12_UTILITY'!AB31)*(1+'02_PROJECT_INPUTS'!$C$19*IF(AND('06_CONSTRUCTION'!AC5&gt;=1,'06_CONSTRUCTION'!AC5&lt;='27_SCENARIOS'!$C$33),0,'12_UTILITY'!$C$10))</f>
        <v>18.4908830297922</v>
      </c>
      <c r="AD31" s="41" t="n">
        <f aca="false">IF(26=1,'12_UTILITY'!$C$9,'12_UTILITY'!AC31)*(1+'02_PROJECT_INPUTS'!$C$19*IF(AND('06_CONSTRUCTION'!AD5&gt;=1,'06_CONSTRUCTION'!AD5&lt;='27_SCENARIOS'!$C$33),0,'12_UTILITY'!$C$10))</f>
        <v>19.9701536721756</v>
      </c>
      <c r="AE31" s="41" t="n">
        <f aca="false">IF(27=1,'12_UTILITY'!$C$9,'12_UTILITY'!AD31)*(1+'02_PROJECT_INPUTS'!$C$19*IF(AND('06_CONSTRUCTION'!AE5&gt;=1,'06_CONSTRUCTION'!AE5&lt;='27_SCENARIOS'!$C$33),0,'12_UTILITY'!$C$10))</f>
        <v>21.5677659659496</v>
      </c>
      <c r="AF31" s="41" t="n">
        <f aca="false">IF(28=1,'12_UTILITY'!$C$9,'12_UTILITY'!AE31)*(1+'02_PROJECT_INPUTS'!$C$19*IF(AND('06_CONSTRUCTION'!AF5&gt;=1,'06_CONSTRUCTION'!AF5&lt;='27_SCENARIOS'!$C$33),0,'12_UTILITY'!$C$10))</f>
        <v>23.2931872432256</v>
      </c>
      <c r="AG31" s="41" t="n">
        <f aca="false">IF(29=1,'12_UTILITY'!$C$9,'12_UTILITY'!AF31)*(1+'02_PROJECT_INPUTS'!$C$19*IF(AND('06_CONSTRUCTION'!AG5&gt;=1,'06_CONSTRUCTION'!AG5&lt;='27_SCENARIOS'!$C$33),0,'12_UTILITY'!$C$10))</f>
        <v>25.1566422226836</v>
      </c>
      <c r="AH31" s="41" t="n">
        <f aca="false">IF(30=1,'12_UTILITY'!$C$9,'12_UTILITY'!AG31)*(1+'02_PROJECT_INPUTS'!$C$19*IF(AND('06_CONSTRUCTION'!AH5&gt;=1,'06_CONSTRUCTION'!AH5&lt;='27_SCENARIOS'!$C$33),0,'12_UTILITY'!$C$10))</f>
        <v>27.1691736004983</v>
      </c>
      <c r="AI31" s="41" t="n">
        <f aca="false">IF(31=1,'12_UTILITY'!$C$9,'12_UTILITY'!AH31)*(1+'02_PROJECT_INPUTS'!$C$19*IF(AND('06_CONSTRUCTION'!AI5&gt;=1,'06_CONSTRUCTION'!AI5&lt;='27_SCENARIOS'!$C$33),0,'12_UTILITY'!$C$10))</f>
        <v>29.3427074885382</v>
      </c>
      <c r="AJ31" s="41" t="n">
        <f aca="false">IF(32=1,'12_UTILITY'!$C$9,'12_UTILITY'!AI31)*(1+'02_PROJECT_INPUTS'!$C$19*IF(AND('06_CONSTRUCTION'!AJ5&gt;=1,'06_CONSTRUCTION'!AJ5&lt;='27_SCENARIOS'!$C$33),0,'12_UTILITY'!$C$10))</f>
        <v>31.6901240876213</v>
      </c>
      <c r="AK31" s="41" t="n">
        <f aca="false">IF(33=1,'12_UTILITY'!$C$9,'12_UTILITY'!AJ31)*(1+'02_PROJECT_INPUTS'!$C$19*IF(AND('06_CONSTRUCTION'!AK5&gt;=1,'06_CONSTRUCTION'!AK5&lt;='27_SCENARIOS'!$C$33),0,'12_UTILITY'!$C$10))</f>
        <v>34.225334014631</v>
      </c>
      <c r="AL31" s="41" t="n">
        <f aca="false">IF(34=1,'12_UTILITY'!$C$9,'12_UTILITY'!AK31)*(1+'02_PROJECT_INPUTS'!$C$19*IF(AND('06_CONSTRUCTION'!AL5&gt;=1,'06_CONSTRUCTION'!AL5&lt;='27_SCENARIOS'!$C$33),0,'12_UTILITY'!$C$10))</f>
        <v>36.9633607358014</v>
      </c>
      <c r="AM31" s="41" t="n">
        <f aca="false">IF(35=1,'12_UTILITY'!$C$9,'12_UTILITY'!AL31)*(1+'02_PROJECT_INPUTS'!$C$19*IF(AND('06_CONSTRUCTION'!AM5&gt;=1,'06_CONSTRUCTION'!AM5&lt;='27_SCENARIOS'!$C$33),0,'12_UTILITY'!$C$10))</f>
        <v>39.9204295946656</v>
      </c>
      <c r="AN31" s="41" t="n">
        <f aca="false">IF(36=1,'12_UTILITY'!$C$9,'12_UTILITY'!AM31)*(1+'02_PROJECT_INPUTS'!$C$19*IF(AND('06_CONSTRUCTION'!AN5&gt;=1,'06_CONSTRUCTION'!AN5&lt;='27_SCENARIOS'!$C$33),0,'12_UTILITY'!$C$10))</f>
        <v>43.1140639622388</v>
      </c>
      <c r="AO31" s="41" t="n">
        <f aca="false">IF(37=1,'12_UTILITY'!$C$9,'12_UTILITY'!AN31)*(1+'02_PROJECT_INPUTS'!$C$19*IF(AND('06_CONSTRUCTION'!AO5&gt;=1,'06_CONSTRUCTION'!AO5&lt;='27_SCENARIOS'!$C$33),0,'12_UTILITY'!$C$10))</f>
        <v>46.5631890792179</v>
      </c>
      <c r="AP31" s="41" t="n">
        <f aca="false">IF(38=1,'12_UTILITY'!$C$9,'12_UTILITY'!AO31)*(1+'02_PROJECT_INPUTS'!$C$19*IF(AND('06_CONSTRUCTION'!AP5&gt;=1,'06_CONSTRUCTION'!AP5&lt;='27_SCENARIOS'!$C$33),0,'12_UTILITY'!$C$10))</f>
        <v>50.2882442055553</v>
      </c>
      <c r="AQ31" s="41" t="n">
        <f aca="false">IF(39=1,'12_UTILITY'!$C$9,'12_UTILITY'!AP31)*(1+'02_PROJECT_INPUTS'!$C$19*IF(AND('06_CONSTRUCTION'!AQ5&gt;=1,'06_CONSTRUCTION'!AQ5&lt;='27_SCENARIOS'!$C$33),0,'12_UTILITY'!$C$10))</f>
        <v>54.3113037419998</v>
      </c>
      <c r="AR31" s="41" t="n">
        <f aca="false">IF(40=1,'12_UTILITY'!$C$9,'12_UTILITY'!AQ31)*(1+'02_PROJECT_INPUTS'!$C$19*IF(AND('06_CONSTRUCTION'!AR5&gt;=1,'06_CONSTRUCTION'!AR5&lt;='27_SCENARIOS'!$C$33),0,'12_UTILITY'!$C$10))</f>
        <v>58.6562080413598</v>
      </c>
    </row>
    <row r="32" customFormat="false" ht="15" hidden="false" customHeight="true" outlineLevel="0" collapsed="false">
      <c r="A32" s="23" t="s">
        <v>576</v>
      </c>
      <c r="B32" s="23" t="s">
        <v>448</v>
      </c>
      <c r="E32" s="41" t="n">
        <f aca="false">'12_UTILITY'!E31/'06_CONSTRUCTION'!E19*1000</f>
        <v>137.547169811321</v>
      </c>
      <c r="F32" s="41" t="n">
        <f aca="false">'12_UTILITY'!F31/'06_CONSTRUCTION'!F19*1000</f>
        <v>140.142399430402</v>
      </c>
      <c r="G32" s="41" t="n">
        <f aca="false">'12_UTILITY'!G31/'06_CONSTRUCTION'!G19*1000</f>
        <v>142.78659564607</v>
      </c>
      <c r="H32" s="41" t="n">
        <f aca="false">'12_UTILITY'!H31/'06_CONSTRUCTION'!H19*1000</f>
        <v>145.480682356373</v>
      </c>
      <c r="I32" s="41" t="n">
        <f aca="false">'12_UTILITY'!I31/'06_CONSTRUCTION'!I19*1000</f>
        <v>148.225600891399</v>
      </c>
      <c r="J32" s="41" t="n">
        <f aca="false">'12_UTILITY'!J31/'06_CONSTRUCTION'!J19*1000</f>
        <v>151.022310342181</v>
      </c>
      <c r="K32" s="41" t="n">
        <f aca="false">'12_UTILITY'!K31/'06_CONSTRUCTION'!K19*1000</f>
        <v>153.871787895807</v>
      </c>
      <c r="L32" s="41" t="n">
        <f aca="false">'12_UTILITY'!L31/'06_CONSTRUCTION'!L19*1000</f>
        <v>156.77502917686</v>
      </c>
      <c r="M32" s="41" t="n">
        <f aca="false">'12_UTILITY'!M31/'06_CONSTRUCTION'!M19*1000</f>
        <v>159.733048595291</v>
      </c>
      <c r="N32" s="41" t="n">
        <f aca="false">'12_UTILITY'!N31/'06_CONSTRUCTION'!N19*1000</f>
        <v>162.746879700862</v>
      </c>
      <c r="O32" s="41" t="n">
        <f aca="false">'12_UTILITY'!O31/'06_CONSTRUCTION'!O19*1000</f>
        <v>165.817575544275</v>
      </c>
      <c r="P32" s="41" t="n">
        <f aca="false">'12_UTILITY'!P31/'06_CONSTRUCTION'!P19*1000</f>
        <v>168.94620904511</v>
      </c>
      <c r="Q32" s="41" t="n">
        <f aca="false">'12_UTILITY'!Q31/'06_CONSTRUCTION'!Q19*1000</f>
        <v>172.133873366716</v>
      </c>
      <c r="R32" s="41" t="n">
        <f aca="false">'12_UTILITY'!R31/'06_CONSTRUCTION'!R19*1000</f>
        <v>175.381682298164</v>
      </c>
      <c r="S32" s="41" t="n">
        <f aca="false">'12_UTILITY'!S31/'06_CONSTRUCTION'!S19*1000</f>
        <v>178.690770643412</v>
      </c>
      <c r="T32" s="41" t="n">
        <f aca="false">'12_UTILITY'!T31/'06_CONSTRUCTION'!T19*1000</f>
        <v>182.062294617816</v>
      </c>
      <c r="U32" s="41" t="n">
        <f aca="false">'12_UTILITY'!U31/'06_CONSTRUCTION'!U19*1000</f>
        <v>185.497432252114</v>
      </c>
      <c r="V32" s="41" t="n">
        <f aca="false">'12_UTILITY'!V31/'06_CONSTRUCTION'!V19*1000</f>
        <v>188.997383804041</v>
      </c>
      <c r="W32" s="41" t="n">
        <f aca="false">'12_UTILITY'!W31/'06_CONSTRUCTION'!W19*1000</f>
        <v>192.563372177702</v>
      </c>
      <c r="X32" s="41" t="n">
        <f aca="false">'12_UTILITY'!X31/'06_CONSTRUCTION'!X19*1000</f>
        <v>196.196643350866</v>
      </c>
      <c r="Y32" s="41" t="n">
        <f aca="false">'12_UTILITY'!Y31/'06_CONSTRUCTION'!Y19*1000</f>
        <v>199.898466810317</v>
      </c>
      <c r="Z32" s="41" t="n">
        <f aca="false">'12_UTILITY'!Z31/'06_CONSTRUCTION'!Z19*1000</f>
        <v>203.670135995417</v>
      </c>
      <c r="AA32" s="41" t="n">
        <f aca="false">'12_UTILITY'!AA31/'06_CONSTRUCTION'!AA19*1000</f>
        <v>207.512968750048</v>
      </c>
      <c r="AB32" s="41" t="n">
        <f aca="false">'12_UTILITY'!AB31/'06_CONSTRUCTION'!AB19*1000</f>
        <v>211.428307783067</v>
      </c>
      <c r="AC32" s="41" t="n">
        <f aca="false">'12_UTILITY'!AC31/'06_CONSTRUCTION'!AC19*1000</f>
        <v>215.417521137465</v>
      </c>
      <c r="AD32" s="41" t="n">
        <f aca="false">'12_UTILITY'!AD31/'06_CONSTRUCTION'!AD19*1000</f>
        <v>219.48200266836</v>
      </c>
      <c r="AE32" s="41" t="n">
        <f aca="false">'12_UTILITY'!AE31/'06_CONSTRUCTION'!AE19*1000</f>
        <v>223.623172530028</v>
      </c>
      <c r="AF32" s="41" t="n">
        <f aca="false">'12_UTILITY'!AF31/'06_CONSTRUCTION'!AF19*1000</f>
        <v>227.842477672104</v>
      </c>
      <c r="AG32" s="41" t="n">
        <f aca="false">'12_UTILITY'!AG31/'06_CONSTRUCTION'!AG19*1000</f>
        <v>232.141392345162</v>
      </c>
      <c r="AH32" s="41" t="n">
        <f aca="false">'12_UTILITY'!AH31/'06_CONSTRUCTION'!AH19*1000</f>
        <v>236.521418615826</v>
      </c>
      <c r="AI32" s="41" t="n">
        <f aca="false">'12_UTILITY'!AI31/'06_CONSTRUCTION'!AI19*1000</f>
        <v>240.984086891596</v>
      </c>
      <c r="AJ32" s="41" t="n">
        <f aca="false">'12_UTILITY'!AJ31/'06_CONSTRUCTION'!AJ19*1000</f>
        <v>245.530956455588</v>
      </c>
      <c r="AK32" s="41" t="n">
        <f aca="false">'12_UTILITY'!AK31/'06_CONSTRUCTION'!AK19*1000</f>
        <v>250.163616011354</v>
      </c>
      <c r="AL32" s="41" t="n">
        <f aca="false">'12_UTILITY'!AL31/'06_CONSTRUCTION'!AL19*1000</f>
        <v>254.883684237983</v>
      </c>
      <c r="AM32" s="41" t="n">
        <f aca="false">'12_UTILITY'!AM31/'06_CONSTRUCTION'!AM19*1000</f>
        <v>259.692810355681</v>
      </c>
      <c r="AN32" s="41" t="n">
        <f aca="false">'12_UTILITY'!AN31/'06_CONSTRUCTION'!AN19*1000</f>
        <v>264.592674702015</v>
      </c>
      <c r="AO32" s="41" t="n">
        <f aca="false">'12_UTILITY'!AO31/'06_CONSTRUCTION'!AO19*1000</f>
        <v>269.584989319034</v>
      </c>
      <c r="AP32" s="41" t="n">
        <f aca="false">'12_UTILITY'!AP31/'06_CONSTRUCTION'!AP19*1000</f>
        <v>274.671498551469</v>
      </c>
      <c r="AQ32" s="41" t="n">
        <f aca="false">'12_UTILITY'!AQ31/'06_CONSTRUCTION'!AQ19*1000</f>
        <v>279.853979656213</v>
      </c>
      <c r="AR32" s="41" t="n">
        <f aca="false">'12_UTILITY'!AR31/'06_CONSTRUCTION'!AR19*1000</f>
        <v>285.134243423312</v>
      </c>
    </row>
    <row r="33" customFormat="false" ht="15" hidden="false" customHeight="true" outlineLevel="0" collapsed="false">
      <c r="A33" s="23" t="s">
        <v>577</v>
      </c>
      <c r="B33" s="23" t="s">
        <v>121</v>
      </c>
      <c r="E33" s="58" t="n">
        <f aca="false">'12_UTILITY'!E28*'12_UTILITY'!E31/'06_CONSTRUCTION'!E19</f>
        <v>964.186403773585</v>
      </c>
      <c r="F33" s="58" t="n">
        <f aca="false">'12_UTILITY'!F28*'12_UTILITY'!F31/'06_CONSTRUCTION'!F19</f>
        <v>1026.5856370744</v>
      </c>
      <c r="G33" s="58" t="n">
        <f aca="false">'12_UTILITY'!G28*'12_UTILITY'!G31/'06_CONSTRUCTION'!G19</f>
        <v>1093.02316037941</v>
      </c>
      <c r="H33" s="58" t="n">
        <f aca="false">'12_UTILITY'!H28*'12_UTILITY'!H31/'06_CONSTRUCTION'!H19</f>
        <v>1191.40701031981</v>
      </c>
      <c r="I33" s="58" t="n">
        <f aca="false">'12_UTILITY'!I28*'12_UTILITY'!I31/'06_CONSTRUCTION'!I19</f>
        <v>1272.21458176433</v>
      </c>
      <c r="J33" s="58" t="n">
        <f aca="false">'12_UTILITY'!J28*'12_UTILITY'!J31/'06_CONSTRUCTION'!J19</f>
        <v>1353.0290674483</v>
      </c>
      <c r="K33" s="58" t="n">
        <f aca="false">'12_UTILITY'!K28*'12_UTILITY'!K31/'06_CONSTRUCTION'!K19</f>
        <v>1439.04495472654</v>
      </c>
      <c r="L33" s="58" t="n">
        <f aca="false">'12_UTILITY'!L28*'12_UTILITY'!L31/'06_CONSTRUCTION'!L19</f>
        <v>1530.59832170314</v>
      </c>
      <c r="M33" s="58" t="n">
        <f aca="false">'12_UTILITY'!M28*'12_UTILITY'!M31/'06_CONSTRUCTION'!M19</f>
        <v>1628.04698623678</v>
      </c>
      <c r="N33" s="58" t="n">
        <f aca="false">'12_UTILITY'!N28*'12_UTILITY'!N31/'06_CONSTRUCTION'!N19</f>
        <v>1731.77191267943</v>
      </c>
      <c r="O33" s="58" t="n">
        <f aca="false">'12_UTILITY'!O28*'12_UTILITY'!O31/'06_CONSTRUCTION'!O19</f>
        <v>1842.17870965134</v>
      </c>
      <c r="P33" s="58" t="n">
        <f aca="false">'12_UTILITY'!P28*'12_UTILITY'!P31/'06_CONSTRUCTION'!P19</f>
        <v>1959.69922474377</v>
      </c>
      <c r="Q33" s="58" t="n">
        <f aca="false">'12_UTILITY'!Q28*'12_UTILITY'!Q31/'06_CONSTRUCTION'!Q19</f>
        <v>2084.79324242233</v>
      </c>
      <c r="R33" s="58" t="n">
        <f aca="false">'12_UTILITY'!R28*'12_UTILITY'!R31/'06_CONSTRUCTION'!R19</f>
        <v>2217.95029180964</v>
      </c>
      <c r="S33" s="58" t="n">
        <f aca="false">'12_UTILITY'!S28*'12_UTILITY'!S31/'06_CONSTRUCTION'!S19</f>
        <v>2359.6915714583</v>
      </c>
      <c r="T33" s="58" t="n">
        <f aca="false">'12_UTILITY'!T28*'12_UTILITY'!T31/'06_CONSTRUCTION'!T19</f>
        <v>2510.57199868539</v>
      </c>
      <c r="U33" s="58" t="n">
        <f aca="false">'12_UTILITY'!U28*'12_UTILITY'!U31/'06_CONSTRUCTION'!U19</f>
        <v>2671.18239152962</v>
      </c>
      <c r="V33" s="58" t="n">
        <f aca="false">'12_UTILITY'!V28*'12_UTILITY'!V31/'06_CONSTRUCTION'!V19</f>
        <v>2842.15179191405</v>
      </c>
      <c r="W33" s="58" t="n">
        <f aca="false">'12_UTILITY'!W28*'12_UTILITY'!W31/'06_CONSTRUCTION'!W19</f>
        <v>3024.14993915262</v>
      </c>
      <c r="X33" s="58" t="n">
        <f aca="false">'12_UTILITY'!X28*'12_UTILITY'!X31/'06_CONSTRUCTION'!X19</f>
        <v>3217.88990353035</v>
      </c>
      <c r="Y33" s="58" t="n">
        <f aca="false">'12_UTILITY'!Y28*'12_UTILITY'!Y31/'06_CONSTRUCTION'!Y19</f>
        <v>3424.13089031639</v>
      </c>
      <c r="Z33" s="58" t="n">
        <f aca="false">'12_UTILITY'!Z28*'12_UTILITY'!Z31/'06_CONSTRUCTION'!Z19</f>
        <v>3643.68122523999</v>
      </c>
      <c r="AA33" s="58" t="n">
        <f aca="false">'12_UTILITY'!AA28*'12_UTILITY'!AA31/'06_CONSTRUCTION'!AA19</f>
        <v>3877.40153317281</v>
      </c>
      <c r="AB33" s="58" t="n">
        <f aca="false">'12_UTILITY'!AB28*'12_UTILITY'!AB31/'06_CONSTRUCTION'!AB19</f>
        <v>4126.20812252144</v>
      </c>
      <c r="AC33" s="58" t="n">
        <f aca="false">'12_UTILITY'!AC28*'12_UTILITY'!AC31/'06_CONSTRUCTION'!AC19</f>
        <v>4391.07658864271</v>
      </c>
      <c r="AD33" s="58" t="n">
        <f aca="false">'12_UTILITY'!AD28*'12_UTILITY'!AD31/'06_CONSTRUCTION'!AD19</f>
        <v>4673.04565045653</v>
      </c>
      <c r="AE33" s="58" t="n">
        <f aca="false">'12_UTILITY'!AE28*'12_UTILITY'!AE31/'06_CONSTRUCTION'!AE19</f>
        <v>4973.22123534769</v>
      </c>
      <c r="AF33" s="58" t="n">
        <f aca="false">'12_UTILITY'!AF28*'12_UTILITY'!AF31/'06_CONSTRUCTION'!AF19</f>
        <v>5292.78082842522</v>
      </c>
      <c r="AG33" s="58" t="n">
        <f aca="false">'12_UTILITY'!AG28*'12_UTILITY'!AG31/'06_CONSTRUCTION'!AG19</f>
        <v>5581.07761020376</v>
      </c>
      <c r="AH33" s="58" t="n">
        <f aca="false">'12_UTILITY'!AH28*'12_UTILITY'!AH31/'06_CONSTRUCTION'!AH19</f>
        <v>5942.26810459997</v>
      </c>
      <c r="AI33" s="58" t="n">
        <f aca="false">'12_UTILITY'!AI28*'12_UTILITY'!AI31/'06_CONSTRUCTION'!AI19</f>
        <v>6326.8337574071</v>
      </c>
      <c r="AJ33" s="58" t="n">
        <f aca="false">'12_UTILITY'!AJ28*'12_UTILITY'!AJ31/'06_CONSTRUCTION'!AJ19</f>
        <v>6736.28733831099</v>
      </c>
      <c r="AK33" s="58" t="n">
        <f aca="false">'12_UTILITY'!AK28*'12_UTILITY'!AK31/'06_CONSTRUCTION'!AK19</f>
        <v>7172.2395188847</v>
      </c>
      <c r="AL33" s="58" t="n">
        <f aca="false">'12_UTILITY'!AL28*'12_UTILITY'!AL31/'06_CONSTRUCTION'!AL19</f>
        <v>7636.40520850309</v>
      </c>
      <c r="AM33" s="58" t="n">
        <f aca="false">'12_UTILITY'!AM28*'12_UTILITY'!AM31/'06_CONSTRUCTION'!AM19</f>
        <v>8130.61030029867</v>
      </c>
      <c r="AN33" s="58" t="n">
        <f aca="false">'12_UTILITY'!AN28*'12_UTILITY'!AN31/'06_CONSTRUCTION'!AN19</f>
        <v>8656.79885369535</v>
      </c>
      <c r="AO33" s="58" t="n">
        <f aca="false">'12_UTILITY'!AO28*'12_UTILITY'!AO31/'06_CONSTRUCTION'!AO19</f>
        <v>9217.04074177413</v>
      </c>
      <c r="AP33" s="58" t="n">
        <f aca="false">'12_UTILITY'!AP28*'12_UTILITY'!AP31/'06_CONSTRUCTION'!AP19</f>
        <v>9813.53979355309</v>
      </c>
      <c r="AQ33" s="58" t="n">
        <f aca="false">'12_UTILITY'!AQ28*'12_UTILITY'!AQ31/'06_CONSTRUCTION'!AQ19</f>
        <v>10448.6424632113</v>
      </c>
      <c r="AR33" s="58" t="n">
        <f aca="false">'12_UTILITY'!AR28*'12_UTILITY'!AR31/'06_CONSTRUCTION'!AR19</f>
        <v>11124.8470603588</v>
      </c>
    </row>
    <row r="34" customFormat="false" ht="15" hidden="false" customHeight="true" outlineLevel="0" collapsed="false">
      <c r="A34" s="23" t="s">
        <v>549</v>
      </c>
      <c r="B34" s="23" t="s">
        <v>93</v>
      </c>
      <c r="E34" s="43" t="n">
        <f aca="false">MAX(0,MIN(1,'12_UTILITY'!$C$13+IF('06_CONSTRUCTION'!E4&gt;='06_CONSTRUCTION'!$C$8,'27_SCENARIOS'!$C$31,0)))</f>
        <v>0.88</v>
      </c>
      <c r="F34" s="43" t="n">
        <f aca="false">MAX(0,MIN(1,'12_UTILITY'!$C$13+IF('06_CONSTRUCTION'!F4&gt;='06_CONSTRUCTION'!$C$8,'27_SCENARIOS'!$C$31,0)))</f>
        <v>0.88</v>
      </c>
      <c r="G34" s="43" t="n">
        <f aca="false">MAX(0,MIN(1,'12_UTILITY'!$C$13+IF('06_CONSTRUCTION'!G4&gt;='06_CONSTRUCTION'!$C$8,'27_SCENARIOS'!$C$31,0)))</f>
        <v>0.88</v>
      </c>
      <c r="H34" s="43" t="n">
        <f aca="false">MAX(0,MIN(1,'12_UTILITY'!$C$13+IF('06_CONSTRUCTION'!H4&gt;='06_CONSTRUCTION'!$C$8,'27_SCENARIOS'!$C$31,0)))</f>
        <v>0.88</v>
      </c>
      <c r="I34" s="43" t="n">
        <f aca="false">MAX(0,MIN(1,'12_UTILITY'!$C$13+IF('06_CONSTRUCTION'!I4&gt;='06_CONSTRUCTION'!$C$8,'27_SCENARIOS'!$C$31,0)))</f>
        <v>0.88</v>
      </c>
      <c r="J34" s="43" t="n">
        <f aca="false">MAX(0,MIN(1,'12_UTILITY'!$C$13+IF('06_CONSTRUCTION'!J4&gt;='06_CONSTRUCTION'!$C$8,'27_SCENARIOS'!$C$31,0)))</f>
        <v>0.88</v>
      </c>
      <c r="K34" s="43" t="n">
        <f aca="false">MAX(0,MIN(1,'12_UTILITY'!$C$13+IF('06_CONSTRUCTION'!K4&gt;='06_CONSTRUCTION'!$C$8,'27_SCENARIOS'!$C$31,0)))</f>
        <v>0.88</v>
      </c>
      <c r="L34" s="43" t="n">
        <f aca="false">MAX(0,MIN(1,'12_UTILITY'!$C$13+IF('06_CONSTRUCTION'!L4&gt;='06_CONSTRUCTION'!$C$8,'27_SCENARIOS'!$C$31,0)))</f>
        <v>0.88</v>
      </c>
      <c r="M34" s="43" t="n">
        <f aca="false">MAX(0,MIN(1,'12_UTILITY'!$C$13+IF('06_CONSTRUCTION'!M4&gt;='06_CONSTRUCTION'!$C$8,'27_SCENARIOS'!$C$31,0)))</f>
        <v>0.88</v>
      </c>
      <c r="N34" s="43" t="n">
        <f aca="false">MAX(0,MIN(1,'12_UTILITY'!$C$13+IF('06_CONSTRUCTION'!N4&gt;='06_CONSTRUCTION'!$C$8,'27_SCENARIOS'!$C$31,0)))</f>
        <v>0.88</v>
      </c>
      <c r="O34" s="43" t="n">
        <f aca="false">MAX(0,MIN(1,'12_UTILITY'!$C$13+IF('06_CONSTRUCTION'!O4&gt;='06_CONSTRUCTION'!$C$8,'27_SCENARIOS'!$C$31,0)))</f>
        <v>0.88</v>
      </c>
      <c r="P34" s="43" t="n">
        <f aca="false">MAX(0,MIN(1,'12_UTILITY'!$C$13+IF('06_CONSTRUCTION'!P4&gt;='06_CONSTRUCTION'!$C$8,'27_SCENARIOS'!$C$31,0)))</f>
        <v>0.88</v>
      </c>
      <c r="Q34" s="43" t="n">
        <f aca="false">MAX(0,MIN(1,'12_UTILITY'!$C$13+IF('06_CONSTRUCTION'!Q4&gt;='06_CONSTRUCTION'!$C$8,'27_SCENARIOS'!$C$31,0)))</f>
        <v>0.88</v>
      </c>
      <c r="R34" s="43" t="n">
        <f aca="false">MAX(0,MIN(1,'12_UTILITY'!$C$13+IF('06_CONSTRUCTION'!R4&gt;='06_CONSTRUCTION'!$C$8,'27_SCENARIOS'!$C$31,0)))</f>
        <v>0.88</v>
      </c>
      <c r="S34" s="43" t="n">
        <f aca="false">MAX(0,MIN(1,'12_UTILITY'!$C$13+IF('06_CONSTRUCTION'!S4&gt;='06_CONSTRUCTION'!$C$8,'27_SCENARIOS'!$C$31,0)))</f>
        <v>0.88</v>
      </c>
      <c r="T34" s="43" t="n">
        <f aca="false">MAX(0,MIN(1,'12_UTILITY'!$C$13+IF('06_CONSTRUCTION'!T4&gt;='06_CONSTRUCTION'!$C$8,'27_SCENARIOS'!$C$31,0)))</f>
        <v>0.88</v>
      </c>
      <c r="U34" s="43" t="n">
        <f aca="false">MAX(0,MIN(1,'12_UTILITY'!$C$13+IF('06_CONSTRUCTION'!U4&gt;='06_CONSTRUCTION'!$C$8,'27_SCENARIOS'!$C$31,0)))</f>
        <v>0.88</v>
      </c>
      <c r="V34" s="43" t="n">
        <f aca="false">MAX(0,MIN(1,'12_UTILITY'!$C$13+IF('06_CONSTRUCTION'!V4&gt;='06_CONSTRUCTION'!$C$8,'27_SCENARIOS'!$C$31,0)))</f>
        <v>0.88</v>
      </c>
      <c r="W34" s="43" t="n">
        <f aca="false">MAX(0,MIN(1,'12_UTILITY'!$C$13+IF('06_CONSTRUCTION'!W4&gt;='06_CONSTRUCTION'!$C$8,'27_SCENARIOS'!$C$31,0)))</f>
        <v>0.88</v>
      </c>
      <c r="X34" s="43" t="n">
        <f aca="false">MAX(0,MIN(1,'12_UTILITY'!$C$13+IF('06_CONSTRUCTION'!X4&gt;='06_CONSTRUCTION'!$C$8,'27_SCENARIOS'!$C$31,0)))</f>
        <v>0.88</v>
      </c>
      <c r="Y34" s="43" t="n">
        <f aca="false">MAX(0,MIN(1,'12_UTILITY'!$C$13+IF('06_CONSTRUCTION'!Y4&gt;='06_CONSTRUCTION'!$C$8,'27_SCENARIOS'!$C$31,0)))</f>
        <v>0.88</v>
      </c>
      <c r="Z34" s="43" t="n">
        <f aca="false">MAX(0,MIN(1,'12_UTILITY'!$C$13+IF('06_CONSTRUCTION'!Z4&gt;='06_CONSTRUCTION'!$C$8,'27_SCENARIOS'!$C$31,0)))</f>
        <v>0.88</v>
      </c>
      <c r="AA34" s="43" t="n">
        <f aca="false">MAX(0,MIN(1,'12_UTILITY'!$C$13+IF('06_CONSTRUCTION'!AA4&gt;='06_CONSTRUCTION'!$C$8,'27_SCENARIOS'!$C$31,0)))</f>
        <v>0.88</v>
      </c>
      <c r="AB34" s="43" t="n">
        <f aca="false">MAX(0,MIN(1,'12_UTILITY'!$C$13+IF('06_CONSTRUCTION'!AB4&gt;='06_CONSTRUCTION'!$C$8,'27_SCENARIOS'!$C$31,0)))</f>
        <v>0.88</v>
      </c>
      <c r="AC34" s="43" t="n">
        <f aca="false">MAX(0,MIN(1,'12_UTILITY'!$C$13+IF('06_CONSTRUCTION'!AC4&gt;='06_CONSTRUCTION'!$C$8,'27_SCENARIOS'!$C$31,0)))</f>
        <v>0.88</v>
      </c>
      <c r="AD34" s="43" t="n">
        <f aca="false">MAX(0,MIN(1,'12_UTILITY'!$C$13+IF('06_CONSTRUCTION'!AD4&gt;='06_CONSTRUCTION'!$C$8,'27_SCENARIOS'!$C$31,0)))</f>
        <v>0.88</v>
      </c>
      <c r="AE34" s="43" t="n">
        <f aca="false">MAX(0,MIN(1,'12_UTILITY'!$C$13+IF('06_CONSTRUCTION'!AE4&gt;='06_CONSTRUCTION'!$C$8,'27_SCENARIOS'!$C$31,0)))</f>
        <v>0.88</v>
      </c>
      <c r="AF34" s="43" t="n">
        <f aca="false">MAX(0,MIN(1,'12_UTILITY'!$C$13+IF('06_CONSTRUCTION'!AF4&gt;='06_CONSTRUCTION'!$C$8,'27_SCENARIOS'!$C$31,0)))</f>
        <v>0.88</v>
      </c>
      <c r="AG34" s="43" t="n">
        <f aca="false">MAX(0,MIN(1,'12_UTILITY'!$C$13+IF('06_CONSTRUCTION'!AG4&gt;='06_CONSTRUCTION'!$C$8,'27_SCENARIOS'!$C$31,0)))</f>
        <v>0.88</v>
      </c>
      <c r="AH34" s="43" t="n">
        <f aca="false">MAX(0,MIN(1,'12_UTILITY'!$C$13+IF('06_CONSTRUCTION'!AH4&gt;='06_CONSTRUCTION'!$C$8,'27_SCENARIOS'!$C$31,0)))</f>
        <v>0.88</v>
      </c>
      <c r="AI34" s="43" t="n">
        <f aca="false">MAX(0,MIN(1,'12_UTILITY'!$C$13+IF('06_CONSTRUCTION'!AI4&gt;='06_CONSTRUCTION'!$C$8,'27_SCENARIOS'!$C$31,0)))</f>
        <v>0.88</v>
      </c>
      <c r="AJ34" s="43" t="n">
        <f aca="false">MAX(0,MIN(1,'12_UTILITY'!$C$13+IF('06_CONSTRUCTION'!AJ4&gt;='06_CONSTRUCTION'!$C$8,'27_SCENARIOS'!$C$31,0)))</f>
        <v>0.88</v>
      </c>
      <c r="AK34" s="43" t="n">
        <f aca="false">MAX(0,MIN(1,'12_UTILITY'!$C$13+IF('06_CONSTRUCTION'!AK4&gt;='06_CONSTRUCTION'!$C$8,'27_SCENARIOS'!$C$31,0)))</f>
        <v>0.88</v>
      </c>
      <c r="AL34" s="43" t="n">
        <f aca="false">MAX(0,MIN(1,'12_UTILITY'!$C$13+IF('06_CONSTRUCTION'!AL4&gt;='06_CONSTRUCTION'!$C$8,'27_SCENARIOS'!$C$31,0)))</f>
        <v>0.88</v>
      </c>
      <c r="AM34" s="43" t="n">
        <f aca="false">MAX(0,MIN(1,'12_UTILITY'!$C$13+IF('06_CONSTRUCTION'!AM4&gt;='06_CONSTRUCTION'!$C$8,'27_SCENARIOS'!$C$31,0)))</f>
        <v>0.88</v>
      </c>
      <c r="AN34" s="43" t="n">
        <f aca="false">MAX(0,MIN(1,'12_UTILITY'!$C$13+IF('06_CONSTRUCTION'!AN4&gt;='06_CONSTRUCTION'!$C$8,'27_SCENARIOS'!$C$31,0)))</f>
        <v>0.88</v>
      </c>
      <c r="AO34" s="43" t="n">
        <f aca="false">MAX(0,MIN(1,'12_UTILITY'!$C$13+IF('06_CONSTRUCTION'!AO4&gt;='06_CONSTRUCTION'!$C$8,'27_SCENARIOS'!$C$31,0)))</f>
        <v>0.88</v>
      </c>
      <c r="AP34" s="43" t="n">
        <f aca="false">MAX(0,MIN(1,'12_UTILITY'!$C$13+IF('06_CONSTRUCTION'!AP4&gt;='06_CONSTRUCTION'!$C$8,'27_SCENARIOS'!$C$31,0)))</f>
        <v>0.88</v>
      </c>
      <c r="AQ34" s="43" t="n">
        <f aca="false">MAX(0,MIN(1,'12_UTILITY'!$C$13+IF('06_CONSTRUCTION'!AQ4&gt;='06_CONSTRUCTION'!$C$8,'27_SCENARIOS'!$C$31,0)))</f>
        <v>0.88</v>
      </c>
      <c r="AR34" s="43" t="n">
        <f aca="false">MAX(0,MIN(1,'12_UTILITY'!$C$13+IF('06_CONSTRUCTION'!AR4&gt;='06_CONSTRUCTION'!$C$8,'27_SCENARIOS'!$C$31,0)))</f>
        <v>0.88</v>
      </c>
    </row>
    <row r="35" customFormat="false" ht="15" hidden="false" customHeight="true" outlineLevel="0" collapsed="false">
      <c r="A35" s="23" t="s">
        <v>578</v>
      </c>
      <c r="B35" s="23" t="s">
        <v>121</v>
      </c>
      <c r="E35" s="58" t="n">
        <f aca="false">'12_UTILITY'!E33*'12_UTILITY'!E34</f>
        <v>848.484035320755</v>
      </c>
      <c r="F35" s="58" t="n">
        <f aca="false">'12_UTILITY'!F33*'12_UTILITY'!F34</f>
        <v>903.395360625475</v>
      </c>
      <c r="G35" s="58" t="n">
        <f aca="false">'12_UTILITY'!G33*'12_UTILITY'!G34</f>
        <v>961.860381133879</v>
      </c>
      <c r="H35" s="58" t="n">
        <f aca="false">'12_UTILITY'!H33*'12_UTILITY'!H34</f>
        <v>1048.43816908144</v>
      </c>
      <c r="I35" s="58" t="n">
        <f aca="false">'12_UTILITY'!I33*'12_UTILITY'!I34</f>
        <v>1119.54883195261</v>
      </c>
      <c r="J35" s="58" t="n">
        <f aca="false">'12_UTILITY'!J33*'12_UTILITY'!J34</f>
        <v>1190.66557935451</v>
      </c>
      <c r="K35" s="58" t="n">
        <f aca="false">'12_UTILITY'!K33*'12_UTILITY'!K34</f>
        <v>1266.35956015936</v>
      </c>
      <c r="L35" s="58" t="n">
        <f aca="false">'12_UTILITY'!L33*'12_UTILITY'!L34</f>
        <v>1346.92652309876</v>
      </c>
      <c r="M35" s="58" t="n">
        <f aca="false">'12_UTILITY'!M33*'12_UTILITY'!M34</f>
        <v>1432.68134788837</v>
      </c>
      <c r="N35" s="58" t="n">
        <f aca="false">'12_UTILITY'!N33*'12_UTILITY'!N34</f>
        <v>1523.9592831579</v>
      </c>
      <c r="O35" s="58" t="n">
        <f aca="false">'12_UTILITY'!O33*'12_UTILITY'!O34</f>
        <v>1621.11726449318</v>
      </c>
      <c r="P35" s="58" t="n">
        <f aca="false">'12_UTILITY'!P33*'12_UTILITY'!P34</f>
        <v>1724.53531777452</v>
      </c>
      <c r="Q35" s="58" t="n">
        <f aca="false">'12_UTILITY'!Q33*'12_UTILITY'!Q34</f>
        <v>1834.61805333165</v>
      </c>
      <c r="R35" s="58" t="n">
        <f aca="false">'12_UTILITY'!R33*'12_UTILITY'!R34</f>
        <v>1951.79625679248</v>
      </c>
      <c r="S35" s="58" t="n">
        <f aca="false">'12_UTILITY'!S33*'12_UTILITY'!S34</f>
        <v>2076.52858288331</v>
      </c>
      <c r="T35" s="58" t="n">
        <f aca="false">'12_UTILITY'!T33*'12_UTILITY'!T34</f>
        <v>2209.30335884315</v>
      </c>
      <c r="U35" s="58" t="n">
        <f aca="false">'12_UTILITY'!U33*'12_UTILITY'!U34</f>
        <v>2350.64050454607</v>
      </c>
      <c r="V35" s="58" t="n">
        <f aca="false">'12_UTILITY'!V33*'12_UTILITY'!V34</f>
        <v>2501.09357688436</v>
      </c>
      <c r="W35" s="58" t="n">
        <f aca="false">'12_UTILITY'!W33*'12_UTILITY'!W34</f>
        <v>2661.25194645431</v>
      </c>
      <c r="X35" s="58" t="n">
        <f aca="false">'12_UTILITY'!X33*'12_UTILITY'!X34</f>
        <v>2831.74311510671</v>
      </c>
      <c r="Y35" s="58" t="n">
        <f aca="false">'12_UTILITY'!Y33*'12_UTILITY'!Y34</f>
        <v>3013.23518347843</v>
      </c>
      <c r="Z35" s="58" t="n">
        <f aca="false">'12_UTILITY'!Z33*'12_UTILITY'!Z34</f>
        <v>3206.43947821119</v>
      </c>
      <c r="AA35" s="58" t="n">
        <f aca="false">'12_UTILITY'!AA33*'12_UTILITY'!AA34</f>
        <v>3412.11334919208</v>
      </c>
      <c r="AB35" s="58" t="n">
        <f aca="false">'12_UTILITY'!AB33*'12_UTILITY'!AB34</f>
        <v>3631.06314781886</v>
      </c>
      <c r="AC35" s="58" t="n">
        <f aca="false">'12_UTILITY'!AC33*'12_UTILITY'!AC34</f>
        <v>3864.14739800559</v>
      </c>
      <c r="AD35" s="58" t="n">
        <f aca="false">'12_UTILITY'!AD33*'12_UTILITY'!AD34</f>
        <v>4112.28017240175</v>
      </c>
      <c r="AE35" s="58" t="n">
        <f aca="false">'12_UTILITY'!AE33*'12_UTILITY'!AE34</f>
        <v>4376.43468710597</v>
      </c>
      <c r="AF35" s="58" t="n">
        <f aca="false">'12_UTILITY'!AF33*'12_UTILITY'!AF34</f>
        <v>4657.64712901419</v>
      </c>
      <c r="AG35" s="58" t="n">
        <f aca="false">'12_UTILITY'!AG33*'12_UTILITY'!AG34</f>
        <v>4911.34829697931</v>
      </c>
      <c r="AH35" s="58" t="n">
        <f aca="false">'12_UTILITY'!AH33*'12_UTILITY'!AH34</f>
        <v>5229.19593204797</v>
      </c>
      <c r="AI35" s="58" t="n">
        <f aca="false">'12_UTILITY'!AI33*'12_UTILITY'!AI34</f>
        <v>5567.61370651825</v>
      </c>
      <c r="AJ35" s="58" t="n">
        <f aca="false">'12_UTILITY'!AJ33*'12_UTILITY'!AJ34</f>
        <v>5927.93285771367</v>
      </c>
      <c r="AK35" s="58" t="n">
        <f aca="false">'12_UTILITY'!AK33*'12_UTILITY'!AK34</f>
        <v>6311.57077661854</v>
      </c>
      <c r="AL35" s="58" t="n">
        <f aca="false">'12_UTILITY'!AL33*'12_UTILITY'!AL34</f>
        <v>6720.03658348272</v>
      </c>
      <c r="AM35" s="58" t="n">
        <f aca="false">'12_UTILITY'!AM33*'12_UTILITY'!AM34</f>
        <v>7154.93706426283</v>
      </c>
      <c r="AN35" s="58" t="n">
        <f aca="false">'12_UTILITY'!AN33*'12_UTILITY'!AN34</f>
        <v>7617.98299125191</v>
      </c>
      <c r="AO35" s="58" t="n">
        <f aca="false">'12_UTILITY'!AO33*'12_UTILITY'!AO34</f>
        <v>8110.99585276123</v>
      </c>
      <c r="AP35" s="58" t="n">
        <f aca="false">'12_UTILITY'!AP33*'12_UTILITY'!AP34</f>
        <v>8635.91501832672</v>
      </c>
      <c r="AQ35" s="58" t="n">
        <f aca="false">'12_UTILITY'!AQ33*'12_UTILITY'!AQ34</f>
        <v>9194.80536762598</v>
      </c>
      <c r="AR35" s="58" t="n">
        <f aca="false">'12_UTILITY'!AR33*'12_UTILITY'!AR34</f>
        <v>9789.86541311574</v>
      </c>
    </row>
    <row r="36" customFormat="false" ht="15" hidden="false" customHeight="true" outlineLevel="0" collapsed="false">
      <c r="A36" s="23" t="s">
        <v>579</v>
      </c>
      <c r="B36" s="23" t="s">
        <v>121</v>
      </c>
      <c r="E36" s="58" t="n">
        <f aca="false">'12_UTILITY'!$C$17*IF('06_CONSTRUCTION'!E4&gt;='06_CONSTRUCTION'!$C$8,'27_SCENARIOS'!$C$32,1)*'06_CONSTRUCTION'!E18/'06_CONSTRUCTION'!E20</f>
        <v>81.5094339622642</v>
      </c>
      <c r="F36" s="58" t="n">
        <f aca="false">'12_UTILITY'!$C$17*IF('06_CONSTRUCTION'!F4&gt;='06_CONSTRUCTION'!$C$8,'27_SCENARIOS'!$C$32,1)*'06_CONSTRUCTION'!F18/'06_CONSTRUCTION'!F20</f>
        <v>83.0473478106088</v>
      </c>
      <c r="G36" s="58" t="n">
        <f aca="false">'12_UTILITY'!$C$17*IF('06_CONSTRUCTION'!G4&gt;='06_CONSTRUCTION'!$C$8,'27_SCENARIOS'!$C$32,1)*'06_CONSTRUCTION'!G18/'06_CONSTRUCTION'!G20</f>
        <v>84.614278901375</v>
      </c>
      <c r="H36" s="58" t="n">
        <f aca="false">'12_UTILITY'!$C$17*IF('06_CONSTRUCTION'!H4&gt;='06_CONSTRUCTION'!$C$8,'27_SCENARIOS'!$C$32,1)*'06_CONSTRUCTION'!H18/'06_CONSTRUCTION'!H20</f>
        <v>86.2107747297028</v>
      </c>
      <c r="I36" s="58" t="n">
        <f aca="false">'12_UTILITY'!$C$17*IF('06_CONSTRUCTION'!I4&gt;='06_CONSTRUCTION'!$C$8,'27_SCENARIOS'!$C$32,1)*'06_CONSTRUCTION'!I18/'06_CONSTRUCTION'!I20</f>
        <v>87.8373931208293</v>
      </c>
      <c r="J36" s="58" t="n">
        <f aca="false">'12_UTILITY'!$C$17*IF('06_CONSTRUCTION'!J4&gt;='06_CONSTRUCTION'!$C$8,'27_SCENARIOS'!$C$32,1)*'06_CONSTRUCTION'!J18/'06_CONSTRUCTION'!J20</f>
        <v>89.4947024249959</v>
      </c>
      <c r="K36" s="58" t="n">
        <f aca="false">'12_UTILITY'!$C$17*IF('06_CONSTRUCTION'!K4&gt;='06_CONSTRUCTION'!$C$8,'27_SCENARIOS'!$C$32,1)*'06_CONSTRUCTION'!K18/'06_CONSTRUCTION'!K20</f>
        <v>91.1832817160335</v>
      </c>
      <c r="L36" s="58" t="n">
        <f aca="false">'12_UTILITY'!$C$17*IF('06_CONSTRUCTION'!L4&gt;='06_CONSTRUCTION'!$C$8,'27_SCENARIOS'!$C$32,1)*'06_CONSTRUCTION'!L18/'06_CONSTRUCTION'!L20</f>
        <v>92.9037209936945</v>
      </c>
      <c r="M36" s="58" t="n">
        <f aca="false">'12_UTILITY'!$C$17*IF('06_CONSTRUCTION'!M4&gt;='06_CONSTRUCTION'!$C$8,'27_SCENARIOS'!$C$32,1)*'06_CONSTRUCTION'!M18/'06_CONSTRUCTION'!M20</f>
        <v>94.656621389802</v>
      </c>
      <c r="N36" s="58" t="n">
        <f aca="false">'12_UTILITY'!$C$17*IF('06_CONSTRUCTION'!N4&gt;='06_CONSTRUCTION'!$C$8,'27_SCENARIOS'!$C$32,1)*'06_CONSTRUCTION'!N18/'06_CONSTRUCTION'!N20</f>
        <v>96.4425953782888</v>
      </c>
      <c r="O36" s="58" t="n">
        <f aca="false">'12_UTILITY'!$C$17*IF('06_CONSTRUCTION'!O4&gt;='06_CONSTRUCTION'!$C$8,'27_SCENARIOS'!$C$32,1)*'06_CONSTRUCTION'!O18/'06_CONSTRUCTION'!O20</f>
        <v>98.2622669891999</v>
      </c>
      <c r="P36" s="58" t="n">
        <f aca="false">'12_UTILITY'!$C$17*IF('06_CONSTRUCTION'!P4&gt;='06_CONSTRUCTION'!$C$8,'27_SCENARIOS'!$C$32,1)*'06_CONSTRUCTION'!P18/'06_CONSTRUCTION'!P20</f>
        <v>100.116272026732</v>
      </c>
      <c r="Q36" s="58" t="n">
        <f aca="false">'12_UTILITY'!$C$17*IF('06_CONSTRUCTION'!Q4&gt;='06_CONSTRUCTION'!$C$8,'27_SCENARIOS'!$C$32,1)*'06_CONSTRUCTION'!Q18/'06_CONSTRUCTION'!Q20</f>
        <v>102.005258291387</v>
      </c>
      <c r="R36" s="58" t="n">
        <f aca="false">'12_UTILITY'!$C$17*IF('06_CONSTRUCTION'!R4&gt;='06_CONSTRUCTION'!$C$8,'27_SCENARIOS'!$C$32,1)*'06_CONSTRUCTION'!R18/'06_CONSTRUCTION'!R20</f>
        <v>103.929885806319</v>
      </c>
      <c r="S36" s="58" t="n">
        <f aca="false">'12_UTILITY'!$C$17*IF('06_CONSTRUCTION'!S4&gt;='06_CONSTRUCTION'!$C$8,'27_SCENARIOS'!$C$32,1)*'06_CONSTRUCTION'!S18/'06_CONSTRUCTION'!S20</f>
        <v>105.890827047948</v>
      </c>
      <c r="T36" s="58" t="n">
        <f aca="false">'12_UTILITY'!$C$17*IF('06_CONSTRUCTION'!T4&gt;='06_CONSTRUCTION'!$C$8,'27_SCENARIOS'!$C$32,1)*'06_CONSTRUCTION'!T18/'06_CONSTRUCTION'!T20</f>
        <v>107.888767180928</v>
      </c>
      <c r="U36" s="58" t="n">
        <f aca="false">'12_UTILITY'!$C$17*IF('06_CONSTRUCTION'!U4&gt;='06_CONSTRUCTION'!$C$8,'27_SCENARIOS'!$C$32,1)*'06_CONSTRUCTION'!U18/'06_CONSTRUCTION'!U20</f>
        <v>109.924404297549</v>
      </c>
      <c r="V36" s="58" t="n">
        <f aca="false">'12_UTILITY'!$C$17*IF('06_CONSTRUCTION'!V4&gt;='06_CONSTRUCTION'!$C$8,'27_SCENARIOS'!$C$32,1)*'06_CONSTRUCTION'!V18/'06_CONSTRUCTION'!V20</f>
        <v>111.998449661654</v>
      </c>
      <c r="W36" s="58" t="n">
        <f aca="false">'12_UTILITY'!$C$17*IF('06_CONSTRUCTION'!W4&gt;='06_CONSTRUCTION'!$C$8,'27_SCENARIOS'!$C$32,1)*'06_CONSTRUCTION'!W18/'06_CONSTRUCTION'!W20</f>
        <v>114.111627957157</v>
      </c>
      <c r="X36" s="58" t="n">
        <f aca="false">'12_UTILITY'!$C$17*IF('06_CONSTRUCTION'!X4&gt;='06_CONSTRUCTION'!$C$8,'27_SCENARIOS'!$C$32,1)*'06_CONSTRUCTION'!X18/'06_CONSTRUCTION'!X20</f>
        <v>116.264677541254</v>
      </c>
      <c r="Y36" s="58" t="n">
        <f aca="false">'12_UTILITY'!$C$17*IF('06_CONSTRUCTION'!Y4&gt;='06_CONSTRUCTION'!$C$8,'27_SCENARIOS'!$C$32,1)*'06_CONSTRUCTION'!Y18/'06_CONSTRUCTION'!Y20</f>
        <v>118.45835070241</v>
      </c>
      <c r="Z36" s="58" t="n">
        <f aca="false">'12_UTILITY'!$C$17*IF('06_CONSTRUCTION'!Z4&gt;='06_CONSTRUCTION'!$C$8,'27_SCENARIOS'!$C$32,1)*'06_CONSTRUCTION'!Z18/'06_CONSTRUCTION'!Z20</f>
        <v>120.69341392321</v>
      </c>
      <c r="AA36" s="58" t="n">
        <f aca="false">'12_UTILITY'!$C$17*IF('06_CONSTRUCTION'!AA4&gt;='06_CONSTRUCTION'!$C$8,'27_SCENARIOS'!$C$32,1)*'06_CONSTRUCTION'!AA18/'06_CONSTRUCTION'!AA20</f>
        <v>122.970648148176</v>
      </c>
      <c r="AB36" s="58" t="n">
        <f aca="false">'12_UTILITY'!$C$17*IF('06_CONSTRUCTION'!AB4&gt;='06_CONSTRUCTION'!$C$8,'27_SCENARIOS'!$C$32,1)*'06_CONSTRUCTION'!AB18/'06_CONSTRUCTION'!AB20</f>
        <v>125.290849056632</v>
      </c>
      <c r="AC36" s="58" t="n">
        <f aca="false">'12_UTILITY'!$C$17*IF('06_CONSTRUCTION'!AC4&gt;='06_CONSTRUCTION'!$C$8,'27_SCENARIOS'!$C$32,1)*'06_CONSTRUCTION'!AC18/'06_CONSTRUCTION'!AC20</f>
        <v>127.65482734072</v>
      </c>
      <c r="AD36" s="58" t="n">
        <f aca="false">'12_UTILITY'!$C$17*IF('06_CONSTRUCTION'!AD4&gt;='06_CONSTRUCTION'!$C$8,'27_SCENARIOS'!$C$32,1)*'06_CONSTRUCTION'!AD18/'06_CONSTRUCTION'!AD20</f>
        <v>130.063408988658</v>
      </c>
      <c r="AE36" s="58" t="n">
        <f aca="false">'12_UTILITY'!$C$17*IF('06_CONSTRUCTION'!AE4&gt;='06_CONSTRUCTION'!$C$8,'27_SCENARIOS'!$C$32,1)*'06_CONSTRUCTION'!AE18/'06_CONSTRUCTION'!AE20</f>
        <v>132.51743557335</v>
      </c>
      <c r="AF36" s="58" t="n">
        <f aca="false">'12_UTILITY'!$C$17*IF('06_CONSTRUCTION'!AF4&gt;='06_CONSTRUCTION'!$C$8,'27_SCENARIOS'!$C$32,1)*'06_CONSTRUCTION'!AF18/'06_CONSTRUCTION'!AF20</f>
        <v>135.017764546432</v>
      </c>
      <c r="AG36" s="58" t="n">
        <f aca="false">'12_UTILITY'!$C$17*IF('06_CONSTRUCTION'!AG4&gt;='06_CONSTRUCTION'!$C$8,'27_SCENARIOS'!$C$32,1)*'06_CONSTRUCTION'!AG18/'06_CONSTRUCTION'!AG20</f>
        <v>137.565269537874</v>
      </c>
      <c r="AH36" s="58" t="n">
        <f aca="false">'12_UTILITY'!$C$17*IF('06_CONSTRUCTION'!AH4&gt;='06_CONSTRUCTION'!$C$8,'27_SCENARIOS'!$C$32,1)*'06_CONSTRUCTION'!AH18/'06_CONSTRUCTION'!AH20</f>
        <v>140.16084066123</v>
      </c>
      <c r="AI36" s="58" t="n">
        <f aca="false">'12_UTILITY'!$C$17*IF('06_CONSTRUCTION'!AI4&gt;='06_CONSTRUCTION'!$C$8,'27_SCENARIOS'!$C$32,1)*'06_CONSTRUCTION'!AI18/'06_CONSTRUCTION'!AI20</f>
        <v>142.805384824649</v>
      </c>
      <c r="AJ36" s="58" t="n">
        <f aca="false">'12_UTILITY'!$C$17*IF('06_CONSTRUCTION'!AJ4&gt;='06_CONSTRUCTION'!$C$8,'27_SCENARIOS'!$C$32,1)*'06_CONSTRUCTION'!AJ18/'06_CONSTRUCTION'!AJ20</f>
        <v>145.499826047756</v>
      </c>
      <c r="AK36" s="58" t="n">
        <f aca="false">'12_UTILITY'!$C$17*IF('06_CONSTRUCTION'!AK4&gt;='06_CONSTRUCTION'!$C$8,'27_SCENARIOS'!$C$32,1)*'06_CONSTRUCTION'!AK18/'06_CONSTRUCTION'!AK20</f>
        <v>148.245105784506</v>
      </c>
      <c r="AL36" s="58" t="n">
        <f aca="false">'12_UTILITY'!$C$17*IF('06_CONSTRUCTION'!AL4&gt;='06_CONSTRUCTION'!$C$8,'27_SCENARIOS'!$C$32,1)*'06_CONSTRUCTION'!AL18/'06_CONSTRUCTION'!AL20</f>
        <v>151.042183252138</v>
      </c>
      <c r="AM36" s="58" t="n">
        <f aca="false">'12_UTILITY'!$C$17*IF('06_CONSTRUCTION'!AM4&gt;='06_CONSTRUCTION'!$C$8,'27_SCENARIOS'!$C$32,1)*'06_CONSTRUCTION'!AM18/'06_CONSTRUCTION'!AM20</f>
        <v>153.89203576633</v>
      </c>
      <c r="AN36" s="58" t="n">
        <f aca="false">'12_UTILITY'!$C$17*IF('06_CONSTRUCTION'!AN4&gt;='06_CONSTRUCTION'!$C$8,'27_SCENARIOS'!$C$32,1)*'06_CONSTRUCTION'!AN18/'06_CONSTRUCTION'!AN20</f>
        <v>156.795659082675</v>
      </c>
      <c r="AO36" s="58" t="n">
        <f aca="false">'12_UTILITY'!$C$17*IF('06_CONSTRUCTION'!AO4&gt;='06_CONSTRUCTION'!$C$8,'27_SCENARIOS'!$C$32,1)*'06_CONSTRUCTION'!AO18/'06_CONSTRUCTION'!AO20</f>
        <v>159.754067744613</v>
      </c>
      <c r="AP36" s="58" t="n">
        <f aca="false">'12_UTILITY'!$C$17*IF('06_CONSTRUCTION'!AP4&gt;='06_CONSTRUCTION'!$C$8,'27_SCENARIOS'!$C$32,1)*'06_CONSTRUCTION'!AP18/'06_CONSTRUCTION'!AP20</f>
        <v>162.768295437907</v>
      </c>
      <c r="AQ36" s="58" t="n">
        <f aca="false">'12_UTILITY'!$C$17*IF('06_CONSTRUCTION'!AQ4&gt;='06_CONSTRUCTION'!$C$8,'27_SCENARIOS'!$C$32,1)*'06_CONSTRUCTION'!AQ18/'06_CONSTRUCTION'!AQ20</f>
        <v>165.83939535183</v>
      </c>
      <c r="AR36" s="58" t="n">
        <f aca="false">'12_UTILITY'!$C$17*IF('06_CONSTRUCTION'!AR4&gt;='06_CONSTRUCTION'!$C$8,'27_SCENARIOS'!$C$32,1)*'06_CONSTRUCTION'!AR18/'06_CONSTRUCTION'!AR20</f>
        <v>168.968440547148</v>
      </c>
    </row>
    <row r="37" customFormat="false" ht="15" hidden="false" customHeight="true" outlineLevel="0" collapsed="false">
      <c r="A37" s="23" t="s">
        <v>580</v>
      </c>
      <c r="B37" s="23" t="s">
        <v>121</v>
      </c>
      <c r="E37" s="58" t="n">
        <f aca="false">-'12_UTILITY'!$C$16*'06_CONSTRUCTION'!E18/'06_CONSTRUCTION'!E20*(0.5+0.5*'12_UTILITY'!E28/'10_DEMAND'!$C$99)</f>
        <v>-189.737869733781</v>
      </c>
      <c r="F37" s="58" t="n">
        <f aca="false">-'12_UTILITY'!$C$16*'06_CONSTRUCTION'!F18/'06_CONSTRUCTION'!F20*(0.5+0.5*'12_UTILITY'!F28/'10_DEMAND'!$C$99)</f>
        <v>-197.579289220753</v>
      </c>
      <c r="G37" s="58" t="n">
        <f aca="false">-'12_UTILITY'!$C$16*'06_CONSTRUCTION'!G18/'06_CONSTRUCTION'!G20*(0.5+0.5*'12_UTILITY'!G28/'10_DEMAND'!$C$99)</f>
        <v>-205.844448824549</v>
      </c>
      <c r="H37" s="58" t="n">
        <f aca="false">-'12_UTILITY'!$C$16*'06_CONSTRUCTION'!H18/'06_CONSTRUCTION'!H20*(0.5+0.5*'12_UTILITY'!H28/'10_DEMAND'!$C$99)</f>
        <v>-217.224271125852</v>
      </c>
      <c r="I37" s="58" t="n">
        <f aca="false">-'12_UTILITY'!$C$16*'06_CONSTRUCTION'!I18/'06_CONSTRUCTION'!I20*(0.5+0.5*'12_UTILITY'!I28/'10_DEMAND'!$C$99)</f>
        <v>-226.94554996022</v>
      </c>
      <c r="J37" s="58" t="n">
        <f aca="false">-'12_UTILITY'!$C$16*'06_CONSTRUCTION'!J18/'06_CONSTRUCTION'!J20*(0.5+0.5*'12_UTILITY'!J28/'10_DEMAND'!$C$99)</f>
        <v>-236.703940771072</v>
      </c>
      <c r="K37" s="58" t="n">
        <f aca="false">-'12_UTILITY'!$C$16*'06_CONSTRUCTION'!K18/'06_CONSTRUCTION'!K20*(0.5+0.5*'12_UTILITY'!K28/'10_DEMAND'!$C$99)</f>
        <v>-247.00086819357</v>
      </c>
      <c r="L37" s="58" t="n">
        <f aca="false">-'12_UTILITY'!$C$16*'06_CONSTRUCTION'!L18/'06_CONSTRUCTION'!L20*(0.5+0.5*'12_UTILITY'!L28/'10_DEMAND'!$C$99)</f>
        <v>-257.869430031406</v>
      </c>
      <c r="M37" s="58" t="n">
        <f aca="false">-'12_UTILITY'!$C$16*'06_CONSTRUCTION'!M18/'06_CONSTRUCTION'!M20*(0.5+0.5*'12_UTILITY'!M28/'10_DEMAND'!$C$99)</f>
        <v>-269.344832971414</v>
      </c>
      <c r="N37" s="58" t="n">
        <f aca="false">-'12_UTILITY'!$C$16*'06_CONSTRUCTION'!N18/'06_CONSTRUCTION'!N20*(0.5+0.5*'12_UTILITY'!N28/'10_DEMAND'!$C$99)</f>
        <v>-281.464528439467</v>
      </c>
      <c r="O37" s="58" t="n">
        <f aca="false">-'12_UTILITY'!$C$16*'06_CONSTRUCTION'!O18/'06_CONSTRUCTION'!O20*(0.5+0.5*'12_UTILITY'!O28/'10_DEMAND'!$C$99)</f>
        <v>-294.268357236765</v>
      </c>
      <c r="P37" s="58" t="n">
        <f aca="false">-'12_UTILITY'!$C$16*'06_CONSTRUCTION'!P18/'06_CONSTRUCTION'!P20*(0.5+0.5*'12_UTILITY'!P28/'10_DEMAND'!$C$99)</f>
        <v>-307.798703524548</v>
      </c>
      <c r="Q37" s="58" t="n">
        <f aca="false">-'12_UTILITY'!$C$16*'06_CONSTRUCTION'!Q18/'06_CONSTRUCTION'!Q20*(0.5+0.5*'12_UTILITY'!Q28/'10_DEMAND'!$C$99)</f>
        <v>-322.100658761988</v>
      </c>
      <c r="R37" s="58" t="n">
        <f aca="false">-'12_UTILITY'!$C$16*'06_CONSTRUCTION'!R18/'06_CONSTRUCTION'!R20*(0.5+0.5*'12_UTILITY'!R28/'10_DEMAND'!$C$99)</f>
        <v>-337.222196241189</v>
      </c>
      <c r="S37" s="58" t="n">
        <f aca="false">-'12_UTILITY'!$C$16*'06_CONSTRUCTION'!S18/'06_CONSTRUCTION'!S20*(0.5+0.5*'12_UTILITY'!S28/'10_DEMAND'!$C$99)</f>
        <v>-353.214356904865</v>
      </c>
      <c r="T37" s="58" t="n">
        <f aca="false">-'12_UTILITY'!$C$16*'06_CONSTRUCTION'!T18/'06_CONSTRUCTION'!T20*(0.5+0.5*'12_UTILITY'!T28/'10_DEMAND'!$C$99)</f>
        <v>-370.131447176629</v>
      </c>
      <c r="U37" s="58" t="n">
        <f aca="false">-'12_UTILITY'!$C$16*'06_CONSTRUCTION'!U18/'06_CONSTRUCTION'!U20*(0.5+0.5*'12_UTILITY'!U28/'10_DEMAND'!$C$99)</f>
        <v>-388.031249581081</v>
      </c>
      <c r="V37" s="58" t="n">
        <f aca="false">-'12_UTILITY'!$C$16*'06_CONSTRUCTION'!V18/'06_CONSTRUCTION'!V20*(0.5+0.5*'12_UTILITY'!V28/'10_DEMAND'!$C$99)</f>
        <v>-406.975246981164</v>
      </c>
      <c r="W37" s="58" t="n">
        <f aca="false">-'12_UTILITY'!$C$16*'06_CONSTRUCTION'!W18/'06_CONSTRUCTION'!W20*(0.5+0.5*'12_UTILITY'!W28/'10_DEMAND'!$C$99)</f>
        <v>-427.028861313785</v>
      </c>
      <c r="X37" s="58" t="n">
        <f aca="false">-'12_UTILITY'!$C$16*'06_CONSTRUCTION'!X18/'06_CONSTRUCTION'!X20*(0.5+0.5*'12_UTILITY'!X28/'10_DEMAND'!$C$99)</f>
        <v>-448.261707761755</v>
      </c>
      <c r="Y37" s="58" t="n">
        <f aca="false">-'12_UTILITY'!$C$16*'06_CONSTRUCTION'!Y18/'06_CONSTRUCTION'!Y20*(0.5+0.5*'12_UTILITY'!Y28/'10_DEMAND'!$C$99)</f>
        <v>-470.747865360743</v>
      </c>
      <c r="Z37" s="58" t="n">
        <f aca="false">-'12_UTILITY'!$C$16*'06_CONSTRUCTION'!Z18/'06_CONSTRUCTION'!Z20*(0.5+0.5*'12_UTILITY'!Z28/'10_DEMAND'!$C$99)</f>
        <v>-494.566165104638</v>
      </c>
      <c r="AA37" s="58" t="n">
        <f aca="false">-'12_UTILITY'!$C$16*'06_CONSTRUCTION'!AA18/'06_CONSTRUCTION'!AA20*(0.5+0.5*'12_UTILITY'!AA28/'10_DEMAND'!$C$99)</f>
        <v>-519.800496681456</v>
      </c>
      <c r="AB37" s="58" t="n">
        <f aca="false">-'12_UTILITY'!$C$16*'06_CONSTRUCTION'!AB18/'06_CONSTRUCTION'!AB20*(0.5+0.5*'12_UTILITY'!AB28/'10_DEMAND'!$C$99)</f>
        <v>-546.54013504525</v>
      </c>
      <c r="AC37" s="58" t="n">
        <f aca="false">-'12_UTILITY'!$C$16*'06_CONSTRUCTION'!AC18/'06_CONSTRUCTION'!AC20*(0.5+0.5*'12_UTILITY'!AC28/'10_DEMAND'!$C$99)</f>
        <v>-574.880088107447</v>
      </c>
      <c r="AD37" s="58" t="n">
        <f aca="false">-'12_UTILITY'!$C$16*'06_CONSTRUCTION'!AD18/'06_CONSTRUCTION'!AD20*(0.5+0.5*'12_UTILITY'!AD28/'10_DEMAND'!$C$99)</f>
        <v>-604.921466914134</v>
      </c>
      <c r="AE37" s="58" t="n">
        <f aca="false">-'12_UTILITY'!$C$16*'06_CONSTRUCTION'!AE18/'06_CONSTRUCTION'!AE20*(0.5+0.5*'12_UTILITY'!AE28/'10_DEMAND'!$C$99)</f>
        <v>-636.771879764185</v>
      </c>
      <c r="AF37" s="58" t="n">
        <f aca="false">-'12_UTILITY'!$C$16*'06_CONSTRUCTION'!AF18/'06_CONSTRUCTION'!AF20*(0.5+0.5*'12_UTILITY'!AF28/'10_DEMAND'!$C$99)</f>
        <v>-670.545851817351</v>
      </c>
      <c r="AG37" s="58" t="n">
        <f aca="false">-'12_UTILITY'!$C$16*'06_CONSTRUCTION'!AG18/'06_CONSTRUCTION'!AG20*(0.5+0.5*'12_UTILITY'!AG28/'10_DEMAND'!$C$99)</f>
        <v>-701.362180173239</v>
      </c>
      <c r="AH37" s="58" t="n">
        <f aca="false">-'12_UTILITY'!$C$16*'06_CONSTRUCTION'!AH18/'06_CONSTRUCTION'!AH20*(0.5+0.5*'12_UTILITY'!AH28/'10_DEMAND'!$C$99)</f>
        <v>-739.262378231428</v>
      </c>
      <c r="AI37" s="58" t="n">
        <f aca="false">-'12_UTILITY'!$C$16*'06_CONSTRUCTION'!AI18/'06_CONSTRUCTION'!AI20*(0.5+0.5*'12_UTILITY'!AI28/'10_DEMAND'!$C$99)</f>
        <v>-779.474044863517</v>
      </c>
      <c r="AJ37" s="58" t="n">
        <f aca="false">-'12_UTILITY'!$C$16*'06_CONSTRUCTION'!AJ18/'06_CONSTRUCTION'!AJ20*(0.5+0.5*'12_UTILITY'!AJ28/'10_DEMAND'!$C$99)</f>
        <v>-822.144104963464</v>
      </c>
      <c r="AK37" s="58" t="n">
        <f aca="false">-'12_UTILITY'!$C$16*'06_CONSTRUCTION'!AK18/'06_CONSTRUCTION'!AK20*(0.5+0.5*'12_UTILITY'!AK28/'10_DEMAND'!$C$99)</f>
        <v>-867.428941651873</v>
      </c>
      <c r="AL37" s="58" t="n">
        <f aca="false">-'12_UTILITY'!$C$16*'06_CONSTRUCTION'!AL18/'06_CONSTRUCTION'!AL20*(0.5+0.5*'12_UTILITY'!AL28/'10_DEMAND'!$C$99)</f>
        <v>-915.495007434637</v>
      </c>
      <c r="AM37" s="58" t="n">
        <f aca="false">-'12_UTILITY'!$C$16*'06_CONSTRUCTION'!AM18/'06_CONSTRUCTION'!AM20*(0.5+0.5*'12_UTILITY'!AM28/'10_DEMAND'!$C$99)</f>
        <v>-966.51947489603</v>
      </c>
      <c r="AN37" s="58" t="n">
        <f aca="false">-'12_UTILITY'!$C$16*'06_CONSTRUCTION'!AN18/'06_CONSTRUCTION'!AN20*(0.5+0.5*'12_UTILITY'!AN28/'10_DEMAND'!$C$99)</f>
        <v>-1020.69092948443</v>
      </c>
      <c r="AO37" s="58" t="n">
        <f aca="false">-'12_UTILITY'!$C$16*'06_CONSTRUCTION'!AO18/'06_CONSTRUCTION'!AO20*(0.5+0.5*'12_UTILITY'!AO28/'10_DEMAND'!$C$99)</f>
        <v>-1078.21010711445</v>
      </c>
      <c r="AP37" s="58" t="n">
        <f aca="false">-'12_UTILITY'!$C$16*'06_CONSTRUCTION'!AP18/'06_CONSTRUCTION'!AP20*(0.5+0.5*'12_UTILITY'!AP28/'10_DEMAND'!$C$99)</f>
        <v>-1139.29067948553</v>
      </c>
      <c r="AQ37" s="58" t="n">
        <f aca="false">-'12_UTILITY'!$C$16*'06_CONSTRUCTION'!AQ18/'06_CONSTRUCTION'!AQ20*(0.5+0.5*'12_UTILITY'!AQ28/'10_DEMAND'!$C$99)</f>
        <v>-1204.16009020463</v>
      </c>
      <c r="AR37" s="58" t="n">
        <f aca="false">-'12_UTILITY'!$C$16*'06_CONSTRUCTION'!AR18/'06_CONSTRUCTION'!AR20*(0.5+0.5*'12_UTILITY'!AR28/'10_DEMAND'!$C$99)</f>
        <v>-1273.06044500066</v>
      </c>
    </row>
    <row r="38" customFormat="false" ht="15" hidden="false" customHeight="true" outlineLevel="0" collapsed="false">
      <c r="A38" s="23" t="s">
        <v>581</v>
      </c>
      <c r="B38" s="23" t="s">
        <v>121</v>
      </c>
      <c r="E38" s="58" t="n">
        <f aca="false">-'12_UTILITY'!E26*'12_UTILITY'!$C$14*('12_UTILITY'!$C$15*'06_CONSTRUCTION'!E17+(1-'12_UTILITY'!$C$15)*'06_CONSTRUCTION'!E18/'06_CONSTRUCTION'!E20)/1000</f>
        <v>-503.890916037736</v>
      </c>
      <c r="F38" s="58" t="n">
        <f aca="false">-'12_UTILITY'!F26*'12_UTILITY'!$C$14*('12_UTILITY'!$C$15*'06_CONSTRUCTION'!F17+(1-'12_UTILITY'!$C$15)*'06_CONSTRUCTION'!F18/'06_CONSTRUCTION'!F20)/1000</f>
        <v>-536.799436668951</v>
      </c>
      <c r="G38" s="58" t="n">
        <f aca="false">-'12_UTILITY'!G26*'12_UTILITY'!$C$14*('12_UTILITY'!$C$15*'06_CONSTRUCTION'!G17+(1-'12_UTILITY'!$C$15)*'06_CONSTRUCTION'!G18/'06_CONSTRUCTION'!G20)/1000</f>
        <v>-571.857350220645</v>
      </c>
      <c r="H38" s="58" t="n">
        <f aca="false">-'12_UTILITY'!H26*'12_UTILITY'!$C$14*('12_UTILITY'!$C$15*'06_CONSTRUCTION'!H17+(1-'12_UTILITY'!$C$15)*'06_CONSTRUCTION'!H18/'06_CONSTRUCTION'!H20)/1000</f>
        <v>-609.205054034186</v>
      </c>
      <c r="I38" s="58" t="n">
        <f aca="false">-'12_UTILITY'!I26*'12_UTILITY'!$C$14*('12_UTILITY'!$C$15*'06_CONSTRUCTION'!I17+(1-'12_UTILITY'!$C$15)*'06_CONSTRUCTION'!I18/'06_CONSTRUCTION'!I20)/1000</f>
        <v>-648.992116891467</v>
      </c>
      <c r="J38" s="58" t="n">
        <f aca="false">-'12_UTILITY'!J26*'12_UTILITY'!$C$14*('12_UTILITY'!$C$15*'06_CONSTRUCTION'!J17+(1-'12_UTILITY'!$C$15)*'06_CONSTRUCTION'!J18/'06_CONSTRUCTION'!J20)/1000</f>
        <v>-691.377878187301</v>
      </c>
      <c r="K38" s="58" t="n">
        <f aca="false">-'12_UTILITY'!K26*'12_UTILITY'!$C$14*('12_UTILITY'!$C$15*'06_CONSTRUCTION'!K17+(1-'12_UTILITY'!$C$15)*'06_CONSTRUCTION'!K18/'06_CONSTRUCTION'!K20)/1000</f>
        <v>-736.532086249115</v>
      </c>
      <c r="L38" s="58" t="n">
        <f aca="false">-'12_UTILITY'!L26*'12_UTILITY'!$C$14*('12_UTILITY'!$C$15*'06_CONSTRUCTION'!L17+(1-'12_UTILITY'!$C$15)*'06_CONSTRUCTION'!L18/'06_CONSTRUCTION'!L20)/1000</f>
        <v>-784.635578361828</v>
      </c>
      <c r="M38" s="58" t="n">
        <f aca="false">-'12_UTILITY'!M26*'12_UTILITY'!$C$14*('12_UTILITY'!$C$15*'06_CONSTRUCTION'!M17+(1-'12_UTILITY'!$C$15)*'06_CONSTRUCTION'!M18/'06_CONSTRUCTION'!M20)/1000</f>
        <v>-835.881005223017</v>
      </c>
      <c r="N38" s="58" t="n">
        <f aca="false">-'12_UTILITY'!N26*'12_UTILITY'!$C$14*('12_UTILITY'!$C$15*'06_CONSTRUCTION'!N17+(1-'12_UTILITY'!$C$15)*'06_CONSTRUCTION'!N18/'06_CONSTRUCTION'!N20)/1000</f>
        <v>-890.473602731485</v>
      </c>
      <c r="O38" s="58" t="n">
        <f aca="false">-'12_UTILITY'!O26*'12_UTILITY'!$C$14*('12_UTILITY'!$C$15*'06_CONSTRUCTION'!O17+(1-'12_UTILITY'!$C$15)*'06_CONSTRUCTION'!O18/'06_CONSTRUCTION'!O20)/1000</f>
        <v>-948.632014202109</v>
      </c>
      <c r="P38" s="58" t="n">
        <f aca="false">-'12_UTILITY'!P26*'12_UTILITY'!$C$14*('12_UTILITY'!$C$15*'06_CONSTRUCTION'!P17+(1-'12_UTILITY'!$C$15)*'06_CONSTRUCTION'!P18/'06_CONSTRUCTION'!P20)/1000</f>
        <v>-1010.58916630192</v>
      </c>
      <c r="Q38" s="58" t="n">
        <f aca="false">-'12_UTILITY'!Q26*'12_UTILITY'!$C$14*('12_UTILITY'!$C$15*'06_CONSTRUCTION'!Q17+(1-'12_UTILITY'!$C$15)*'06_CONSTRUCTION'!Q18/'06_CONSTRUCTION'!Q20)/1000</f>
        <v>-1076.59320221772</v>
      </c>
      <c r="R38" s="58" t="n">
        <f aca="false">-'12_UTILITY'!R26*'12_UTILITY'!$C$14*('12_UTILITY'!$C$15*'06_CONSTRUCTION'!R17+(1-'12_UTILITY'!$C$15)*'06_CONSTRUCTION'!R18/'06_CONSTRUCTION'!R20)/1000</f>
        <v>-1146.90847579486</v>
      </c>
      <c r="S38" s="58" t="n">
        <f aca="false">-'12_UTILITY'!S26*'12_UTILITY'!$C$14*('12_UTILITY'!$C$15*'06_CONSTRUCTION'!S17+(1-'12_UTILITY'!$C$15)*'06_CONSTRUCTION'!S18/'06_CONSTRUCTION'!S20)/1000</f>
        <v>-1221.81661063129</v>
      </c>
      <c r="T38" s="58" t="n">
        <f aca="false">-'12_UTILITY'!T26*'12_UTILITY'!$C$14*('12_UTILITY'!$C$15*'06_CONSTRUCTION'!T17+(1-'12_UTILITY'!$C$15)*'06_CONSTRUCTION'!T18/'06_CONSTRUCTION'!T20)/1000</f>
        <v>-1301.61762837129</v>
      </c>
      <c r="U38" s="58" t="n">
        <f aca="false">-'12_UTILITY'!U26*'12_UTILITY'!$C$14*('12_UTILITY'!$C$15*'06_CONSTRUCTION'!U17+(1-'12_UTILITY'!$C$15)*'06_CONSTRUCTION'!U18/'06_CONSTRUCTION'!U20)/1000</f>
        <v>-1386.63115072056</v>
      </c>
      <c r="V38" s="58" t="n">
        <f aca="false">-'12_UTILITY'!V26*'12_UTILITY'!$C$14*('12_UTILITY'!$C$15*'06_CONSTRUCTION'!V17+(1-'12_UTILITY'!$C$15)*'06_CONSTRUCTION'!V18/'06_CONSTRUCTION'!V20)/1000</f>
        <v>-1477.19768000008</v>
      </c>
      <c r="W38" s="58" t="n">
        <f aca="false">-'12_UTILITY'!W26*'12_UTILITY'!$C$14*('12_UTILITY'!$C$15*'06_CONSTRUCTION'!W17+(1-'12_UTILITY'!$C$15)*'06_CONSTRUCTION'!W18/'06_CONSTRUCTION'!W20)/1000</f>
        <v>-1573.67996337069</v>
      </c>
      <c r="X38" s="58" t="n">
        <f aca="false">-'12_UTILITY'!X26*'12_UTILITY'!$C$14*('12_UTILITY'!$C$15*'06_CONSTRUCTION'!X17+(1-'12_UTILITY'!$C$15)*'06_CONSTRUCTION'!X18/'06_CONSTRUCTION'!X20)/1000</f>
        <v>-1676.46444619593</v>
      </c>
      <c r="Y38" s="58" t="n">
        <f aca="false">-'12_UTILITY'!Y26*'12_UTILITY'!$C$14*('12_UTILITY'!$C$15*'06_CONSTRUCTION'!Y17+(1-'12_UTILITY'!$C$15)*'06_CONSTRUCTION'!Y18/'06_CONSTRUCTION'!Y20)/1000</f>
        <v>-1785.96282036785</v>
      </c>
      <c r="Z38" s="58" t="n">
        <f aca="false">-'12_UTILITY'!Z26*'12_UTILITY'!$C$14*('12_UTILITY'!$C$15*'06_CONSTRUCTION'!Z17+(1-'12_UTILITY'!$C$15)*'06_CONSTRUCTION'!Z18/'06_CONSTRUCTION'!Z20)/1000</f>
        <v>-1902.61367380119</v>
      </c>
      <c r="AA38" s="58" t="n">
        <f aca="false">-'12_UTILITY'!AA26*'12_UTILITY'!$C$14*('12_UTILITY'!$C$15*'06_CONSTRUCTION'!AA17+(1-'12_UTILITY'!$C$15)*'06_CONSTRUCTION'!AA18/'06_CONSTRUCTION'!AA20)/1000</f>
        <v>-2026.8842477069</v>
      </c>
      <c r="AB38" s="58" t="n">
        <f aca="false">-'12_UTILITY'!AB26*'12_UTILITY'!$C$14*('12_UTILITY'!$C$15*'06_CONSTRUCTION'!AB17+(1-'12_UTILITY'!$C$15)*'06_CONSTRUCTION'!AB18/'06_CONSTRUCTION'!AB20)/1000</f>
        <v>-2159.27230868793</v>
      </c>
      <c r="AC38" s="58" t="n">
        <f aca="false">-'12_UTILITY'!AC26*'12_UTILITY'!$C$14*('12_UTILITY'!$C$15*'06_CONSTRUCTION'!AC17+(1-'12_UTILITY'!$C$15)*'06_CONSTRUCTION'!AC18/'06_CONSTRUCTION'!AC20)/1000</f>
        <v>-2300.30814316055</v>
      </c>
      <c r="AD38" s="58" t="n">
        <f aca="false">-'12_UTILITY'!AD26*'12_UTILITY'!$C$14*('12_UTILITY'!$C$15*'06_CONSTRUCTION'!AD17+(1-'12_UTILITY'!$C$15)*'06_CONSTRUCTION'!AD18/'06_CONSTRUCTION'!AD20)/1000</f>
        <v>-2450.55668209477</v>
      </c>
      <c r="AE38" s="58" t="n">
        <f aca="false">-'12_UTILITY'!AE26*'12_UTILITY'!$C$14*('12_UTILITY'!$C$15*'06_CONSTRUCTION'!AE17+(1-'12_UTILITY'!$C$15)*'06_CONSTRUCTION'!AE18/'06_CONSTRUCTION'!AE20)/1000</f>
        <v>-2610.61976458982</v>
      </c>
      <c r="AF38" s="58" t="n">
        <f aca="false">-'12_UTILITY'!AF26*'12_UTILITY'!$C$14*('12_UTILITY'!$C$15*'06_CONSTRUCTION'!AF17+(1-'12_UTILITY'!$C$15)*'06_CONSTRUCTION'!AF18/'06_CONSTRUCTION'!AF20)/1000</f>
        <v>-2781.13854935729</v>
      </c>
      <c r="AG38" s="58" t="n">
        <f aca="false">-'12_UTILITY'!AG26*'12_UTILITY'!$C$14*('12_UTILITY'!$C$15*'06_CONSTRUCTION'!AG17+(1-'12_UTILITY'!$C$15)*'06_CONSTRUCTION'!AG18/'06_CONSTRUCTION'!AG20)/1000</f>
        <v>-2962.79608377724</v>
      </c>
      <c r="AH38" s="58" t="n">
        <f aca="false">-'12_UTILITY'!AH26*'12_UTILITY'!$C$14*('12_UTILITY'!$C$15*'06_CONSTRUCTION'!AH17+(1-'12_UTILITY'!$C$15)*'06_CONSTRUCTION'!AH18/'06_CONSTRUCTION'!AH20)/1000</f>
        <v>-3156.3200408245</v>
      </c>
      <c r="AI38" s="58" t="n">
        <f aca="false">-'12_UTILITY'!AI26*'12_UTILITY'!$C$14*('12_UTILITY'!$C$15*'06_CONSTRUCTION'!AI17+(1-'12_UTILITY'!$C$15)*'06_CONSTRUCTION'!AI18/'06_CONSTRUCTION'!AI20)/1000</f>
        <v>-3362.4856348352</v>
      </c>
      <c r="AJ38" s="58" t="n">
        <f aca="false">-'12_UTILITY'!AJ26*'12_UTILITY'!$C$14*('12_UTILITY'!$C$15*'06_CONSTRUCTION'!AJ17+(1-'12_UTILITY'!$C$15)*'06_CONSTRUCTION'!AJ18/'06_CONSTRUCTION'!AJ20)/1000</f>
        <v>-3582.11872780043</v>
      </c>
      <c r="AK38" s="58" t="n">
        <f aca="false">-'12_UTILITY'!AK26*'12_UTILITY'!$C$14*('12_UTILITY'!$C$15*'06_CONSTRUCTION'!AK17+(1-'12_UTILITY'!$C$15)*'06_CONSTRUCTION'!AK18/'06_CONSTRUCTION'!AK20)/1000</f>
        <v>-3816.09913863791</v>
      </c>
      <c r="AL38" s="58" t="n">
        <f aca="false">-'12_UTILITY'!AL26*'12_UTILITY'!$C$14*('12_UTILITY'!$C$15*'06_CONSTRUCTION'!AL17+(1-'12_UTILITY'!$C$15)*'06_CONSTRUCTION'!AL18/'06_CONSTRUCTION'!AL20)/1000</f>
        <v>-4065.36416870613</v>
      </c>
      <c r="AM38" s="58" t="n">
        <f aca="false">-'12_UTILITY'!AM26*'12_UTILITY'!$C$14*('12_UTILITY'!$C$15*'06_CONSTRUCTION'!AM17+(1-'12_UTILITY'!$C$15)*'06_CONSTRUCTION'!AM18/'06_CONSTRUCTION'!AM20)/1000</f>
        <v>-4330.91235769232</v>
      </c>
      <c r="AN38" s="58" t="n">
        <f aca="false">-'12_UTILITY'!AN26*'12_UTILITY'!$C$14*('12_UTILITY'!$C$15*'06_CONSTRUCTION'!AN17+(1-'12_UTILITY'!$C$15)*'06_CONSTRUCTION'!AN18/'06_CONSTRUCTION'!AN20)/1000</f>
        <v>-4613.80748492932</v>
      </c>
      <c r="AO38" s="58" t="n">
        <f aca="false">-'12_UTILITY'!AO26*'12_UTILITY'!$C$14*('12_UTILITY'!$C$15*'06_CONSTRUCTION'!AO17+(1-'12_UTILITY'!$C$15)*'06_CONSTRUCTION'!AO18/'06_CONSTRUCTION'!AO20)/1000</f>
        <v>-4915.18283218005</v>
      </c>
      <c r="AP38" s="58" t="n">
        <f aca="false">-'12_UTILITY'!AP26*'12_UTILITY'!$C$14*('12_UTILITY'!$C$15*'06_CONSTRUCTION'!AP17+(1-'12_UTILITY'!$C$15)*'06_CONSTRUCTION'!AP18/'06_CONSTRUCTION'!AP20)/1000</f>
        <v>-5236.24572497686</v>
      </c>
      <c r="AQ38" s="58" t="n">
        <f aca="false">-'12_UTILITY'!AQ26*'12_UTILITY'!$C$14*('12_UTILITY'!$C$15*'06_CONSTRUCTION'!AQ17+(1-'12_UTILITY'!$C$15)*'06_CONSTRUCTION'!AQ18/'06_CONSTRUCTION'!AQ20)/1000</f>
        <v>-5578.28237071945</v>
      </c>
      <c r="AR38" s="58" t="n">
        <f aca="false">-'12_UTILITY'!AR26*'12_UTILITY'!$C$14*('12_UTILITY'!$C$15*'06_CONSTRUCTION'!AR17+(1-'12_UTILITY'!$C$15)*'06_CONSTRUCTION'!AR18/'06_CONSTRUCTION'!AR20)/1000</f>
        <v>-5942.66301292517</v>
      </c>
    </row>
    <row r="39" customFormat="false" ht="15" hidden="false" customHeight="true" outlineLevel="0" collapsed="false">
      <c r="A39" s="23" t="s">
        <v>582</v>
      </c>
      <c r="B39" s="23" t="s">
        <v>121</v>
      </c>
      <c r="E39" s="58" t="n">
        <f aca="false">-'12_UTILITY'!$C$18</f>
        <v>-85</v>
      </c>
      <c r="F39" s="58" t="n">
        <f aca="false">-'12_UTILITY'!$C$18</f>
        <v>-85</v>
      </c>
      <c r="G39" s="58" t="n">
        <f aca="false">-'12_UTILITY'!$C$18</f>
        <v>-85</v>
      </c>
      <c r="H39" s="58" t="n">
        <f aca="false">-'12_UTILITY'!$C$18</f>
        <v>-85</v>
      </c>
      <c r="I39" s="58" t="n">
        <f aca="false">-'12_UTILITY'!$C$18</f>
        <v>-85</v>
      </c>
      <c r="J39" s="58" t="n">
        <f aca="false">-'12_UTILITY'!$C$18</f>
        <v>-85</v>
      </c>
      <c r="K39" s="58" t="n">
        <f aca="false">-'12_UTILITY'!$C$18</f>
        <v>-85</v>
      </c>
      <c r="L39" s="58" t="n">
        <f aca="false">-'12_UTILITY'!$C$18</f>
        <v>-85</v>
      </c>
      <c r="M39" s="58" t="n">
        <f aca="false">-'12_UTILITY'!$C$18</f>
        <v>-85</v>
      </c>
      <c r="N39" s="58" t="n">
        <f aca="false">-'12_UTILITY'!$C$18</f>
        <v>-85</v>
      </c>
      <c r="O39" s="58" t="n">
        <f aca="false">-'12_UTILITY'!$C$18</f>
        <v>-85</v>
      </c>
      <c r="P39" s="58" t="n">
        <f aca="false">-'12_UTILITY'!$C$18</f>
        <v>-85</v>
      </c>
      <c r="Q39" s="58" t="n">
        <f aca="false">-'12_UTILITY'!$C$18</f>
        <v>-85</v>
      </c>
      <c r="R39" s="58" t="n">
        <f aca="false">-'12_UTILITY'!$C$18</f>
        <v>-85</v>
      </c>
      <c r="S39" s="58" t="n">
        <f aca="false">-'12_UTILITY'!$C$18</f>
        <v>-85</v>
      </c>
      <c r="T39" s="58" t="n">
        <f aca="false">-'12_UTILITY'!$C$18</f>
        <v>-85</v>
      </c>
      <c r="U39" s="58" t="n">
        <f aca="false">-'12_UTILITY'!$C$18</f>
        <v>-85</v>
      </c>
      <c r="V39" s="58" t="n">
        <f aca="false">-'12_UTILITY'!$C$18</f>
        <v>-85</v>
      </c>
      <c r="W39" s="58" t="n">
        <f aca="false">-'12_UTILITY'!$C$18</f>
        <v>-85</v>
      </c>
      <c r="X39" s="58" t="n">
        <f aca="false">-'12_UTILITY'!$C$18</f>
        <v>-85</v>
      </c>
      <c r="Y39" s="58" t="n">
        <f aca="false">-'12_UTILITY'!$C$18</f>
        <v>-85</v>
      </c>
      <c r="Z39" s="58" t="n">
        <f aca="false">-'12_UTILITY'!$C$18</f>
        <v>-85</v>
      </c>
      <c r="AA39" s="58" t="n">
        <f aca="false">-'12_UTILITY'!$C$18</f>
        <v>-85</v>
      </c>
      <c r="AB39" s="58" t="n">
        <f aca="false">-'12_UTILITY'!$C$18</f>
        <v>-85</v>
      </c>
      <c r="AC39" s="58" t="n">
        <f aca="false">-'12_UTILITY'!$C$18</f>
        <v>-85</v>
      </c>
      <c r="AD39" s="58" t="n">
        <f aca="false">-'12_UTILITY'!$C$18</f>
        <v>-85</v>
      </c>
      <c r="AE39" s="58" t="n">
        <f aca="false">-'12_UTILITY'!$C$18</f>
        <v>-85</v>
      </c>
      <c r="AF39" s="58" t="n">
        <f aca="false">-'12_UTILITY'!$C$18</f>
        <v>-85</v>
      </c>
      <c r="AG39" s="58" t="n">
        <f aca="false">-'12_UTILITY'!$C$18</f>
        <v>-85</v>
      </c>
      <c r="AH39" s="58" t="n">
        <f aca="false">-'12_UTILITY'!$C$18</f>
        <v>-85</v>
      </c>
      <c r="AI39" s="58" t="n">
        <f aca="false">-'12_UTILITY'!$C$18</f>
        <v>-85</v>
      </c>
      <c r="AJ39" s="58" t="n">
        <f aca="false">-'12_UTILITY'!$C$18</f>
        <v>-85</v>
      </c>
      <c r="AK39" s="58" t="n">
        <f aca="false">-'12_UTILITY'!$C$18</f>
        <v>-85</v>
      </c>
      <c r="AL39" s="58" t="n">
        <f aca="false">-'12_UTILITY'!$C$18</f>
        <v>-85</v>
      </c>
      <c r="AM39" s="58" t="n">
        <f aca="false">-'12_UTILITY'!$C$18</f>
        <v>-85</v>
      </c>
      <c r="AN39" s="58" t="n">
        <f aca="false">-'12_UTILITY'!$C$18</f>
        <v>-85</v>
      </c>
      <c r="AO39" s="58" t="n">
        <f aca="false">-'12_UTILITY'!$C$18</f>
        <v>-85</v>
      </c>
      <c r="AP39" s="58" t="n">
        <f aca="false">-'12_UTILITY'!$C$18</f>
        <v>-85</v>
      </c>
      <c r="AQ39" s="58" t="n">
        <f aca="false">-'12_UTILITY'!$C$18</f>
        <v>-85</v>
      </c>
      <c r="AR39" s="58" t="n">
        <f aca="false">-'12_UTILITY'!$C$18</f>
        <v>-85</v>
      </c>
    </row>
    <row r="40" customFormat="false" ht="15" hidden="false" customHeight="true" outlineLevel="0" collapsed="false">
      <c r="A40" s="19" t="s">
        <v>583</v>
      </c>
      <c r="B40" s="23" t="s">
        <v>121</v>
      </c>
      <c r="E40" s="72" t="n">
        <f aca="false">'12_UTILITY'!E35+'12_UTILITY'!E36+'12_UTILITY'!E37+'12_UTILITY'!E38+'12_UTILITY'!E39</f>
        <v>151.364683511502</v>
      </c>
      <c r="F40" s="72" t="n">
        <f aca="false">'12_UTILITY'!F35+'12_UTILITY'!F36+'12_UTILITY'!F37+'12_UTILITY'!F38+'12_UTILITY'!F39</f>
        <v>167.063982546379</v>
      </c>
      <c r="G40" s="72" t="n">
        <f aca="false">'12_UTILITY'!G35+'12_UTILITY'!G36+'12_UTILITY'!G37+'12_UTILITY'!G38+'12_UTILITY'!G39</f>
        <v>183.77286099006</v>
      </c>
      <c r="H40" s="72" t="n">
        <f aca="false">'12_UTILITY'!H35+'12_UTILITY'!H36+'12_UTILITY'!H37+'12_UTILITY'!H38+'12_UTILITY'!H39</f>
        <v>223.219618651101</v>
      </c>
      <c r="I40" s="72" t="n">
        <f aca="false">'12_UTILITY'!I35+'12_UTILITY'!I36+'12_UTILITY'!I37+'12_UTILITY'!I38+'12_UTILITY'!I39</f>
        <v>246.448558221756</v>
      </c>
      <c r="J40" s="72" t="n">
        <f aca="false">'12_UTILITY'!J35+'12_UTILITY'!J36+'12_UTILITY'!J37+'12_UTILITY'!J38+'12_UTILITY'!J39</f>
        <v>267.078462821131</v>
      </c>
      <c r="K40" s="72" t="n">
        <f aca="false">'12_UTILITY'!K35+'12_UTILITY'!K36+'12_UTILITY'!K37+'12_UTILITY'!K38+'12_UTILITY'!K39</f>
        <v>289.009887432704</v>
      </c>
      <c r="L40" s="72" t="n">
        <f aca="false">'12_UTILITY'!L35+'12_UTILITY'!L36+'12_UTILITY'!L37+'12_UTILITY'!L38+'12_UTILITY'!L39</f>
        <v>312.325235699224</v>
      </c>
      <c r="M40" s="72" t="n">
        <f aca="false">'12_UTILITY'!M35+'12_UTILITY'!M36+'12_UTILITY'!M37+'12_UTILITY'!M38+'12_UTILITY'!M39</f>
        <v>337.112131083739</v>
      </c>
      <c r="N40" s="72" t="n">
        <f aca="false">'12_UTILITY'!N35+'12_UTILITY'!N36+'12_UTILITY'!N37+'12_UTILITY'!N38+'12_UTILITY'!N39</f>
        <v>363.463747365239</v>
      </c>
      <c r="O40" s="72" t="n">
        <f aca="false">'12_UTILITY'!O35+'12_UTILITY'!O36+'12_UTILITY'!O37+'12_UTILITY'!O38+'12_UTILITY'!O39</f>
        <v>391.479160043506</v>
      </c>
      <c r="P40" s="72" t="n">
        <f aca="false">'12_UTILITY'!P35+'12_UTILITY'!P36+'12_UTILITY'!P37+'12_UTILITY'!P38+'12_UTILITY'!P39</f>
        <v>421.263719974778</v>
      </c>
      <c r="Q40" s="72" t="n">
        <f aca="false">'12_UTILITY'!Q35+'12_UTILITY'!Q36+'12_UTILITY'!Q37+'12_UTILITY'!Q38+'12_UTILITY'!Q39</f>
        <v>452.929450643329</v>
      </c>
      <c r="R40" s="72" t="n">
        <f aca="false">'12_UTILITY'!R35+'12_UTILITY'!R36+'12_UTILITY'!R37+'12_UTILITY'!R38+'12_UTILITY'!R39</f>
        <v>486.595470562756</v>
      </c>
      <c r="S40" s="72" t="n">
        <f aca="false">'12_UTILITY'!S35+'12_UTILITY'!S36+'12_UTILITY'!S37+'12_UTILITY'!S38+'12_UTILITY'!S39</f>
        <v>522.388442395098</v>
      </c>
      <c r="T40" s="72" t="n">
        <f aca="false">'12_UTILITY'!T35+'12_UTILITY'!T36+'12_UTILITY'!T37+'12_UTILITY'!T38+'12_UTILITY'!T39</f>
        <v>560.443050476156</v>
      </c>
      <c r="U40" s="72" t="n">
        <f aca="false">'12_UTILITY'!U35+'12_UTILITY'!U36+'12_UTILITY'!U37+'12_UTILITY'!U38+'12_UTILITY'!U39</f>
        <v>600.902508541977</v>
      </c>
      <c r="V40" s="72" t="n">
        <f aca="false">'12_UTILITY'!V35+'12_UTILITY'!V36+'12_UTILITY'!V37+'12_UTILITY'!V38+'12_UTILITY'!V39</f>
        <v>643.919099564774</v>
      </c>
      <c r="W40" s="72" t="n">
        <f aca="false">'12_UTILITY'!W35+'12_UTILITY'!W36+'12_UTILITY'!W37+'12_UTILITY'!W38+'12_UTILITY'!W39</f>
        <v>689.654749726992</v>
      </c>
      <c r="X40" s="72" t="n">
        <f aca="false">'12_UTILITY'!X35+'12_UTILITY'!X36+'12_UTILITY'!X37+'12_UTILITY'!X38+'12_UTILITY'!X39</f>
        <v>738.281638690277</v>
      </c>
      <c r="Y40" s="72" t="n">
        <f aca="false">'12_UTILITY'!Y35+'12_UTILITY'!Y36+'12_UTILITY'!Y37+'12_UTILITY'!Y38+'12_UTILITY'!Y39</f>
        <v>789.982848452242</v>
      </c>
      <c r="Z40" s="72" t="n">
        <f aca="false">'12_UTILITY'!Z35+'12_UTILITY'!Z36+'12_UTILITY'!Z37+'12_UTILITY'!Z38+'12_UTILITY'!Z39</f>
        <v>844.953053228572</v>
      </c>
      <c r="AA40" s="72" t="n">
        <f aca="false">'12_UTILITY'!AA35+'12_UTILITY'!AA36+'12_UTILITY'!AA37+'12_UTILITY'!AA38+'12_UTILITY'!AA39</f>
        <v>903.399252951899</v>
      </c>
      <c r="AB40" s="72" t="n">
        <f aca="false">'12_UTILITY'!AB35+'12_UTILITY'!AB36+'12_UTILITY'!AB37+'12_UTILITY'!AB38+'12_UTILITY'!AB39</f>
        <v>965.541553142321</v>
      </c>
      <c r="AC40" s="72" t="n">
        <f aca="false">'12_UTILITY'!AC35+'12_UTILITY'!AC36+'12_UTILITY'!AC37+'12_UTILITY'!AC38+'12_UTILITY'!AC39</f>
        <v>1031.61399407831</v>
      </c>
      <c r="AD40" s="72" t="n">
        <f aca="false">'12_UTILITY'!AD35+'12_UTILITY'!AD36+'12_UTILITY'!AD37+'12_UTILITY'!AD38+'12_UTILITY'!AD39</f>
        <v>1101.86543238151</v>
      </c>
      <c r="AE40" s="72" t="n">
        <f aca="false">'12_UTILITY'!AE35+'12_UTILITY'!AE36+'12_UTILITY'!AE37+'12_UTILITY'!AE38+'12_UTILITY'!AE39</f>
        <v>1176.56047832531</v>
      </c>
      <c r="AF40" s="72" t="n">
        <f aca="false">'12_UTILITY'!AF35+'12_UTILITY'!AF36+'12_UTILITY'!AF37+'12_UTILITY'!AF38+'12_UTILITY'!AF39</f>
        <v>1255.98049238598</v>
      </c>
      <c r="AG40" s="72" t="n">
        <f aca="false">'12_UTILITY'!AG35+'12_UTILITY'!AG36+'12_UTILITY'!AG37+'12_UTILITY'!AG38+'12_UTILITY'!AG39</f>
        <v>1299.75530256671</v>
      </c>
      <c r="AH40" s="72" t="n">
        <f aca="false">'12_UTILITY'!AH35+'12_UTILITY'!AH36+'12_UTILITY'!AH37+'12_UTILITY'!AH38+'12_UTILITY'!AH39</f>
        <v>1388.77435365327</v>
      </c>
      <c r="AI40" s="72" t="n">
        <f aca="false">'12_UTILITY'!AI35+'12_UTILITY'!AI36+'12_UTILITY'!AI37+'12_UTILITY'!AI38+'12_UTILITY'!AI39</f>
        <v>1483.45941164418</v>
      </c>
      <c r="AJ40" s="72" t="n">
        <f aca="false">'12_UTILITY'!AJ35+'12_UTILITY'!AJ36+'12_UTILITY'!AJ37+'12_UTILITY'!AJ38+'12_UTILITY'!AJ39</f>
        <v>1584.16985099753</v>
      </c>
      <c r="AK40" s="72" t="n">
        <f aca="false">'12_UTILITY'!AK35+'12_UTILITY'!AK36+'12_UTILITY'!AK37+'12_UTILITY'!AK38+'12_UTILITY'!AK39</f>
        <v>1691.28780211326</v>
      </c>
      <c r="AL40" s="72" t="n">
        <f aca="false">'12_UTILITY'!AL35+'12_UTILITY'!AL36+'12_UTILITY'!AL37+'12_UTILITY'!AL38+'12_UTILITY'!AL39</f>
        <v>1805.21959059409</v>
      </c>
      <c r="AM40" s="72" t="n">
        <f aca="false">'12_UTILITY'!AM35+'12_UTILITY'!AM36+'12_UTILITY'!AM37+'12_UTILITY'!AM38+'12_UTILITY'!AM39</f>
        <v>1926.39726744081</v>
      </c>
      <c r="AN40" s="72" t="n">
        <f aca="false">'12_UTILITY'!AN35+'12_UTILITY'!AN36+'12_UTILITY'!AN37+'12_UTILITY'!AN38+'12_UTILITY'!AN39</f>
        <v>2055.28023592084</v>
      </c>
      <c r="AO40" s="72" t="n">
        <f aca="false">'12_UTILITY'!AO35+'12_UTILITY'!AO36+'12_UTILITY'!AO37+'12_UTILITY'!AO38+'12_UTILITY'!AO39</f>
        <v>2192.35698121134</v>
      </c>
      <c r="AP40" s="72" t="n">
        <f aca="false">'12_UTILITY'!AP35+'12_UTILITY'!AP36+'12_UTILITY'!AP37+'12_UTILITY'!AP38+'12_UTILITY'!AP39</f>
        <v>2338.14690930224</v>
      </c>
      <c r="AQ40" s="72" t="n">
        <f aca="false">'12_UTILITY'!AQ35+'12_UTILITY'!AQ36+'12_UTILITY'!AQ37+'12_UTILITY'!AQ38+'12_UTILITY'!AQ39</f>
        <v>2493.20230205373</v>
      </c>
      <c r="AR40" s="72" t="n">
        <f aca="false">'12_UTILITY'!AR35+'12_UTILITY'!AR36+'12_UTILITY'!AR37+'12_UTILITY'!AR38+'12_UTILITY'!AR39</f>
        <v>2658.11039573705</v>
      </c>
    </row>
    <row r="41" customFormat="false" ht="15" hidden="false" customHeight="true" outlineLevel="0" collapsed="false">
      <c r="A41" s="19" t="s">
        <v>584</v>
      </c>
      <c r="B41" s="23" t="s">
        <v>121</v>
      </c>
      <c r="E41" s="72" t="n">
        <f aca="false">MAX(0,'12_UTILITY'!E40)/'12_UTILITY'!$C$21</f>
        <v>126.137236259585</v>
      </c>
      <c r="F41" s="72" t="n">
        <f aca="false">MAX(0,'12_UTILITY'!F40)/'12_UTILITY'!$C$21</f>
        <v>139.219985455316</v>
      </c>
      <c r="G41" s="72" t="n">
        <f aca="false">MAX(0,'12_UTILITY'!G40)/'12_UTILITY'!$C$21</f>
        <v>153.14405082505</v>
      </c>
      <c r="H41" s="72" t="n">
        <f aca="false">MAX(0,'12_UTILITY'!H40)/'12_UTILITY'!$C$21</f>
        <v>186.016348875917</v>
      </c>
      <c r="I41" s="72" t="n">
        <f aca="false">MAX(0,'12_UTILITY'!I40)/'12_UTILITY'!$C$21</f>
        <v>205.37379851813</v>
      </c>
      <c r="J41" s="72" t="n">
        <f aca="false">MAX(0,'12_UTILITY'!J40)/'12_UTILITY'!$C$21</f>
        <v>222.565385684276</v>
      </c>
      <c r="K41" s="72" t="n">
        <f aca="false">MAX(0,'12_UTILITY'!K40)/'12_UTILITY'!$C$21</f>
        <v>240.841572860586</v>
      </c>
      <c r="L41" s="72" t="n">
        <f aca="false">MAX(0,'12_UTILITY'!L40)/'12_UTILITY'!$C$21</f>
        <v>260.271029749354</v>
      </c>
      <c r="M41" s="72" t="n">
        <f aca="false">MAX(0,'12_UTILITY'!M40)/'12_UTILITY'!$C$21</f>
        <v>280.926775903116</v>
      </c>
      <c r="N41" s="72" t="n">
        <f aca="false">MAX(0,'12_UTILITY'!N40)/'12_UTILITY'!$C$21</f>
        <v>302.886456137699</v>
      </c>
      <c r="O41" s="72" t="n">
        <f aca="false">MAX(0,'12_UTILITY'!O40)/'12_UTILITY'!$C$21</f>
        <v>326.232633369588</v>
      </c>
      <c r="P41" s="72" t="n">
        <f aca="false">MAX(0,'12_UTILITY'!P40)/'12_UTILITY'!$C$21</f>
        <v>351.053099978982</v>
      </c>
      <c r="Q41" s="72" t="n">
        <f aca="false">MAX(0,'12_UTILITY'!Q40)/'12_UTILITY'!$C$21</f>
        <v>377.441208869441</v>
      </c>
      <c r="R41" s="72" t="n">
        <f aca="false">MAX(0,'12_UTILITY'!R40)/'12_UTILITY'!$C$21</f>
        <v>405.496225468963</v>
      </c>
      <c r="S41" s="72" t="n">
        <f aca="false">MAX(0,'12_UTILITY'!S40)/'12_UTILITY'!$C$21</f>
        <v>435.323701995915</v>
      </c>
      <c r="T41" s="72" t="n">
        <f aca="false">MAX(0,'12_UTILITY'!T40)/'12_UTILITY'!$C$21</f>
        <v>467.035875396797</v>
      </c>
      <c r="U41" s="72" t="n">
        <f aca="false">MAX(0,'12_UTILITY'!U40)/'12_UTILITY'!$C$21</f>
        <v>500.752090451648</v>
      </c>
      <c r="V41" s="72" t="n">
        <f aca="false">MAX(0,'12_UTILITY'!V40)/'12_UTILITY'!$C$21</f>
        <v>536.599249637312</v>
      </c>
      <c r="W41" s="72" t="n">
        <f aca="false">MAX(0,'12_UTILITY'!W40)/'12_UTILITY'!$C$21</f>
        <v>574.71229143916</v>
      </c>
      <c r="X41" s="72" t="n">
        <f aca="false">MAX(0,'12_UTILITY'!X40)/'12_UTILITY'!$C$21</f>
        <v>615.234698908565</v>
      </c>
      <c r="Y41" s="72" t="n">
        <f aca="false">MAX(0,'12_UTILITY'!Y40)/'12_UTILITY'!$C$21</f>
        <v>658.319040376868</v>
      </c>
      <c r="Z41" s="72" t="n">
        <f aca="false">MAX(0,'12_UTILITY'!Z40)/'12_UTILITY'!$C$21</f>
        <v>704.127544357144</v>
      </c>
      <c r="AA41" s="72" t="n">
        <f aca="false">MAX(0,'12_UTILITY'!AA40)/'12_UTILITY'!$C$21</f>
        <v>752.83271079325</v>
      </c>
      <c r="AB41" s="72" t="n">
        <f aca="false">MAX(0,'12_UTILITY'!AB40)/'12_UTILITY'!$C$21</f>
        <v>804.617960951935</v>
      </c>
      <c r="AC41" s="72" t="n">
        <f aca="false">MAX(0,'12_UTILITY'!AC40)/'12_UTILITY'!$C$21</f>
        <v>859.678328398593</v>
      </c>
      <c r="AD41" s="72" t="n">
        <f aca="false">MAX(0,'12_UTILITY'!AD40)/'12_UTILITY'!$C$21</f>
        <v>918.221193651257</v>
      </c>
      <c r="AE41" s="72" t="n">
        <f aca="false">MAX(0,'12_UTILITY'!AE40)/'12_UTILITY'!$C$21</f>
        <v>980.467065271089</v>
      </c>
      <c r="AF41" s="72" t="n">
        <f aca="false">MAX(0,'12_UTILITY'!AF40)/'12_UTILITY'!$C$21</f>
        <v>1046.65041032165</v>
      </c>
      <c r="AG41" s="72" t="n">
        <f aca="false">MAX(0,'12_UTILITY'!AG40)/'12_UTILITY'!$C$21</f>
        <v>1083.12941880559</v>
      </c>
      <c r="AH41" s="72" t="n">
        <f aca="false">MAX(0,'12_UTILITY'!AH40)/'12_UTILITY'!$C$21</f>
        <v>1157.31196137773</v>
      </c>
      <c r="AI41" s="72" t="n">
        <f aca="false">MAX(0,'12_UTILITY'!AI40)/'12_UTILITY'!$C$21</f>
        <v>1236.21617637015</v>
      </c>
      <c r="AJ41" s="72" t="n">
        <f aca="false">MAX(0,'12_UTILITY'!AJ40)/'12_UTILITY'!$C$21</f>
        <v>1320.14154249794</v>
      </c>
      <c r="AK41" s="72" t="n">
        <f aca="false">MAX(0,'12_UTILITY'!AK40)/'12_UTILITY'!$C$21</f>
        <v>1409.40650176105</v>
      </c>
      <c r="AL41" s="72" t="n">
        <f aca="false">MAX(0,'12_UTILITY'!AL40)/'12_UTILITY'!$C$21</f>
        <v>1504.34965882841</v>
      </c>
      <c r="AM41" s="72" t="n">
        <f aca="false">MAX(0,'12_UTILITY'!AM40)/'12_UTILITY'!$C$21</f>
        <v>1605.33105620067</v>
      </c>
      <c r="AN41" s="72" t="n">
        <f aca="false">MAX(0,'12_UTILITY'!AN40)/'12_UTILITY'!$C$21</f>
        <v>1712.73352993403</v>
      </c>
      <c r="AO41" s="72" t="n">
        <f aca="false">MAX(0,'12_UTILITY'!AO40)/'12_UTILITY'!$C$21</f>
        <v>1826.96415100945</v>
      </c>
      <c r="AP41" s="72" t="n">
        <f aca="false">MAX(0,'12_UTILITY'!AP40)/'12_UTILITY'!$C$21</f>
        <v>1948.45575775187</v>
      </c>
      <c r="AQ41" s="72" t="n">
        <f aca="false">MAX(0,'12_UTILITY'!AQ40)/'12_UTILITY'!$C$21</f>
        <v>2077.66858504477</v>
      </c>
      <c r="AR41" s="72" t="n">
        <f aca="false">MAX(0,'12_UTILITY'!AR40)/'12_UTILITY'!$C$21</f>
        <v>2215.09199644754</v>
      </c>
    </row>
    <row r="42" customFormat="false" ht="15" hidden="false" customHeight="true" outlineLevel="0" collapsed="false">
      <c r="A42" s="23" t="s">
        <v>585</v>
      </c>
      <c r="B42" s="23" t="s">
        <v>121</v>
      </c>
      <c r="E42" s="79" t="n">
        <f aca="false">'16_REVENUE'!E15</f>
        <v>0</v>
      </c>
      <c r="F42" s="79" t="n">
        <f aca="false">'16_REVENUE'!F15</f>
        <v>0</v>
      </c>
      <c r="G42" s="79" t="n">
        <f aca="false">'16_REVENUE'!G15</f>
        <v>0</v>
      </c>
      <c r="H42" s="79" t="n">
        <f aca="false">'16_REVENUE'!H15</f>
        <v>28.9918570845374</v>
      </c>
      <c r="I42" s="79" t="n">
        <f aca="false">'16_REVENUE'!I15</f>
        <v>34.4626493580429</v>
      </c>
      <c r="J42" s="79" t="n">
        <f aca="false">'16_REVENUE'!J15</f>
        <v>34.8243232018017</v>
      </c>
      <c r="K42" s="79" t="n">
        <f aca="false">'16_REVENUE'!K15</f>
        <v>35.1932305224358</v>
      </c>
      <c r="L42" s="79" t="n">
        <f aca="false">'16_REVENUE'!L15</f>
        <v>35.5695159894825</v>
      </c>
      <c r="M42" s="79" t="n">
        <f aca="false">'16_REVENUE'!M15</f>
        <v>35.9533271658701</v>
      </c>
      <c r="N42" s="79" t="n">
        <f aca="false">'16_REVENUE'!N15</f>
        <v>36.3448145657855</v>
      </c>
      <c r="O42" s="79" t="n">
        <f aca="false">'16_REVENUE'!O15</f>
        <v>36.7441317136992</v>
      </c>
      <c r="P42" s="79" t="n">
        <f aca="false">'16_REVENUE'!P15</f>
        <v>37.1514352045712</v>
      </c>
      <c r="Q42" s="79" t="n">
        <f aca="false">'16_REVENUE'!Q15</f>
        <v>37.5668847652606</v>
      </c>
      <c r="R42" s="79" t="n">
        <f aca="false">'16_REVENUE'!R15</f>
        <v>37.9906433171638</v>
      </c>
      <c r="S42" s="79" t="n">
        <f aca="false">'16_REVENUE'!S15</f>
        <v>38.4228770401051</v>
      </c>
      <c r="T42" s="79" t="n">
        <f aca="false">'16_REVENUE'!T15</f>
        <v>38.8637554375052</v>
      </c>
      <c r="U42" s="79" t="n">
        <f aca="false">'16_REVENUE'!U15</f>
        <v>39.3134514028533</v>
      </c>
      <c r="V42" s="79" t="n">
        <f aca="false">'16_REVENUE'!V15</f>
        <v>39.7721412875084</v>
      </c>
      <c r="W42" s="79" t="n">
        <f aca="false">'16_REVENUE'!W15</f>
        <v>40.2400049698565</v>
      </c>
      <c r="X42" s="79" t="n">
        <f aca="false">'16_REVENUE'!X15</f>
        <v>40.7172259258517</v>
      </c>
      <c r="Y42" s="79" t="n">
        <f aca="false">'16_REVENUE'!Y15</f>
        <v>41.2039913009667</v>
      </c>
      <c r="Z42" s="79" t="n">
        <f aca="false">'16_REVENUE'!Z15</f>
        <v>41.700491983584</v>
      </c>
      <c r="AA42" s="79" t="n">
        <f aca="false">'16_REVENUE'!AA15</f>
        <v>42.2069226798537</v>
      </c>
      <c r="AB42" s="79" t="n">
        <f aca="false">'16_REVENUE'!AB15</f>
        <v>42.7234819900488</v>
      </c>
      <c r="AC42" s="79" t="n">
        <f aca="false">'16_REVENUE'!AC15</f>
        <v>43.2503724864477</v>
      </c>
      <c r="AD42" s="79" t="n">
        <f aca="false">'16_REVENUE'!AD15</f>
        <v>43.7878007927747</v>
      </c>
      <c r="AE42" s="79" t="n">
        <f aca="false">'16_REVENUE'!AE15</f>
        <v>44.3359776652282</v>
      </c>
      <c r="AF42" s="79" t="n">
        <f aca="false">'16_REVENUE'!AF15</f>
        <v>44.8951180751307</v>
      </c>
      <c r="AG42" s="79" t="n">
        <f aca="false">'16_REVENUE'!AG15</f>
        <v>0</v>
      </c>
      <c r="AH42" s="79" t="n">
        <f aca="false">'16_REVENUE'!AH15</f>
        <v>0</v>
      </c>
      <c r="AI42" s="79" t="n">
        <f aca="false">'16_REVENUE'!AI15</f>
        <v>0</v>
      </c>
      <c r="AJ42" s="79" t="n">
        <f aca="false">'16_REVENUE'!AJ15</f>
        <v>0</v>
      </c>
      <c r="AK42" s="79" t="n">
        <f aca="false">'16_REVENUE'!AK15</f>
        <v>0</v>
      </c>
      <c r="AL42" s="79" t="n">
        <f aca="false">'16_REVENUE'!AL15</f>
        <v>0</v>
      </c>
      <c r="AM42" s="79" t="n">
        <f aca="false">'16_REVENUE'!AM15</f>
        <v>0</v>
      </c>
      <c r="AN42" s="79" t="n">
        <f aca="false">'16_REVENUE'!AN15</f>
        <v>0</v>
      </c>
      <c r="AO42" s="79" t="n">
        <f aca="false">'16_REVENUE'!AO15</f>
        <v>0</v>
      </c>
      <c r="AP42" s="79" t="n">
        <f aca="false">'16_REVENUE'!AP15</f>
        <v>0</v>
      </c>
      <c r="AQ42" s="79" t="n">
        <f aca="false">'16_REVENUE'!AQ15</f>
        <v>0</v>
      </c>
      <c r="AR42" s="79" t="n">
        <f aca="false">'16_REVENUE'!AR15</f>
        <v>0</v>
      </c>
    </row>
    <row r="43" customFormat="false" ht="15" hidden="false" customHeight="true" outlineLevel="0" collapsed="false">
      <c r="A43" s="19" t="s">
        <v>586</v>
      </c>
      <c r="B43" s="23" t="s">
        <v>121</v>
      </c>
      <c r="C43" s="58" t="n">
        <f aca="false">SUM('12_UTILITY'!$E$43:$AR$43)</f>
        <v>0</v>
      </c>
      <c r="E43" s="72" t="n">
        <f aca="false">'06_CONSTRUCTION'!E14*MAX(0,'12_UTILITY'!E42-'12_UTILITY'!E41)</f>
        <v>0</v>
      </c>
      <c r="F43" s="72" t="n">
        <f aca="false">'06_CONSTRUCTION'!F14*MAX(0,'12_UTILITY'!F42-'12_UTILITY'!F41)</f>
        <v>0</v>
      </c>
      <c r="G43" s="72" t="n">
        <f aca="false">'06_CONSTRUCTION'!G14*MAX(0,'12_UTILITY'!G42-'12_UTILITY'!G41)</f>
        <v>0</v>
      </c>
      <c r="H43" s="72" t="n">
        <f aca="false">'06_CONSTRUCTION'!H14*MAX(0,'12_UTILITY'!H42-'12_UTILITY'!H41)</f>
        <v>0</v>
      </c>
      <c r="I43" s="72" t="n">
        <f aca="false">'06_CONSTRUCTION'!I14*MAX(0,'12_UTILITY'!I42-'12_UTILITY'!I41)</f>
        <v>0</v>
      </c>
      <c r="J43" s="72" t="n">
        <f aca="false">'06_CONSTRUCTION'!J14*MAX(0,'12_UTILITY'!J42-'12_UTILITY'!J41)</f>
        <v>0</v>
      </c>
      <c r="K43" s="72" t="n">
        <f aca="false">'06_CONSTRUCTION'!K14*MAX(0,'12_UTILITY'!K42-'12_UTILITY'!K41)</f>
        <v>0</v>
      </c>
      <c r="L43" s="72" t="n">
        <f aca="false">'06_CONSTRUCTION'!L14*MAX(0,'12_UTILITY'!L42-'12_UTILITY'!L41)</f>
        <v>0</v>
      </c>
      <c r="M43" s="72" t="n">
        <f aca="false">'06_CONSTRUCTION'!M14*MAX(0,'12_UTILITY'!M42-'12_UTILITY'!M41)</f>
        <v>0</v>
      </c>
      <c r="N43" s="72" t="n">
        <f aca="false">'06_CONSTRUCTION'!N14*MAX(0,'12_UTILITY'!N42-'12_UTILITY'!N41)</f>
        <v>0</v>
      </c>
      <c r="O43" s="72" t="n">
        <f aca="false">'06_CONSTRUCTION'!O14*MAX(0,'12_UTILITY'!O42-'12_UTILITY'!O41)</f>
        <v>0</v>
      </c>
      <c r="P43" s="72" t="n">
        <f aca="false">'06_CONSTRUCTION'!P14*MAX(0,'12_UTILITY'!P42-'12_UTILITY'!P41)</f>
        <v>0</v>
      </c>
      <c r="Q43" s="72" t="n">
        <f aca="false">'06_CONSTRUCTION'!Q14*MAX(0,'12_UTILITY'!Q42-'12_UTILITY'!Q41)</f>
        <v>0</v>
      </c>
      <c r="R43" s="72" t="n">
        <f aca="false">'06_CONSTRUCTION'!R14*MAX(0,'12_UTILITY'!R42-'12_UTILITY'!R41)</f>
        <v>0</v>
      </c>
      <c r="S43" s="72" t="n">
        <f aca="false">'06_CONSTRUCTION'!S14*MAX(0,'12_UTILITY'!S42-'12_UTILITY'!S41)</f>
        <v>0</v>
      </c>
      <c r="T43" s="72" t="n">
        <f aca="false">'06_CONSTRUCTION'!T14*MAX(0,'12_UTILITY'!T42-'12_UTILITY'!T41)</f>
        <v>0</v>
      </c>
      <c r="U43" s="72" t="n">
        <f aca="false">'06_CONSTRUCTION'!U14*MAX(0,'12_UTILITY'!U42-'12_UTILITY'!U41)</f>
        <v>0</v>
      </c>
      <c r="V43" s="72" t="n">
        <f aca="false">'06_CONSTRUCTION'!V14*MAX(0,'12_UTILITY'!V42-'12_UTILITY'!V41)</f>
        <v>0</v>
      </c>
      <c r="W43" s="72" t="n">
        <f aca="false">'06_CONSTRUCTION'!W14*MAX(0,'12_UTILITY'!W42-'12_UTILITY'!W41)</f>
        <v>0</v>
      </c>
      <c r="X43" s="72" t="n">
        <f aca="false">'06_CONSTRUCTION'!X14*MAX(0,'12_UTILITY'!X42-'12_UTILITY'!X41)</f>
        <v>0</v>
      </c>
      <c r="Y43" s="72" t="n">
        <f aca="false">'06_CONSTRUCTION'!Y14*MAX(0,'12_UTILITY'!Y42-'12_UTILITY'!Y41)</f>
        <v>0</v>
      </c>
      <c r="Z43" s="72" t="n">
        <f aca="false">'06_CONSTRUCTION'!Z14*MAX(0,'12_UTILITY'!Z42-'12_UTILITY'!Z41)</f>
        <v>0</v>
      </c>
      <c r="AA43" s="72" t="n">
        <f aca="false">'06_CONSTRUCTION'!AA14*MAX(0,'12_UTILITY'!AA42-'12_UTILITY'!AA41)</f>
        <v>0</v>
      </c>
      <c r="AB43" s="72" t="n">
        <f aca="false">'06_CONSTRUCTION'!AB14*MAX(0,'12_UTILITY'!AB42-'12_UTILITY'!AB41)</f>
        <v>0</v>
      </c>
      <c r="AC43" s="72" t="n">
        <f aca="false">'06_CONSTRUCTION'!AC14*MAX(0,'12_UTILITY'!AC42-'12_UTILITY'!AC41)</f>
        <v>0</v>
      </c>
      <c r="AD43" s="72" t="n">
        <f aca="false">'06_CONSTRUCTION'!AD14*MAX(0,'12_UTILITY'!AD42-'12_UTILITY'!AD41)</f>
        <v>0</v>
      </c>
      <c r="AE43" s="72" t="n">
        <f aca="false">'06_CONSTRUCTION'!AE14*MAX(0,'12_UTILITY'!AE42-'12_UTILITY'!AE41)</f>
        <v>0</v>
      </c>
      <c r="AF43" s="72" t="n">
        <f aca="false">'06_CONSTRUCTION'!AF14*MAX(0,'12_UTILITY'!AF42-'12_UTILITY'!AF41)</f>
        <v>0</v>
      </c>
      <c r="AG43" s="72" t="n">
        <f aca="false">'06_CONSTRUCTION'!AG14*MAX(0,'12_UTILITY'!AG42-'12_UTILITY'!AG41)</f>
        <v>0</v>
      </c>
      <c r="AH43" s="72" t="n">
        <f aca="false">'06_CONSTRUCTION'!AH14*MAX(0,'12_UTILITY'!AH42-'12_UTILITY'!AH41)</f>
        <v>0</v>
      </c>
      <c r="AI43" s="72" t="n">
        <f aca="false">'06_CONSTRUCTION'!AI14*MAX(0,'12_UTILITY'!AI42-'12_UTILITY'!AI41)</f>
        <v>0</v>
      </c>
      <c r="AJ43" s="72" t="n">
        <f aca="false">'06_CONSTRUCTION'!AJ14*MAX(0,'12_UTILITY'!AJ42-'12_UTILITY'!AJ41)</f>
        <v>0</v>
      </c>
      <c r="AK43" s="72" t="n">
        <f aca="false">'06_CONSTRUCTION'!AK14*MAX(0,'12_UTILITY'!AK42-'12_UTILITY'!AK41)</f>
        <v>0</v>
      </c>
      <c r="AL43" s="72" t="n">
        <f aca="false">'06_CONSTRUCTION'!AL14*MAX(0,'12_UTILITY'!AL42-'12_UTILITY'!AL41)</f>
        <v>0</v>
      </c>
      <c r="AM43" s="72" t="n">
        <f aca="false">'06_CONSTRUCTION'!AM14*MAX(0,'12_UTILITY'!AM42-'12_UTILITY'!AM41)</f>
        <v>0</v>
      </c>
      <c r="AN43" s="72" t="n">
        <f aca="false">'06_CONSTRUCTION'!AN14*MAX(0,'12_UTILITY'!AN42-'12_UTILITY'!AN41)</f>
        <v>0</v>
      </c>
      <c r="AO43" s="72" t="n">
        <f aca="false">'06_CONSTRUCTION'!AO14*MAX(0,'12_UTILITY'!AO42-'12_UTILITY'!AO41)</f>
        <v>0</v>
      </c>
      <c r="AP43" s="72" t="n">
        <f aca="false">'06_CONSTRUCTION'!AP14*MAX(0,'12_UTILITY'!AP42-'12_UTILITY'!AP41)</f>
        <v>0</v>
      </c>
      <c r="AQ43" s="72" t="n">
        <f aca="false">'06_CONSTRUCTION'!AQ14*MAX(0,'12_UTILITY'!AQ42-'12_UTILITY'!AQ41)</f>
        <v>0</v>
      </c>
      <c r="AR43" s="72" t="n">
        <f aca="false">'06_CONSTRUCTION'!AR14*MAX(0,'12_UTILITY'!AR42-'12_UTILITY'!AR41)</f>
        <v>0</v>
      </c>
    </row>
    <row r="44" customFormat="false" ht="15" hidden="false" customHeight="true" outlineLevel="0" collapsed="false">
      <c r="A44" s="23" t="s">
        <v>587</v>
      </c>
      <c r="B44" s="23" t="s">
        <v>119</v>
      </c>
      <c r="E44" s="76" t="n">
        <f aca="false">IF('12_UTILITY'!E42&gt;0,'12_UTILITY'!E41/'12_UTILITY'!E42,99)</f>
        <v>99</v>
      </c>
      <c r="F44" s="76" t="n">
        <f aca="false">IF('12_UTILITY'!F42&gt;0,'12_UTILITY'!F41/'12_UTILITY'!F42,99)</f>
        <v>99</v>
      </c>
      <c r="G44" s="76" t="n">
        <f aca="false">IF('12_UTILITY'!G42&gt;0,'12_UTILITY'!G41/'12_UTILITY'!G42,99)</f>
        <v>99</v>
      </c>
      <c r="H44" s="76" t="n">
        <f aca="false">IF('12_UTILITY'!H42&gt;0,'12_UTILITY'!H41/'12_UTILITY'!H42,99)</f>
        <v>6.41615845213061</v>
      </c>
      <c r="I44" s="76" t="n">
        <f aca="false">IF('12_UTILITY'!I42&gt;0,'12_UTILITY'!I41/'12_UTILITY'!I42,99)</f>
        <v>5.95931544276934</v>
      </c>
      <c r="J44" s="76" t="n">
        <f aca="false">IF('12_UTILITY'!J42&gt;0,'12_UTILITY'!J41/'12_UTILITY'!J42,99)</f>
        <v>6.39109005491773</v>
      </c>
      <c r="K44" s="76" t="n">
        <f aca="false">IF('12_UTILITY'!K42&gt;0,'12_UTILITY'!K41/'12_UTILITY'!K42,99)</f>
        <v>6.84340622572427</v>
      </c>
      <c r="L44" s="76" t="n">
        <f aca="false">IF('12_UTILITY'!L42&gt;0,'12_UTILITY'!L41/'12_UTILITY'!L42,99)</f>
        <v>7.31724968724098</v>
      </c>
      <c r="M44" s="76" t="n">
        <f aca="false">IF('12_UTILITY'!M42&gt;0,'12_UTILITY'!M41/'12_UTILITY'!M42,99)</f>
        <v>7.81365169924509</v>
      </c>
      <c r="N44" s="76" t="n">
        <f aca="false">IF('12_UTILITY'!N42&gt;0,'12_UTILITY'!N41/'12_UTILITY'!N42,99)</f>
        <v>8.33369105761876</v>
      </c>
      <c r="O44" s="76" t="n">
        <f aca="false">IF('12_UTILITY'!O42&gt;0,'12_UTILITY'!O41/'12_UTILITY'!O42,99)</f>
        <v>8.87849618849368</v>
      </c>
      <c r="P44" s="76" t="n">
        <f aca="false">IF('12_UTILITY'!P42&gt;0,'12_UTILITY'!P41/'12_UTILITY'!P42,99)</f>
        <v>9.4492473317905</v>
      </c>
      <c r="Q44" s="76" t="n">
        <f aca="false">IF('12_UTILITY'!Q42&gt;0,'12_UTILITY'!Q41/'12_UTILITY'!Q42,99)</f>
        <v>10.0471788179379</v>
      </c>
      <c r="R44" s="76" t="n">
        <f aca="false">IF('12_UTILITY'!R42&gt;0,'12_UTILITY'!R41/'12_UTILITY'!R42,99)</f>
        <v>10.6735814417168</v>
      </c>
      <c r="S44" s="76" t="n">
        <f aca="false">IF('12_UTILITY'!S42&gt;0,'12_UTILITY'!S41/'12_UTILITY'!S42,99)</f>
        <v>11.3298049373432</v>
      </c>
      <c r="T44" s="76" t="n">
        <f aca="false">IF('12_UTILITY'!T42&gt;0,'12_UTILITY'!T41/'12_UTILITY'!T42,99)</f>
        <v>12.0172605590783</v>
      </c>
      <c r="U44" s="76" t="n">
        <f aca="false">IF('12_UTILITY'!U42&gt;0,'12_UTILITY'!U41/'12_UTILITY'!U42,99)</f>
        <v>12.7374237718366</v>
      </c>
      <c r="V44" s="76" t="n">
        <f aca="false">IF('12_UTILITY'!V42&gt;0,'12_UTILITY'!V41/'12_UTILITY'!V42,99)</f>
        <v>13.4918370564536</v>
      </c>
      <c r="W44" s="76" t="n">
        <f aca="false">IF('12_UTILITY'!W42&gt;0,'12_UTILITY'!W41/'12_UTILITY'!W42,99)</f>
        <v>14.2821128344709</v>
      </c>
      <c r="X44" s="76" t="n">
        <f aca="false">IF('12_UTILITY'!X42&gt;0,'12_UTILITY'!X41/'12_UTILITY'!X42,99)</f>
        <v>15.1099365175059</v>
      </c>
      <c r="Y44" s="76" t="n">
        <f aca="false">IF('12_UTILITY'!Y42&gt;0,'12_UTILITY'!Y41/'12_UTILITY'!Y42,99)</f>
        <v>15.977069686485</v>
      </c>
      <c r="Z44" s="76" t="n">
        <f aca="false">IF('12_UTILITY'!Z42&gt;0,'12_UTILITY'!Z41/'12_UTILITY'!Z42,99)</f>
        <v>16.885353406246</v>
      </c>
      <c r="AA44" s="76" t="n">
        <f aca="false">IF('12_UTILITY'!AA42&gt;0,'12_UTILITY'!AA41/'12_UTILITY'!AA42,99)</f>
        <v>17.8367116812473</v>
      </c>
      <c r="AB44" s="76" t="n">
        <f aca="false">IF('12_UTILITY'!AB42&gt;0,'12_UTILITY'!AB41/'12_UTILITY'!AB42,99)</f>
        <v>18.8331550583669</v>
      </c>
      <c r="AC44" s="76" t="n">
        <f aca="false">IF('12_UTILITY'!AC42&gt;0,'12_UTILITY'!AC41/'12_UTILITY'!AC42,99)</f>
        <v>19.876784383024</v>
      </c>
      <c r="AD44" s="76" t="n">
        <f aca="false">IF('12_UTILITY'!AD42&gt;0,'12_UTILITY'!AD41/'12_UTILITY'!AD42,99)</f>
        <v>20.9697947151246</v>
      </c>
      <c r="AE44" s="76" t="n">
        <f aca="false">IF('12_UTILITY'!AE42&gt;0,'12_UTILITY'!AE41/'12_UTILITY'!AE42,99)</f>
        <v>22.1144794116055</v>
      </c>
      <c r="AF44" s="76" t="n">
        <f aca="false">IF('12_UTILITY'!AF42&gt;0,'12_UTILITY'!AF41/'12_UTILITY'!AF42,99)</f>
        <v>23.3132343826362</v>
      </c>
      <c r="AG44" s="76" t="n">
        <f aca="false">IF('12_UTILITY'!AG42&gt;0,'12_UTILITY'!AG41/'12_UTILITY'!AG42,99)</f>
        <v>99</v>
      </c>
      <c r="AH44" s="76" t="n">
        <f aca="false">IF('12_UTILITY'!AH42&gt;0,'12_UTILITY'!AH41/'12_UTILITY'!AH42,99)</f>
        <v>99</v>
      </c>
      <c r="AI44" s="76" t="n">
        <f aca="false">IF('12_UTILITY'!AI42&gt;0,'12_UTILITY'!AI41/'12_UTILITY'!AI42,99)</f>
        <v>99</v>
      </c>
      <c r="AJ44" s="76" t="n">
        <f aca="false">IF('12_UTILITY'!AJ42&gt;0,'12_UTILITY'!AJ41/'12_UTILITY'!AJ42,99)</f>
        <v>99</v>
      </c>
      <c r="AK44" s="76" t="n">
        <f aca="false">IF('12_UTILITY'!AK42&gt;0,'12_UTILITY'!AK41/'12_UTILITY'!AK42,99)</f>
        <v>99</v>
      </c>
      <c r="AL44" s="76" t="n">
        <f aca="false">IF('12_UTILITY'!AL42&gt;0,'12_UTILITY'!AL41/'12_UTILITY'!AL42,99)</f>
        <v>99</v>
      </c>
      <c r="AM44" s="76" t="n">
        <f aca="false">IF('12_UTILITY'!AM42&gt;0,'12_UTILITY'!AM41/'12_UTILITY'!AM42,99)</f>
        <v>99</v>
      </c>
      <c r="AN44" s="76" t="n">
        <f aca="false">IF('12_UTILITY'!AN42&gt;0,'12_UTILITY'!AN41/'12_UTILITY'!AN42,99)</f>
        <v>99</v>
      </c>
      <c r="AO44" s="76" t="n">
        <f aca="false">IF('12_UTILITY'!AO42&gt;0,'12_UTILITY'!AO41/'12_UTILITY'!AO42,99)</f>
        <v>99</v>
      </c>
      <c r="AP44" s="76" t="n">
        <f aca="false">IF('12_UTILITY'!AP42&gt;0,'12_UTILITY'!AP41/'12_UTILITY'!AP42,99)</f>
        <v>99</v>
      </c>
      <c r="AQ44" s="76" t="n">
        <f aca="false">IF('12_UTILITY'!AQ42&gt;0,'12_UTILITY'!AQ41/'12_UTILITY'!AQ42,99)</f>
        <v>99</v>
      </c>
      <c r="AR44" s="76" t="n">
        <f aca="false">IF('12_UTILITY'!AR42&gt;0,'12_UTILITY'!AR41/'12_UTILITY'!AR42,99)</f>
        <v>99</v>
      </c>
    </row>
    <row r="45" customFormat="false" ht="15" hidden="false" customHeight="true" outlineLevel="0" collapsed="false">
      <c r="A45" s="23" t="s">
        <v>588</v>
      </c>
      <c r="B45" s="23" t="s">
        <v>119</v>
      </c>
      <c r="C45" s="76" t="n">
        <f aca="false">IF(COUNT('12_UTILITY'!$E$45:$AR$45)=0,99,MIN('12_UTILITY'!$E$45:$AR$45))</f>
        <v>5.95931544276934</v>
      </c>
      <c r="E45" s="76" t="str">
        <f aca="false">IF(AND('06_CONSTRUCTION'!E5&gt;=1,'06_CONSTRUCTION'!E5&lt;=10),'12_UTILITY'!E44,"")</f>
        <v/>
      </c>
      <c r="F45" s="76" t="str">
        <f aca="false">IF(AND('06_CONSTRUCTION'!F5&gt;=1,'06_CONSTRUCTION'!F5&lt;=10),'12_UTILITY'!F44,"")</f>
        <v/>
      </c>
      <c r="G45" s="76" t="str">
        <f aca="false">IF(AND('06_CONSTRUCTION'!G5&gt;=1,'06_CONSTRUCTION'!G5&lt;=10),'12_UTILITY'!G44,"")</f>
        <v/>
      </c>
      <c r="H45" s="76" t="n">
        <f aca="false">IF(AND('06_CONSTRUCTION'!H5&gt;=1,'06_CONSTRUCTION'!H5&lt;=10),'12_UTILITY'!H44,"")</f>
        <v>6.41615845213061</v>
      </c>
      <c r="I45" s="76" t="n">
        <f aca="false">IF(AND('06_CONSTRUCTION'!I5&gt;=1,'06_CONSTRUCTION'!I5&lt;=10),'12_UTILITY'!I44,"")</f>
        <v>5.95931544276934</v>
      </c>
      <c r="J45" s="76" t="n">
        <f aca="false">IF(AND('06_CONSTRUCTION'!J5&gt;=1,'06_CONSTRUCTION'!J5&lt;=10),'12_UTILITY'!J44,"")</f>
        <v>6.39109005491773</v>
      </c>
      <c r="K45" s="76" t="n">
        <f aca="false">IF(AND('06_CONSTRUCTION'!K5&gt;=1,'06_CONSTRUCTION'!K5&lt;=10),'12_UTILITY'!K44,"")</f>
        <v>6.84340622572427</v>
      </c>
      <c r="L45" s="76" t="n">
        <f aca="false">IF(AND('06_CONSTRUCTION'!L5&gt;=1,'06_CONSTRUCTION'!L5&lt;=10),'12_UTILITY'!L44,"")</f>
        <v>7.31724968724098</v>
      </c>
      <c r="M45" s="76" t="n">
        <f aca="false">IF(AND('06_CONSTRUCTION'!M5&gt;=1,'06_CONSTRUCTION'!M5&lt;=10),'12_UTILITY'!M44,"")</f>
        <v>7.81365169924509</v>
      </c>
      <c r="N45" s="76" t="n">
        <f aca="false">IF(AND('06_CONSTRUCTION'!N5&gt;=1,'06_CONSTRUCTION'!N5&lt;=10),'12_UTILITY'!N44,"")</f>
        <v>8.33369105761876</v>
      </c>
      <c r="O45" s="76" t="n">
        <f aca="false">IF(AND('06_CONSTRUCTION'!O5&gt;=1,'06_CONSTRUCTION'!O5&lt;=10),'12_UTILITY'!O44,"")</f>
        <v>8.87849618849368</v>
      </c>
      <c r="P45" s="76" t="n">
        <f aca="false">IF(AND('06_CONSTRUCTION'!P5&gt;=1,'06_CONSTRUCTION'!P5&lt;=10),'12_UTILITY'!P44,"")</f>
        <v>9.4492473317905</v>
      </c>
      <c r="Q45" s="76" t="n">
        <f aca="false">IF(AND('06_CONSTRUCTION'!Q5&gt;=1,'06_CONSTRUCTION'!Q5&lt;=10),'12_UTILITY'!Q44,"")</f>
        <v>10.0471788179379</v>
      </c>
      <c r="R45" s="76" t="str">
        <f aca="false">IF(AND('06_CONSTRUCTION'!R5&gt;=1,'06_CONSTRUCTION'!R5&lt;=10),'12_UTILITY'!R44,"")</f>
        <v/>
      </c>
      <c r="S45" s="76" t="str">
        <f aca="false">IF(AND('06_CONSTRUCTION'!S5&gt;=1,'06_CONSTRUCTION'!S5&lt;=10),'12_UTILITY'!S44,"")</f>
        <v/>
      </c>
      <c r="T45" s="76" t="str">
        <f aca="false">IF(AND('06_CONSTRUCTION'!T5&gt;=1,'06_CONSTRUCTION'!T5&lt;=10),'12_UTILITY'!T44,"")</f>
        <v/>
      </c>
      <c r="U45" s="76" t="str">
        <f aca="false">IF(AND('06_CONSTRUCTION'!U5&gt;=1,'06_CONSTRUCTION'!U5&lt;=10),'12_UTILITY'!U44,"")</f>
        <v/>
      </c>
      <c r="V45" s="76" t="str">
        <f aca="false">IF(AND('06_CONSTRUCTION'!V5&gt;=1,'06_CONSTRUCTION'!V5&lt;=10),'12_UTILITY'!V44,"")</f>
        <v/>
      </c>
      <c r="W45" s="76" t="str">
        <f aca="false">IF(AND('06_CONSTRUCTION'!W5&gt;=1,'06_CONSTRUCTION'!W5&lt;=10),'12_UTILITY'!W44,"")</f>
        <v/>
      </c>
      <c r="X45" s="76" t="str">
        <f aca="false">IF(AND('06_CONSTRUCTION'!X5&gt;=1,'06_CONSTRUCTION'!X5&lt;=10),'12_UTILITY'!X44,"")</f>
        <v/>
      </c>
      <c r="Y45" s="76" t="str">
        <f aca="false">IF(AND('06_CONSTRUCTION'!Y5&gt;=1,'06_CONSTRUCTION'!Y5&lt;=10),'12_UTILITY'!Y44,"")</f>
        <v/>
      </c>
      <c r="Z45" s="76" t="str">
        <f aca="false">IF(AND('06_CONSTRUCTION'!Z5&gt;=1,'06_CONSTRUCTION'!Z5&lt;=10),'12_UTILITY'!Z44,"")</f>
        <v/>
      </c>
      <c r="AA45" s="76" t="str">
        <f aca="false">IF(AND('06_CONSTRUCTION'!AA5&gt;=1,'06_CONSTRUCTION'!AA5&lt;=10),'12_UTILITY'!AA44,"")</f>
        <v/>
      </c>
      <c r="AB45" s="76" t="str">
        <f aca="false">IF(AND('06_CONSTRUCTION'!AB5&gt;=1,'06_CONSTRUCTION'!AB5&lt;=10),'12_UTILITY'!AB44,"")</f>
        <v/>
      </c>
      <c r="AC45" s="76" t="str">
        <f aca="false">IF(AND('06_CONSTRUCTION'!AC5&gt;=1,'06_CONSTRUCTION'!AC5&lt;=10),'12_UTILITY'!AC44,"")</f>
        <v/>
      </c>
      <c r="AD45" s="76" t="str">
        <f aca="false">IF(AND('06_CONSTRUCTION'!AD5&gt;=1,'06_CONSTRUCTION'!AD5&lt;=10),'12_UTILITY'!AD44,"")</f>
        <v/>
      </c>
      <c r="AE45" s="76" t="str">
        <f aca="false">IF(AND('06_CONSTRUCTION'!AE5&gt;=1,'06_CONSTRUCTION'!AE5&lt;=10),'12_UTILITY'!AE44,"")</f>
        <v/>
      </c>
      <c r="AF45" s="76" t="str">
        <f aca="false">IF(AND('06_CONSTRUCTION'!AF5&gt;=1,'06_CONSTRUCTION'!AF5&lt;=10),'12_UTILITY'!AF44,"")</f>
        <v/>
      </c>
      <c r="AG45" s="76" t="str">
        <f aca="false">IF(AND('06_CONSTRUCTION'!AG5&gt;=1,'06_CONSTRUCTION'!AG5&lt;=10),'12_UTILITY'!AG44,"")</f>
        <v/>
      </c>
      <c r="AH45" s="76" t="str">
        <f aca="false">IF(AND('06_CONSTRUCTION'!AH5&gt;=1,'06_CONSTRUCTION'!AH5&lt;=10),'12_UTILITY'!AH44,"")</f>
        <v/>
      </c>
      <c r="AI45" s="76" t="str">
        <f aca="false">IF(AND('06_CONSTRUCTION'!AI5&gt;=1,'06_CONSTRUCTION'!AI5&lt;=10),'12_UTILITY'!AI44,"")</f>
        <v/>
      </c>
      <c r="AJ45" s="76" t="str">
        <f aca="false">IF(AND('06_CONSTRUCTION'!AJ5&gt;=1,'06_CONSTRUCTION'!AJ5&lt;=10),'12_UTILITY'!AJ44,"")</f>
        <v/>
      </c>
      <c r="AK45" s="76" t="str">
        <f aca="false">IF(AND('06_CONSTRUCTION'!AK5&gt;=1,'06_CONSTRUCTION'!AK5&lt;=10),'12_UTILITY'!AK44,"")</f>
        <v/>
      </c>
      <c r="AL45" s="76" t="str">
        <f aca="false">IF(AND('06_CONSTRUCTION'!AL5&gt;=1,'06_CONSTRUCTION'!AL5&lt;=10),'12_UTILITY'!AL44,"")</f>
        <v/>
      </c>
      <c r="AM45" s="76" t="str">
        <f aca="false">IF(AND('06_CONSTRUCTION'!AM5&gt;=1,'06_CONSTRUCTION'!AM5&lt;=10),'12_UTILITY'!AM44,"")</f>
        <v/>
      </c>
      <c r="AN45" s="76" t="str">
        <f aca="false">IF(AND('06_CONSTRUCTION'!AN5&gt;=1,'06_CONSTRUCTION'!AN5&lt;=10),'12_UTILITY'!AN44,"")</f>
        <v/>
      </c>
      <c r="AO45" s="76" t="str">
        <f aca="false">IF(AND('06_CONSTRUCTION'!AO5&gt;=1,'06_CONSTRUCTION'!AO5&lt;=10),'12_UTILITY'!AO44,"")</f>
        <v/>
      </c>
      <c r="AP45" s="76" t="str">
        <f aca="false">IF(AND('06_CONSTRUCTION'!AP5&gt;=1,'06_CONSTRUCTION'!AP5&lt;=10),'12_UTILITY'!AP44,"")</f>
        <v/>
      </c>
      <c r="AQ45" s="76" t="str">
        <f aca="false">IF(AND('06_CONSTRUCTION'!AQ5&gt;=1,'06_CONSTRUCTION'!AQ5&lt;=10),'12_UTILITY'!AQ44,"")</f>
        <v/>
      </c>
      <c r="AR45" s="76" t="str">
        <f aca="false">IF(AND('06_CONSTRUCTION'!AR5&gt;=1,'06_CONSTRUCTION'!AR5&lt;=10),'12_UTILITY'!AR44,"")</f>
        <v/>
      </c>
    </row>
    <row r="46" customFormat="false" ht="15" hidden="false" customHeight="true" outlineLevel="0" collapsed="false">
      <c r="A46" s="23" t="s">
        <v>589</v>
      </c>
      <c r="B46" s="23" t="s">
        <v>121</v>
      </c>
      <c r="C46" s="58" t="n">
        <f aca="false">SUM('12_UTILITY'!$E$46:$AR$46)</f>
        <v>0</v>
      </c>
      <c r="E46" s="58" t="n">
        <f aca="false">MAX(0,-'12_UTILITY'!E40)</f>
        <v>0</v>
      </c>
      <c r="F46" s="58" t="n">
        <f aca="false">MAX(0,-'12_UTILITY'!F40)</f>
        <v>0</v>
      </c>
      <c r="G46" s="58" t="n">
        <f aca="false">MAX(0,-'12_UTILITY'!G40)</f>
        <v>0</v>
      </c>
      <c r="H46" s="58" t="n">
        <f aca="false">MAX(0,-'12_UTILITY'!H40)</f>
        <v>0</v>
      </c>
      <c r="I46" s="58" t="n">
        <f aca="false">MAX(0,-'12_UTILITY'!I40)</f>
        <v>0</v>
      </c>
      <c r="J46" s="58" t="n">
        <f aca="false">MAX(0,-'12_UTILITY'!J40)</f>
        <v>0</v>
      </c>
      <c r="K46" s="58" t="n">
        <f aca="false">MAX(0,-'12_UTILITY'!K40)</f>
        <v>0</v>
      </c>
      <c r="L46" s="58" t="n">
        <f aca="false">MAX(0,-'12_UTILITY'!L40)</f>
        <v>0</v>
      </c>
      <c r="M46" s="58" t="n">
        <f aca="false">MAX(0,-'12_UTILITY'!M40)</f>
        <v>0</v>
      </c>
      <c r="N46" s="58" t="n">
        <f aca="false">MAX(0,-'12_UTILITY'!N40)</f>
        <v>0</v>
      </c>
      <c r="O46" s="58" t="n">
        <f aca="false">MAX(0,-'12_UTILITY'!O40)</f>
        <v>0</v>
      </c>
      <c r="P46" s="58" t="n">
        <f aca="false">MAX(0,-'12_UTILITY'!P40)</f>
        <v>0</v>
      </c>
      <c r="Q46" s="58" t="n">
        <f aca="false">MAX(0,-'12_UTILITY'!Q40)</f>
        <v>0</v>
      </c>
      <c r="R46" s="58" t="n">
        <f aca="false">MAX(0,-'12_UTILITY'!R40)</f>
        <v>0</v>
      </c>
      <c r="S46" s="58" t="n">
        <f aca="false">MAX(0,-'12_UTILITY'!S40)</f>
        <v>0</v>
      </c>
      <c r="T46" s="58" t="n">
        <f aca="false">MAX(0,-'12_UTILITY'!T40)</f>
        <v>0</v>
      </c>
      <c r="U46" s="58" t="n">
        <f aca="false">MAX(0,-'12_UTILITY'!U40)</f>
        <v>0</v>
      </c>
      <c r="V46" s="58" t="n">
        <f aca="false">MAX(0,-'12_UTILITY'!V40)</f>
        <v>0</v>
      </c>
      <c r="W46" s="58" t="n">
        <f aca="false">MAX(0,-'12_UTILITY'!W40)</f>
        <v>0</v>
      </c>
      <c r="X46" s="58" t="n">
        <f aca="false">MAX(0,-'12_UTILITY'!X40)</f>
        <v>0</v>
      </c>
      <c r="Y46" s="58" t="n">
        <f aca="false">MAX(0,-'12_UTILITY'!Y40)</f>
        <v>0</v>
      </c>
      <c r="Z46" s="58" t="n">
        <f aca="false">MAX(0,-'12_UTILITY'!Z40)</f>
        <v>0</v>
      </c>
      <c r="AA46" s="58" t="n">
        <f aca="false">MAX(0,-'12_UTILITY'!AA40)</f>
        <v>0</v>
      </c>
      <c r="AB46" s="58" t="n">
        <f aca="false">MAX(0,-'12_UTILITY'!AB40)</f>
        <v>0</v>
      </c>
      <c r="AC46" s="58" t="n">
        <f aca="false">MAX(0,-'12_UTILITY'!AC40)</f>
        <v>0</v>
      </c>
      <c r="AD46" s="58" t="n">
        <f aca="false">MAX(0,-'12_UTILITY'!AD40)</f>
        <v>0</v>
      </c>
      <c r="AE46" s="58" t="n">
        <f aca="false">MAX(0,-'12_UTILITY'!AE40)</f>
        <v>0</v>
      </c>
      <c r="AF46" s="58" t="n">
        <f aca="false">MAX(0,-'12_UTILITY'!AF40)</f>
        <v>0</v>
      </c>
      <c r="AG46" s="58" t="n">
        <f aca="false">MAX(0,-'12_UTILITY'!AG40)</f>
        <v>0</v>
      </c>
      <c r="AH46" s="58" t="n">
        <f aca="false">MAX(0,-'12_UTILITY'!AH40)</f>
        <v>0</v>
      </c>
      <c r="AI46" s="58" t="n">
        <f aca="false">MAX(0,-'12_UTILITY'!AI40)</f>
        <v>0</v>
      </c>
      <c r="AJ46" s="58" t="n">
        <f aca="false">MAX(0,-'12_UTILITY'!AJ40)</f>
        <v>0</v>
      </c>
      <c r="AK46" s="58" t="n">
        <f aca="false">MAX(0,-'12_UTILITY'!AK40)</f>
        <v>0</v>
      </c>
      <c r="AL46" s="58" t="n">
        <f aca="false">MAX(0,-'12_UTILITY'!AL40)</f>
        <v>0</v>
      </c>
      <c r="AM46" s="58" t="n">
        <f aca="false">MAX(0,-'12_UTILITY'!AM40)</f>
        <v>0</v>
      </c>
      <c r="AN46" s="58" t="n">
        <f aca="false">MAX(0,-'12_UTILITY'!AN40)</f>
        <v>0</v>
      </c>
      <c r="AO46" s="58" t="n">
        <f aca="false">MAX(0,-'12_UTILITY'!AO40)</f>
        <v>0</v>
      </c>
      <c r="AP46" s="58" t="n">
        <f aca="false">MAX(0,-'12_UTILITY'!AP40)</f>
        <v>0</v>
      </c>
      <c r="AQ46" s="58" t="n">
        <f aca="false">MAX(0,-'12_UTILITY'!AQ40)</f>
        <v>0</v>
      </c>
      <c r="AR46" s="58" t="n">
        <f aca="false">MAX(0,-'12_UTILITY'!AR40)</f>
        <v>0</v>
      </c>
    </row>
    <row r="47" customFormat="false" ht="15" hidden="false" customHeight="true" outlineLevel="0" collapsed="false">
      <c r="A47" s="21" t="s">
        <v>590</v>
      </c>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row>
    <row r="48" customFormat="false" ht="15" hidden="false" customHeight="true" outlineLevel="0" collapsed="false">
      <c r="A48" s="23" t="s">
        <v>591</v>
      </c>
      <c r="B48" s="23" t="s">
        <v>121</v>
      </c>
      <c r="E48" s="58" t="n">
        <f aca="false">'12_UTILITY'!E33+'12_UTILITY'!E37+'12_UTILITY'!E38-'12_UTILITY'!E42</f>
        <v>270.557618002068</v>
      </c>
      <c r="F48" s="58" t="n">
        <f aca="false">'12_UTILITY'!F33+'12_UTILITY'!F37+'12_UTILITY'!F38-'12_UTILITY'!F42</f>
        <v>292.206911184699</v>
      </c>
      <c r="G48" s="58" t="n">
        <f aca="false">'12_UTILITY'!G33+'12_UTILITY'!G37+'12_UTILITY'!G38-'12_UTILITY'!G42</f>
        <v>315.321361334214</v>
      </c>
      <c r="H48" s="58" t="n">
        <f aca="false">'12_UTILITY'!H33+'12_UTILITY'!H37+'12_UTILITY'!H38-'12_UTILITY'!H42</f>
        <v>335.985828075238</v>
      </c>
      <c r="I48" s="58" t="n">
        <f aca="false">'12_UTILITY'!I33+'12_UTILITY'!I37+'12_UTILITY'!I38-'12_UTILITY'!I42</f>
        <v>361.814265554604</v>
      </c>
      <c r="J48" s="58" t="n">
        <f aca="false">'12_UTILITY'!J33+'12_UTILITY'!J37+'12_UTILITY'!J38-'12_UTILITY'!J42</f>
        <v>390.12292528813</v>
      </c>
      <c r="K48" s="58" t="n">
        <f aca="false">'12_UTILITY'!K33+'12_UTILITY'!K37+'12_UTILITY'!K38-'12_UTILITY'!K42</f>
        <v>420.318769761419</v>
      </c>
      <c r="L48" s="58" t="n">
        <f aca="false">'12_UTILITY'!L33+'12_UTILITY'!L37+'12_UTILITY'!L38-'12_UTILITY'!L42</f>
        <v>452.523797320424</v>
      </c>
      <c r="M48" s="58" t="n">
        <f aca="false">'12_UTILITY'!M33+'12_UTILITY'!M37+'12_UTILITY'!M38-'12_UTILITY'!M42</f>
        <v>486.86782087648</v>
      </c>
      <c r="N48" s="58" t="n">
        <f aca="false">'12_UTILITY'!N33+'12_UTILITY'!N37+'12_UTILITY'!N38-'12_UTILITY'!N42</f>
        <v>523.488966942696</v>
      </c>
      <c r="O48" s="58" t="n">
        <f aca="false">'12_UTILITY'!O33+'12_UTILITY'!O37+'12_UTILITY'!O38-'12_UTILITY'!O42</f>
        <v>562.534206498767</v>
      </c>
      <c r="P48" s="58" t="n">
        <f aca="false">'12_UTILITY'!P33+'12_UTILITY'!P37+'12_UTILITY'!P38-'12_UTILITY'!P42</f>
        <v>604.159919712727</v>
      </c>
      <c r="Q48" s="58" t="n">
        <f aca="false">'12_UTILITY'!Q33+'12_UTILITY'!Q37+'12_UTILITY'!Q38-'12_UTILITY'!Q42</f>
        <v>648.53249667736</v>
      </c>
      <c r="R48" s="58" t="n">
        <f aca="false">'12_UTILITY'!R33+'12_UTILITY'!R37+'12_UTILITY'!R38-'12_UTILITY'!R42</f>
        <v>695.828976456429</v>
      </c>
      <c r="S48" s="58" t="n">
        <f aca="false">'12_UTILITY'!S33+'12_UTILITY'!S37+'12_UTILITY'!S38-'12_UTILITY'!S42</f>
        <v>746.237726882041</v>
      </c>
      <c r="T48" s="58" t="n">
        <f aca="false">'12_UTILITY'!T33+'12_UTILITY'!T37+'12_UTILITY'!T38-'12_UTILITY'!T42</f>
        <v>799.95916769997</v>
      </c>
      <c r="U48" s="58" t="n">
        <f aca="false">'12_UTILITY'!U33+'12_UTILITY'!U37+'12_UTILITY'!U38-'12_UTILITY'!U42</f>
        <v>857.206539825129</v>
      </c>
      <c r="V48" s="58" t="n">
        <f aca="false">'12_UTILITY'!V33+'12_UTILITY'!V37+'12_UTILITY'!V38-'12_UTILITY'!V42</f>
        <v>918.206723645297</v>
      </c>
      <c r="W48" s="58" t="n">
        <f aca="false">'12_UTILITY'!W33+'12_UTILITY'!W37+'12_UTILITY'!W38-'12_UTILITY'!W42</f>
        <v>983.201109498293</v>
      </c>
      <c r="X48" s="58" t="n">
        <f aca="false">'12_UTILITY'!X33+'12_UTILITY'!X37+'12_UTILITY'!X38-'12_UTILITY'!X42</f>
        <v>1052.44652364681</v>
      </c>
      <c r="Y48" s="58" t="n">
        <f aca="false">'12_UTILITY'!Y33+'12_UTILITY'!Y37+'12_UTILITY'!Y38-'12_UTILITY'!Y42</f>
        <v>1126.21621328683</v>
      </c>
      <c r="Z48" s="58" t="n">
        <f aca="false">'12_UTILITY'!Z33+'12_UTILITY'!Z37+'12_UTILITY'!Z38-'12_UTILITY'!Z42</f>
        <v>1204.80089435058</v>
      </c>
      <c r="AA48" s="58" t="n">
        <f aca="false">'12_UTILITY'!AA33+'12_UTILITY'!AA37+'12_UTILITY'!AA38-'12_UTILITY'!AA42</f>
        <v>1288.50986610461</v>
      </c>
      <c r="AB48" s="58" t="n">
        <f aca="false">'12_UTILITY'!AB33+'12_UTILITY'!AB37+'12_UTILITY'!AB38-'12_UTILITY'!AB42</f>
        <v>1377.67219679821</v>
      </c>
      <c r="AC48" s="58" t="n">
        <f aca="false">'12_UTILITY'!AC33+'12_UTILITY'!AC37+'12_UTILITY'!AC38-'12_UTILITY'!AC42</f>
        <v>1472.63798488827</v>
      </c>
      <c r="AD48" s="58" t="n">
        <f aca="false">'12_UTILITY'!AD33+'12_UTILITY'!AD37+'12_UTILITY'!AD38-'12_UTILITY'!AD42</f>
        <v>1573.77970065486</v>
      </c>
      <c r="AE48" s="58" t="n">
        <f aca="false">'12_UTILITY'!AE33+'12_UTILITY'!AE37+'12_UTILITY'!AE38-'12_UTILITY'!AE42</f>
        <v>1681.49361332845</v>
      </c>
      <c r="AF48" s="58" t="n">
        <f aca="false">'12_UTILITY'!AF33+'12_UTILITY'!AF37+'12_UTILITY'!AF38-'12_UTILITY'!AF42</f>
        <v>1796.20130917544</v>
      </c>
      <c r="AG48" s="58" t="n">
        <f aca="false">'12_UTILITY'!AG33+'12_UTILITY'!AG37+'12_UTILITY'!AG38-'12_UTILITY'!AG42</f>
        <v>1916.91934625329</v>
      </c>
      <c r="AH48" s="58" t="n">
        <f aca="false">'12_UTILITY'!AH33+'12_UTILITY'!AH37+'12_UTILITY'!AH38-'12_UTILITY'!AH42</f>
        <v>2046.68568554404</v>
      </c>
      <c r="AI48" s="58" t="n">
        <f aca="false">'12_UTILITY'!AI33+'12_UTILITY'!AI37+'12_UTILITY'!AI38-'12_UTILITY'!AI42</f>
        <v>2184.87407770838</v>
      </c>
      <c r="AJ48" s="58" t="n">
        <f aca="false">'12_UTILITY'!AJ33+'12_UTILITY'!AJ37+'12_UTILITY'!AJ38-'12_UTILITY'!AJ42</f>
        <v>2332.02450554709</v>
      </c>
      <c r="AK48" s="58" t="n">
        <f aca="false">'12_UTILITY'!AK33+'12_UTILITY'!AK37+'12_UTILITY'!AK38-'12_UTILITY'!AK42</f>
        <v>2488.71143859492</v>
      </c>
      <c r="AL48" s="58" t="n">
        <f aca="false">'12_UTILITY'!AL33+'12_UTILITY'!AL37+'12_UTILITY'!AL38-'12_UTILITY'!AL42</f>
        <v>2655.54603236233</v>
      </c>
      <c r="AM48" s="58" t="n">
        <f aca="false">'12_UTILITY'!AM33+'12_UTILITY'!AM37+'12_UTILITY'!AM38-'12_UTILITY'!AM42</f>
        <v>2833.17846771032</v>
      </c>
      <c r="AN48" s="58" t="n">
        <f aca="false">'12_UTILITY'!AN33+'12_UTILITY'!AN37+'12_UTILITY'!AN38-'12_UTILITY'!AN42</f>
        <v>3022.3004392816</v>
      </c>
      <c r="AO48" s="58" t="n">
        <f aca="false">'12_UTILITY'!AO33+'12_UTILITY'!AO37+'12_UTILITY'!AO38-'12_UTILITY'!AO42</f>
        <v>3223.64780247962</v>
      </c>
      <c r="AP48" s="58" t="n">
        <f aca="false">'12_UTILITY'!AP33+'12_UTILITY'!AP37+'12_UTILITY'!AP38-'12_UTILITY'!AP42</f>
        <v>3438.00338909071</v>
      </c>
      <c r="AQ48" s="58" t="n">
        <f aca="false">'12_UTILITY'!AQ33+'12_UTILITY'!AQ37+'12_UTILITY'!AQ38-'12_UTILITY'!AQ42</f>
        <v>3666.20000228726</v>
      </c>
      <c r="AR48" s="58" t="n">
        <f aca="false">'12_UTILITY'!AR33+'12_UTILITY'!AR37+'12_UTILITY'!AR38-'12_UTILITY'!AR42</f>
        <v>3909.12360243295</v>
      </c>
    </row>
    <row r="49" customFormat="false" ht="15" hidden="false" customHeight="true" outlineLevel="0" collapsed="false">
      <c r="A49" s="23" t="s">
        <v>592</v>
      </c>
      <c r="B49" s="23" t="s">
        <v>121</v>
      </c>
      <c r="E49" s="58" t="n">
        <f aca="false">'12_UTILITY'!E48+'12_UTILITY'!E36</f>
        <v>352.067051964332</v>
      </c>
      <c r="F49" s="58" t="n">
        <f aca="false">'12_UTILITY'!F48+'12_UTILITY'!F36</f>
        <v>375.254258995308</v>
      </c>
      <c r="G49" s="58" t="n">
        <f aca="false">'12_UTILITY'!G48+'12_UTILITY'!G36</f>
        <v>399.935640235589</v>
      </c>
      <c r="H49" s="58" t="n">
        <f aca="false">'12_UTILITY'!H48+'12_UTILITY'!H36</f>
        <v>422.196602804941</v>
      </c>
      <c r="I49" s="58" t="n">
        <f aca="false">'12_UTILITY'!I48+'12_UTILITY'!I36</f>
        <v>449.651658675433</v>
      </c>
      <c r="J49" s="58" t="n">
        <f aca="false">'12_UTILITY'!J48+'12_UTILITY'!J36</f>
        <v>479.617627713126</v>
      </c>
      <c r="K49" s="58" t="n">
        <f aca="false">'12_UTILITY'!K48+'12_UTILITY'!K36</f>
        <v>511.502051477453</v>
      </c>
      <c r="L49" s="58" t="n">
        <f aca="false">'12_UTILITY'!L48+'12_UTILITY'!L36</f>
        <v>545.427518314119</v>
      </c>
      <c r="M49" s="58" t="n">
        <f aca="false">'12_UTILITY'!M48+'12_UTILITY'!M36</f>
        <v>581.524442266282</v>
      </c>
      <c r="N49" s="58" t="n">
        <f aca="false">'12_UTILITY'!N48+'12_UTILITY'!N36</f>
        <v>619.931562320985</v>
      </c>
      <c r="O49" s="58" t="n">
        <f aca="false">'12_UTILITY'!O48+'12_UTILITY'!O36</f>
        <v>660.796473487967</v>
      </c>
      <c r="P49" s="58" t="n">
        <f aca="false">'12_UTILITY'!P48+'12_UTILITY'!P36</f>
        <v>704.276191739459</v>
      </c>
      <c r="Q49" s="58" t="n">
        <f aca="false">'12_UTILITY'!Q48+'12_UTILITY'!Q36</f>
        <v>750.537754968748</v>
      </c>
      <c r="R49" s="58" t="n">
        <f aca="false">'12_UTILITY'!R48+'12_UTILITY'!R36</f>
        <v>799.758862262748</v>
      </c>
      <c r="S49" s="58" t="n">
        <f aca="false">'12_UTILITY'!S48+'12_UTILITY'!S36</f>
        <v>852.128553929989</v>
      </c>
      <c r="T49" s="58" t="n">
        <f aca="false">'12_UTILITY'!T48+'12_UTILITY'!T36</f>
        <v>907.847934880898</v>
      </c>
      <c r="U49" s="58" t="n">
        <f aca="false">'12_UTILITY'!U48+'12_UTILITY'!U36</f>
        <v>967.130944122679</v>
      </c>
      <c r="V49" s="58" t="n">
        <f aca="false">'12_UTILITY'!V48+'12_UTILITY'!V36</f>
        <v>1030.20517330695</v>
      </c>
      <c r="W49" s="58" t="n">
        <f aca="false">'12_UTILITY'!W48+'12_UTILITY'!W36</f>
        <v>1097.31273745545</v>
      </c>
      <c r="X49" s="58" t="n">
        <f aca="false">'12_UTILITY'!X48+'12_UTILITY'!X36</f>
        <v>1168.71120118807</v>
      </c>
      <c r="Y49" s="58" t="n">
        <f aca="false">'12_UTILITY'!Y48+'12_UTILITY'!Y36</f>
        <v>1244.67456398924</v>
      </c>
      <c r="Z49" s="58" t="n">
        <f aca="false">'12_UTILITY'!Z48+'12_UTILITY'!Z36</f>
        <v>1325.49430827379</v>
      </c>
      <c r="AA49" s="58" t="n">
        <f aca="false">'12_UTILITY'!AA48+'12_UTILITY'!AA36</f>
        <v>1411.48051425278</v>
      </c>
      <c r="AB49" s="58" t="n">
        <f aca="false">'12_UTILITY'!AB48+'12_UTILITY'!AB36</f>
        <v>1502.96304585485</v>
      </c>
      <c r="AC49" s="58" t="n">
        <f aca="false">'12_UTILITY'!AC48+'12_UTILITY'!AC36</f>
        <v>1600.29281222899</v>
      </c>
      <c r="AD49" s="58" t="n">
        <f aca="false">'12_UTILITY'!AD48+'12_UTILITY'!AD36</f>
        <v>1703.84310964352</v>
      </c>
      <c r="AE49" s="58" t="n">
        <f aca="false">'12_UTILITY'!AE48+'12_UTILITY'!AE36</f>
        <v>1814.0110489018</v>
      </c>
      <c r="AF49" s="58" t="n">
        <f aca="false">'12_UTILITY'!AF48+'12_UTILITY'!AF36</f>
        <v>1931.21907372187</v>
      </c>
      <c r="AG49" s="58" t="n">
        <f aca="false">'12_UTILITY'!AG48+'12_UTILITY'!AG36</f>
        <v>2054.48461579116</v>
      </c>
      <c r="AH49" s="58" t="n">
        <f aca="false">'12_UTILITY'!AH48+'12_UTILITY'!AH36</f>
        <v>2186.84652620527</v>
      </c>
      <c r="AI49" s="58" t="n">
        <f aca="false">'12_UTILITY'!AI48+'12_UTILITY'!AI36</f>
        <v>2327.67946253303</v>
      </c>
      <c r="AJ49" s="58" t="n">
        <f aca="false">'12_UTILITY'!AJ48+'12_UTILITY'!AJ36</f>
        <v>2477.52433159485</v>
      </c>
      <c r="AK49" s="58" t="n">
        <f aca="false">'12_UTILITY'!AK48+'12_UTILITY'!AK36</f>
        <v>2636.95654437942</v>
      </c>
      <c r="AL49" s="58" t="n">
        <f aca="false">'12_UTILITY'!AL48+'12_UTILITY'!AL36</f>
        <v>2806.58821561446</v>
      </c>
      <c r="AM49" s="58" t="n">
        <f aca="false">'12_UTILITY'!AM48+'12_UTILITY'!AM36</f>
        <v>2987.07050347665</v>
      </c>
      <c r="AN49" s="58" t="n">
        <f aca="false">'12_UTILITY'!AN48+'12_UTILITY'!AN36</f>
        <v>3179.09609836428</v>
      </c>
      <c r="AO49" s="58" t="n">
        <f aca="false">'12_UTILITY'!AO48+'12_UTILITY'!AO36</f>
        <v>3383.40187022423</v>
      </c>
      <c r="AP49" s="58" t="n">
        <f aca="false">'12_UTILITY'!AP48+'12_UTILITY'!AP36</f>
        <v>3600.77168452862</v>
      </c>
      <c r="AQ49" s="58" t="n">
        <f aca="false">'12_UTILITY'!AQ48+'12_UTILITY'!AQ36</f>
        <v>3832.03939763909</v>
      </c>
      <c r="AR49" s="58" t="n">
        <f aca="false">'12_UTILITY'!AR48+'12_UTILITY'!AR36</f>
        <v>4078.0920429801</v>
      </c>
    </row>
    <row r="50" customFormat="false" ht="15" hidden="false" customHeight="true" outlineLevel="0" collapsed="false">
      <c r="A50" s="23" t="s">
        <v>593</v>
      </c>
      <c r="B50" s="23" t="s">
        <v>93</v>
      </c>
      <c r="E50" s="43" t="n">
        <f aca="false">IF('12_UTILITY'!E33&gt;0,'12_UTILITY'!E48/'12_UTILITY'!E33,0)</f>
        <v>0.280607169882476</v>
      </c>
      <c r="F50" s="43" t="n">
        <f aca="false">IF('12_UTILITY'!F33&gt;0,'12_UTILITY'!F48/'12_UTILITY'!F33,0)</f>
        <v>0.28463958644253</v>
      </c>
      <c r="G50" s="43" t="n">
        <f aca="false">IF('12_UTILITY'!G33&gt;0,'12_UTILITY'!G48/'12_UTILITY'!G33,0)</f>
        <v>0.288485525983512</v>
      </c>
      <c r="H50" s="43" t="n">
        <f aca="false">IF('12_UTILITY'!H33&gt;0,'12_UTILITY'!H48/'12_UTILITY'!H33,0)</f>
        <v>0.282007597038604</v>
      </c>
      <c r="I50" s="43" t="n">
        <f aca="false">IF('12_UTILITY'!I33&gt;0,'12_UTILITY'!I48/'12_UTILITY'!I33,0)</f>
        <v>0.284397200551523</v>
      </c>
      <c r="J50" s="43" t="n">
        <f aca="false">IF('12_UTILITY'!J33&gt;0,'12_UTILITY'!J48/'12_UTILITY'!J33,0)</f>
        <v>0.288332996440252</v>
      </c>
      <c r="K50" s="43" t="n">
        <f aca="false">IF('12_UTILITY'!K33&gt;0,'12_UTILITY'!K48/'12_UTILITY'!K33,0)</f>
        <v>0.292081750733973</v>
      </c>
      <c r="L50" s="43" t="n">
        <f aca="false">IF('12_UTILITY'!L33&gt;0,'12_UTILITY'!L48/'12_UTILITY'!L33,0)</f>
        <v>0.29565157030676</v>
      </c>
      <c r="M50" s="43" t="n">
        <f aca="false">IF('12_UTILITY'!M33&gt;0,'12_UTILITY'!M48/'12_UTILITY'!M33,0)</f>
        <v>0.2990502270465</v>
      </c>
      <c r="N50" s="43" t="n">
        <f aca="false">IF('12_UTILITY'!N33&gt;0,'12_UTILITY'!N48/'12_UTILITY'!N33,0)</f>
        <v>0.30228516995217</v>
      </c>
      <c r="O50" s="43" t="n">
        <f aca="false">IF('12_UTILITY'!O33&gt;0,'12_UTILITY'!O48/'12_UTILITY'!O33,0)</f>
        <v>0.305363536963922</v>
      </c>
      <c r="P50" s="43" t="n">
        <f aca="false">IF('12_UTILITY'!P33&gt;0,'12_UTILITY'!P48/'12_UTILITY'!P33,0)</f>
        <v>0.308292166514339</v>
      </c>
      <c r="Q50" s="43" t="n">
        <f aca="false">IF('12_UTILITY'!Q33&gt;0,'12_UTILITY'!Q48/'12_UTILITY'!Q33,0)</f>
        <v>0.311077608791473</v>
      </c>
      <c r="R50" s="43" t="n">
        <f aca="false">IF('12_UTILITY'!R33&gt;0,'12_UTILITY'!R48/'12_UTILITY'!R33,0)</f>
        <v>0.313726136706472</v>
      </c>
      <c r="S50" s="43" t="n">
        <f aca="false">IF('12_UTILITY'!S33&gt;0,'12_UTILITY'!S48/'12_UTILITY'!S33,0)</f>
        <v>0.316243756560465</v>
      </c>
      <c r="T50" s="43" t="n">
        <f aca="false">IF('12_UTILITY'!T33&gt;0,'12_UTILITY'!T48/'12_UTILITY'!T33,0)</f>
        <v>0.31863621840714</v>
      </c>
      <c r="U50" s="43" t="n">
        <f aca="false">IF('12_UTILITY'!U33&gt;0,'12_UTILITY'!U48/'12_UTILITY'!U33,0)</f>
        <v>0.320909026108943</v>
      </c>
      <c r="V50" s="43" t="n">
        <f aca="false">IF('12_UTILITY'!V33&gt;0,'12_UTILITY'!V48/'12_UTILITY'!V33,0)</f>
        <v>0.323067447086255</v>
      </c>
      <c r="W50" s="43" t="n">
        <f aca="false">IF('12_UTILITY'!W33&gt;0,'12_UTILITY'!W48/'12_UTILITY'!W33,0)</f>
        <v>0.325116521760092</v>
      </c>
      <c r="X50" s="43" t="n">
        <f aca="false">IF('12_UTILITY'!X33&gt;0,'12_UTILITY'!X48/'12_UTILITY'!X33,0)</f>
        <v>0.327061072689955</v>
      </c>
      <c r="Y50" s="43" t="n">
        <f aca="false">IF('12_UTILITY'!Y33&gt;0,'12_UTILITY'!Y48/'12_UTILITY'!Y33,0)</f>
        <v>0.328905713409445</v>
      </c>
      <c r="Z50" s="43" t="n">
        <f aca="false">IF('12_UTILITY'!Z33&gt;0,'12_UTILITY'!Z48/'12_UTILITY'!Z33,0)</f>
        <v>0.330654856963022</v>
      </c>
      <c r="AA50" s="43" t="n">
        <f aca="false">IF('12_UTILITY'!AA33&gt;0,'12_UTILITY'!AA48/'12_UTILITY'!AA33,0)</f>
        <v>0.332312724148082</v>
      </c>
      <c r="AB50" s="43" t="n">
        <f aca="false">IF('12_UTILITY'!AB33&gt;0,'12_UTILITY'!AB48/'12_UTILITY'!AB33,0)</f>
        <v>0.333883351467096</v>
      </c>
      <c r="AC50" s="43" t="n">
        <f aca="false">IF('12_UTILITY'!AC33&gt;0,'12_UTILITY'!AC48/'12_UTILITY'!AC33,0)</f>
        <v>0.335370598795104</v>
      </c>
      <c r="AD50" s="43" t="n">
        <f aca="false">IF('12_UTILITY'!AD33&gt;0,'12_UTILITY'!AD48/'12_UTILITY'!AD33,0)</f>
        <v>0.336778156768297</v>
      </c>
      <c r="AE50" s="43" t="n">
        <f aca="false">IF('12_UTILITY'!AE33&gt;0,'12_UTILITY'!AE48/'12_UTILITY'!AE33,0)</f>
        <v>0.338109553899807</v>
      </c>
      <c r="AF50" s="43" t="n">
        <f aca="false">IF('12_UTILITY'!AF33&gt;0,'12_UTILITY'!AF48/'12_UTILITY'!AF33,0)</f>
        <v>0.339368163429105</v>
      </c>
      <c r="AG50" s="43" t="n">
        <f aca="false">IF('12_UTILITY'!AG33&gt;0,'12_UTILITY'!AG48/'12_UTILITY'!AG33,0)</f>
        <v>0.34346760251974</v>
      </c>
      <c r="AH50" s="43" t="n">
        <f aca="false">IF('12_UTILITY'!AH33&gt;0,'12_UTILITY'!AH48/'12_UTILITY'!AH33,0)</f>
        <v>0.344428364644079</v>
      </c>
      <c r="AI50" s="43" t="n">
        <f aca="false">IF('12_UTILITY'!AI33&gt;0,'12_UTILITY'!AI48/'12_UTILITY'!AI33,0)</f>
        <v>0.345334516676758</v>
      </c>
      <c r="AJ50" s="43" t="n">
        <f aca="false">IF('12_UTILITY'!AJ33&gt;0,'12_UTILITY'!AJ48/'12_UTILITY'!AJ33,0)</f>
        <v>0.346188395540118</v>
      </c>
      <c r="AK50" s="43" t="n">
        <f aca="false">IF('12_UTILITY'!AK33&gt;0,'12_UTILITY'!AK48/'12_UTILITY'!AK33,0)</f>
        <v>0.346992237507137</v>
      </c>
      <c r="AL50" s="43" t="n">
        <f aca="false">IF('12_UTILITY'!AL33&gt;0,'12_UTILITY'!AL48/'12_UTILITY'!AL33,0)</f>
        <v>0.347748182535598</v>
      </c>
      <c r="AM50" s="43" t="n">
        <f aca="false">IF('12_UTILITY'!AM33&gt;0,'12_UTILITY'!AM48/'12_UTILITY'!AM33,0)</f>
        <v>0.348458278415612</v>
      </c>
      <c r="AN50" s="43" t="n">
        <f aca="false">IF('12_UTILITY'!AN33&gt;0,'12_UTILITY'!AN48/'12_UTILITY'!AN33,0)</f>
        <v>0.349124484738543</v>
      </c>
      <c r="AO50" s="43" t="n">
        <f aca="false">IF('12_UTILITY'!AO33&gt;0,'12_UTILITY'!AO48/'12_UTILITY'!AO33,0)</f>
        <v>0.349748676695024</v>
      </c>
      <c r="AP50" s="43" t="n">
        <f aca="false">IF('12_UTILITY'!AP33&gt;0,'12_UTILITY'!AP48/'12_UTILITY'!AP33,0)</f>
        <v>0.350332648709416</v>
      </c>
      <c r="AQ50" s="43" t="n">
        <f aca="false">IF('12_UTILITY'!AQ33&gt;0,'12_UTILITY'!AQ48/'12_UTILITY'!AQ33,0)</f>
        <v>0.350878117917767</v>
      </c>
      <c r="AR50" s="43" t="n">
        <f aca="false">IF('12_UTILITY'!AR33&gt;0,'12_UTILITY'!AR48/'12_UTILITY'!AR33,0)</f>
        <v>0.351386727495998</v>
      </c>
    </row>
    <row r="51" customFormat="false" ht="15" hidden="false" customHeight="true" outlineLevel="0" collapsed="false">
      <c r="A51" s="23" t="s">
        <v>594</v>
      </c>
      <c r="B51" s="23" t="s">
        <v>121</v>
      </c>
      <c r="E51" s="58" t="n">
        <f aca="false">'12_UTILITY'!E42-'12_UTILITY'!E43</f>
        <v>0</v>
      </c>
      <c r="F51" s="58" t="n">
        <f aca="false">'12_UTILITY'!F42-'12_UTILITY'!F43</f>
        <v>0</v>
      </c>
      <c r="G51" s="58" t="n">
        <f aca="false">'12_UTILITY'!G42-'12_UTILITY'!G43</f>
        <v>0</v>
      </c>
      <c r="H51" s="58" t="n">
        <f aca="false">'12_UTILITY'!H42-'12_UTILITY'!H43</f>
        <v>28.9918570845374</v>
      </c>
      <c r="I51" s="58" t="n">
        <f aca="false">'12_UTILITY'!I42-'12_UTILITY'!I43</f>
        <v>34.4626493580429</v>
      </c>
      <c r="J51" s="58" t="n">
        <f aca="false">'12_UTILITY'!J42-'12_UTILITY'!J43</f>
        <v>34.8243232018017</v>
      </c>
      <c r="K51" s="58" t="n">
        <f aca="false">'12_UTILITY'!K42-'12_UTILITY'!K43</f>
        <v>35.1932305224358</v>
      </c>
      <c r="L51" s="58" t="n">
        <f aca="false">'12_UTILITY'!L42-'12_UTILITY'!L43</f>
        <v>35.5695159894825</v>
      </c>
      <c r="M51" s="58" t="n">
        <f aca="false">'12_UTILITY'!M42-'12_UTILITY'!M43</f>
        <v>35.9533271658701</v>
      </c>
      <c r="N51" s="58" t="n">
        <f aca="false">'12_UTILITY'!N42-'12_UTILITY'!N43</f>
        <v>36.3448145657855</v>
      </c>
      <c r="O51" s="58" t="n">
        <f aca="false">'12_UTILITY'!O42-'12_UTILITY'!O43</f>
        <v>36.7441317136992</v>
      </c>
      <c r="P51" s="58" t="n">
        <f aca="false">'12_UTILITY'!P42-'12_UTILITY'!P43</f>
        <v>37.1514352045712</v>
      </c>
      <c r="Q51" s="58" t="n">
        <f aca="false">'12_UTILITY'!Q42-'12_UTILITY'!Q43</f>
        <v>37.5668847652606</v>
      </c>
      <c r="R51" s="58" t="n">
        <f aca="false">'12_UTILITY'!R42-'12_UTILITY'!R43</f>
        <v>37.9906433171638</v>
      </c>
      <c r="S51" s="58" t="n">
        <f aca="false">'12_UTILITY'!S42-'12_UTILITY'!S43</f>
        <v>38.4228770401051</v>
      </c>
      <c r="T51" s="58" t="n">
        <f aca="false">'12_UTILITY'!T42-'12_UTILITY'!T43</f>
        <v>38.8637554375052</v>
      </c>
      <c r="U51" s="58" t="n">
        <f aca="false">'12_UTILITY'!U42-'12_UTILITY'!U43</f>
        <v>39.3134514028533</v>
      </c>
      <c r="V51" s="58" t="n">
        <f aca="false">'12_UTILITY'!V42-'12_UTILITY'!V43</f>
        <v>39.7721412875084</v>
      </c>
      <c r="W51" s="58" t="n">
        <f aca="false">'12_UTILITY'!W42-'12_UTILITY'!W43</f>
        <v>40.2400049698565</v>
      </c>
      <c r="X51" s="58" t="n">
        <f aca="false">'12_UTILITY'!X42-'12_UTILITY'!X43</f>
        <v>40.7172259258517</v>
      </c>
      <c r="Y51" s="58" t="n">
        <f aca="false">'12_UTILITY'!Y42-'12_UTILITY'!Y43</f>
        <v>41.2039913009667</v>
      </c>
      <c r="Z51" s="58" t="n">
        <f aca="false">'12_UTILITY'!Z42-'12_UTILITY'!Z43</f>
        <v>41.700491983584</v>
      </c>
      <c r="AA51" s="58" t="n">
        <f aca="false">'12_UTILITY'!AA42-'12_UTILITY'!AA43</f>
        <v>42.2069226798537</v>
      </c>
      <c r="AB51" s="58" t="n">
        <f aca="false">'12_UTILITY'!AB42-'12_UTILITY'!AB43</f>
        <v>42.7234819900488</v>
      </c>
      <c r="AC51" s="58" t="n">
        <f aca="false">'12_UTILITY'!AC42-'12_UTILITY'!AC43</f>
        <v>43.2503724864477</v>
      </c>
      <c r="AD51" s="58" t="n">
        <f aca="false">'12_UTILITY'!AD42-'12_UTILITY'!AD43</f>
        <v>43.7878007927747</v>
      </c>
      <c r="AE51" s="58" t="n">
        <f aca="false">'12_UTILITY'!AE42-'12_UTILITY'!AE43</f>
        <v>44.3359776652282</v>
      </c>
      <c r="AF51" s="58" t="n">
        <f aca="false">'12_UTILITY'!AF42-'12_UTILITY'!AF43</f>
        <v>44.8951180751307</v>
      </c>
      <c r="AG51" s="58" t="n">
        <f aca="false">'12_UTILITY'!AG42-'12_UTILITY'!AG43</f>
        <v>0</v>
      </c>
      <c r="AH51" s="58" t="n">
        <f aca="false">'12_UTILITY'!AH42-'12_UTILITY'!AH43</f>
        <v>0</v>
      </c>
      <c r="AI51" s="58" t="n">
        <f aca="false">'12_UTILITY'!AI42-'12_UTILITY'!AI43</f>
        <v>0</v>
      </c>
      <c r="AJ51" s="58" t="n">
        <f aca="false">'12_UTILITY'!AJ42-'12_UTILITY'!AJ43</f>
        <v>0</v>
      </c>
      <c r="AK51" s="58" t="n">
        <f aca="false">'12_UTILITY'!AK42-'12_UTILITY'!AK43</f>
        <v>0</v>
      </c>
      <c r="AL51" s="58" t="n">
        <f aca="false">'12_UTILITY'!AL42-'12_UTILITY'!AL43</f>
        <v>0</v>
      </c>
      <c r="AM51" s="58" t="n">
        <f aca="false">'12_UTILITY'!AM42-'12_UTILITY'!AM43</f>
        <v>0</v>
      </c>
      <c r="AN51" s="58" t="n">
        <f aca="false">'12_UTILITY'!AN42-'12_UTILITY'!AN43</f>
        <v>0</v>
      </c>
      <c r="AO51" s="58" t="n">
        <f aca="false">'12_UTILITY'!AO42-'12_UTILITY'!AO43</f>
        <v>0</v>
      </c>
      <c r="AP51" s="58" t="n">
        <f aca="false">'12_UTILITY'!AP42-'12_UTILITY'!AP43</f>
        <v>0</v>
      </c>
      <c r="AQ51" s="58" t="n">
        <f aca="false">'12_UTILITY'!AQ42-'12_UTILITY'!AQ43</f>
        <v>0</v>
      </c>
      <c r="AR51" s="58" t="n">
        <f aca="false">'12_UTILITY'!AR42-'12_UTILITY'!AR43</f>
        <v>0</v>
      </c>
    </row>
    <row r="52" customFormat="false" ht="15" hidden="false" customHeight="true" outlineLevel="0" collapsed="false">
      <c r="A52" s="23" t="s">
        <v>595</v>
      </c>
      <c r="B52" s="23" t="s">
        <v>121</v>
      </c>
      <c r="E52" s="58" t="n">
        <f aca="false">'12_UTILITY'!E40-'12_UTILITY'!E51</f>
        <v>151.364683511502</v>
      </c>
      <c r="F52" s="58" t="n">
        <f aca="false">'12_UTILITY'!F40-'12_UTILITY'!F51</f>
        <v>167.063982546379</v>
      </c>
      <c r="G52" s="58" t="n">
        <f aca="false">'12_UTILITY'!G40-'12_UTILITY'!G51</f>
        <v>183.77286099006</v>
      </c>
      <c r="H52" s="58" t="n">
        <f aca="false">'12_UTILITY'!H40-'12_UTILITY'!H51</f>
        <v>194.227761566563</v>
      </c>
      <c r="I52" s="58" t="n">
        <f aca="false">'12_UTILITY'!I40-'12_UTILITY'!I51</f>
        <v>211.985908863713</v>
      </c>
      <c r="J52" s="58" t="n">
        <f aca="false">'12_UTILITY'!J40-'12_UTILITY'!J51</f>
        <v>232.254139619329</v>
      </c>
      <c r="K52" s="58" t="n">
        <f aca="false">'12_UTILITY'!K40-'12_UTILITY'!K51</f>
        <v>253.816656910268</v>
      </c>
      <c r="L52" s="58" t="n">
        <f aca="false">'12_UTILITY'!L40-'12_UTILITY'!L51</f>
        <v>276.755719709742</v>
      </c>
      <c r="M52" s="58" t="n">
        <f aca="false">'12_UTILITY'!M40-'12_UTILITY'!M51</f>
        <v>301.158803917869</v>
      </c>
      <c r="N52" s="58" t="n">
        <f aca="false">'12_UTILITY'!N40-'12_UTILITY'!N51</f>
        <v>327.118932799453</v>
      </c>
      <c r="O52" s="58" t="n">
        <f aca="false">'12_UTILITY'!O40-'12_UTILITY'!O51</f>
        <v>354.735028329806</v>
      </c>
      <c r="P52" s="58" t="n">
        <f aca="false">'12_UTILITY'!P40-'12_UTILITY'!P51</f>
        <v>384.112284770207</v>
      </c>
      <c r="Q52" s="58" t="n">
        <f aca="false">'12_UTILITY'!Q40-'12_UTILITY'!Q51</f>
        <v>415.362565878068</v>
      </c>
      <c r="R52" s="58" t="n">
        <f aca="false">'12_UTILITY'!R40-'12_UTILITY'!R51</f>
        <v>448.604827245592</v>
      </c>
      <c r="S52" s="58" t="n">
        <f aca="false">'12_UTILITY'!S40-'12_UTILITY'!S51</f>
        <v>483.965565354993</v>
      </c>
      <c r="T52" s="58" t="n">
        <f aca="false">'12_UTILITY'!T40-'12_UTILITY'!T51</f>
        <v>521.579295038651</v>
      </c>
      <c r="U52" s="58" t="n">
        <f aca="false">'12_UTILITY'!U40-'12_UTILITY'!U51</f>
        <v>561.589057139124</v>
      </c>
      <c r="V52" s="58" t="n">
        <f aca="false">'12_UTILITY'!V40-'12_UTILITY'!V51</f>
        <v>604.146958277266</v>
      </c>
      <c r="W52" s="58" t="n">
        <f aca="false">'12_UTILITY'!W40-'12_UTILITY'!W51</f>
        <v>649.414744757135</v>
      </c>
      <c r="X52" s="58" t="n">
        <f aca="false">'12_UTILITY'!X40-'12_UTILITY'!X51</f>
        <v>697.564412764426</v>
      </c>
      <c r="Y52" s="58" t="n">
        <f aca="false">'12_UTILITY'!Y40-'12_UTILITY'!Y51</f>
        <v>748.778857151275</v>
      </c>
      <c r="Z52" s="58" t="n">
        <f aca="false">'12_UTILITY'!Z40-'12_UTILITY'!Z51</f>
        <v>803.252561244988</v>
      </c>
      <c r="AA52" s="58" t="n">
        <f aca="false">'12_UTILITY'!AA40-'12_UTILITY'!AA51</f>
        <v>861.192330272046</v>
      </c>
      <c r="AB52" s="58" t="n">
        <f aca="false">'12_UTILITY'!AB40-'12_UTILITY'!AB51</f>
        <v>922.818071152273</v>
      </c>
      <c r="AC52" s="58" t="n">
        <f aca="false">'12_UTILITY'!AC40-'12_UTILITY'!AC51</f>
        <v>988.363621591864</v>
      </c>
      <c r="AD52" s="58" t="n">
        <f aca="false">'12_UTILITY'!AD40-'12_UTILITY'!AD51</f>
        <v>1058.07763158873</v>
      </c>
      <c r="AE52" s="58" t="n">
        <f aca="false">'12_UTILITY'!AE40-'12_UTILITY'!AE51</f>
        <v>1132.22450066008</v>
      </c>
      <c r="AF52" s="58" t="n">
        <f aca="false">'12_UTILITY'!AF40-'12_UTILITY'!AF51</f>
        <v>1211.08537431085</v>
      </c>
      <c r="AG52" s="58" t="n">
        <f aca="false">'12_UTILITY'!AG40-'12_UTILITY'!AG51</f>
        <v>1299.75530256671</v>
      </c>
      <c r="AH52" s="58" t="n">
        <f aca="false">'12_UTILITY'!AH40-'12_UTILITY'!AH51</f>
        <v>1388.77435365327</v>
      </c>
      <c r="AI52" s="58" t="n">
        <f aca="false">'12_UTILITY'!AI40-'12_UTILITY'!AI51</f>
        <v>1483.45941164418</v>
      </c>
      <c r="AJ52" s="58" t="n">
        <f aca="false">'12_UTILITY'!AJ40-'12_UTILITY'!AJ51</f>
        <v>1584.16985099753</v>
      </c>
      <c r="AK52" s="58" t="n">
        <f aca="false">'12_UTILITY'!AK40-'12_UTILITY'!AK51</f>
        <v>1691.28780211326</v>
      </c>
      <c r="AL52" s="58" t="n">
        <f aca="false">'12_UTILITY'!AL40-'12_UTILITY'!AL51</f>
        <v>1805.21959059409</v>
      </c>
      <c r="AM52" s="58" t="n">
        <f aca="false">'12_UTILITY'!AM40-'12_UTILITY'!AM51</f>
        <v>1926.39726744081</v>
      </c>
      <c r="AN52" s="58" t="n">
        <f aca="false">'12_UTILITY'!AN40-'12_UTILITY'!AN51</f>
        <v>2055.28023592084</v>
      </c>
      <c r="AO52" s="58" t="n">
        <f aca="false">'12_UTILITY'!AO40-'12_UTILITY'!AO51</f>
        <v>2192.35698121134</v>
      </c>
      <c r="AP52" s="58" t="n">
        <f aca="false">'12_UTILITY'!AP40-'12_UTILITY'!AP51</f>
        <v>2338.14690930224</v>
      </c>
      <c r="AQ52" s="58" t="n">
        <f aca="false">'12_UTILITY'!AQ40-'12_UTILITY'!AQ51</f>
        <v>2493.20230205373</v>
      </c>
      <c r="AR52" s="58" t="n">
        <f aca="false">'12_UTILITY'!AR40-'12_UTILITY'!AR51</f>
        <v>2658.11039573705</v>
      </c>
    </row>
    <row r="53" customFormat="false" ht="15" hidden="false" customHeight="true" outlineLevel="0" collapsed="false">
      <c r="A53" s="23" t="s">
        <v>596</v>
      </c>
      <c r="B53" s="23" t="s">
        <v>119</v>
      </c>
      <c r="E53" s="76" t="n">
        <f aca="false">('12_UTILITY'!E40-'12_UTILITY'!E39-'12_UTILITY'!E51)/-'12_UTILITY'!E39</f>
        <v>2.78076098248826</v>
      </c>
      <c r="F53" s="76" t="n">
        <f aca="false">('12_UTILITY'!F40-'12_UTILITY'!F39-'12_UTILITY'!F51)/-'12_UTILITY'!F39</f>
        <v>2.9654586181927</v>
      </c>
      <c r="G53" s="76" t="n">
        <f aca="false">('12_UTILITY'!G40-'12_UTILITY'!G39-'12_UTILITY'!G51)/-'12_UTILITY'!G39</f>
        <v>3.16203365870659</v>
      </c>
      <c r="H53" s="76" t="n">
        <f aca="false">('12_UTILITY'!H40-'12_UTILITY'!H39-'12_UTILITY'!H51)/-'12_UTILITY'!H39</f>
        <v>3.28503248901839</v>
      </c>
      <c r="I53" s="76" t="n">
        <f aca="false">('12_UTILITY'!I40-'12_UTILITY'!I39-'12_UTILITY'!I51)/-'12_UTILITY'!I39</f>
        <v>3.49395186898486</v>
      </c>
      <c r="J53" s="76" t="n">
        <f aca="false">('12_UTILITY'!J40-'12_UTILITY'!J39-'12_UTILITY'!J51)/-'12_UTILITY'!J39</f>
        <v>3.73240164258035</v>
      </c>
      <c r="K53" s="76" t="n">
        <f aca="false">('12_UTILITY'!K40-'12_UTILITY'!K39-'12_UTILITY'!K51)/-'12_UTILITY'!K39</f>
        <v>3.98607831659139</v>
      </c>
      <c r="L53" s="76" t="n">
        <f aca="false">('12_UTILITY'!L40-'12_UTILITY'!L39-'12_UTILITY'!L51)/-'12_UTILITY'!L39</f>
        <v>4.25594964364402</v>
      </c>
      <c r="M53" s="76" t="n">
        <f aca="false">('12_UTILITY'!M40-'12_UTILITY'!M39-'12_UTILITY'!M51)/-'12_UTILITY'!M39</f>
        <v>4.54304475197492</v>
      </c>
      <c r="N53" s="76" t="n">
        <f aca="false">('12_UTILITY'!N40-'12_UTILITY'!N39-'12_UTILITY'!N51)/-'12_UTILITY'!N39</f>
        <v>4.84845803293474</v>
      </c>
      <c r="O53" s="76" t="n">
        <f aca="false">('12_UTILITY'!O40-'12_UTILITY'!O39-'12_UTILITY'!O51)/-'12_UTILITY'!O39</f>
        <v>5.17335327446831</v>
      </c>
      <c r="P53" s="76" t="n">
        <f aca="false">('12_UTILITY'!P40-'12_UTILITY'!P39-'12_UTILITY'!P51)/-'12_UTILITY'!P39</f>
        <v>5.51896805612009</v>
      </c>
      <c r="Q53" s="76" t="n">
        <f aca="false">('12_UTILITY'!Q40-'12_UTILITY'!Q39-'12_UTILITY'!Q51)/-'12_UTILITY'!Q39</f>
        <v>5.88661842209492</v>
      </c>
      <c r="R53" s="76" t="n">
        <f aca="false">('12_UTILITY'!R40-'12_UTILITY'!R39-'12_UTILITY'!R51)/-'12_UTILITY'!R39</f>
        <v>6.27770384994814</v>
      </c>
      <c r="S53" s="76" t="n">
        <f aca="false">('12_UTILITY'!S40-'12_UTILITY'!S39-'12_UTILITY'!S51)/-'12_UTILITY'!S39</f>
        <v>6.69371253358815</v>
      </c>
      <c r="T53" s="76" t="n">
        <f aca="false">('12_UTILITY'!T40-'12_UTILITY'!T39-'12_UTILITY'!T51)/-'12_UTILITY'!T39</f>
        <v>7.13622700045472</v>
      </c>
      <c r="U53" s="76" t="n">
        <f aca="false">('12_UTILITY'!U40-'12_UTILITY'!U39-'12_UTILITY'!U51)/-'12_UTILITY'!U39</f>
        <v>7.60693008398969</v>
      </c>
      <c r="V53" s="76" t="n">
        <f aca="false">('12_UTILITY'!V40-'12_UTILITY'!V39-'12_UTILITY'!V51)/-'12_UTILITY'!V39</f>
        <v>8.10761127385019</v>
      </c>
      <c r="W53" s="76" t="n">
        <f aca="false">('12_UTILITY'!W40-'12_UTILITY'!W39-'12_UTILITY'!W51)/-'12_UTILITY'!W39</f>
        <v>8.640173467731</v>
      </c>
      <c r="X53" s="76" t="n">
        <f aca="false">('12_UTILITY'!X40-'12_UTILITY'!X39-'12_UTILITY'!X51)/-'12_UTILITY'!X39</f>
        <v>9.20664015016971</v>
      </c>
      <c r="Y53" s="76" t="n">
        <f aca="false">('12_UTILITY'!Y40-'12_UTILITY'!Y39-'12_UTILITY'!Y51)/-'12_UTILITY'!Y39</f>
        <v>9.80916302530912</v>
      </c>
      <c r="Z53" s="76" t="n">
        <f aca="false">('12_UTILITY'!Z40-'12_UTILITY'!Z39-'12_UTILITY'!Z51)/-'12_UTILITY'!Z39</f>
        <v>10.450030132294</v>
      </c>
      <c r="AA53" s="76" t="n">
        <f aca="false">('12_UTILITY'!AA40-'12_UTILITY'!AA39-'12_UTILITY'!AA51)/-'12_UTILITY'!AA39</f>
        <v>11.1316744737888</v>
      </c>
      <c r="AB53" s="76" t="n">
        <f aca="false">('12_UTILITY'!AB40-'12_UTILITY'!AB39-'12_UTILITY'!AB51)/-'12_UTILITY'!AB39</f>
        <v>11.8566831900267</v>
      </c>
      <c r="AC53" s="76" t="n">
        <f aca="false">('12_UTILITY'!AC40-'12_UTILITY'!AC39-'12_UTILITY'!AC51)/-'12_UTILITY'!AC39</f>
        <v>12.6278073128455</v>
      </c>
      <c r="AD53" s="76" t="n">
        <f aca="false">('12_UTILITY'!AD40-'12_UTILITY'!AD39-'12_UTILITY'!AD51)/-'12_UTILITY'!AD39</f>
        <v>13.447972136338</v>
      </c>
      <c r="AE53" s="76" t="n">
        <f aca="false">('12_UTILITY'!AE40-'12_UTILITY'!AE39-'12_UTILITY'!AE51)/-'12_UTILITY'!AE39</f>
        <v>14.3202882430597</v>
      </c>
      <c r="AF53" s="76" t="n">
        <f aca="false">('12_UTILITY'!AF40-'12_UTILITY'!AF39-'12_UTILITY'!AF51)/-'12_UTILITY'!AF39</f>
        <v>15.2480632271864</v>
      </c>
      <c r="AG53" s="76" t="n">
        <f aca="false">('12_UTILITY'!AG40-'12_UTILITY'!AG39-'12_UTILITY'!AG51)/-'12_UTILITY'!AG39</f>
        <v>16.291238853726</v>
      </c>
      <c r="AH53" s="76" t="n">
        <f aca="false">('12_UTILITY'!AH40-'12_UTILITY'!AH39-'12_UTILITY'!AH51)/-'12_UTILITY'!AH39</f>
        <v>17.3385218076856</v>
      </c>
      <c r="AI53" s="76" t="n">
        <f aca="false">('12_UTILITY'!AI40-'12_UTILITY'!AI39-'12_UTILITY'!AI51)/-'12_UTILITY'!AI39</f>
        <v>18.4524636664021</v>
      </c>
      <c r="AJ53" s="76" t="n">
        <f aca="false">('12_UTILITY'!AJ40-'12_UTILITY'!AJ39-'12_UTILITY'!AJ51)/-'12_UTILITY'!AJ39</f>
        <v>19.6372923646768</v>
      </c>
      <c r="AK53" s="76" t="n">
        <f aca="false">('12_UTILITY'!AK40-'12_UTILITY'!AK39-'12_UTILITY'!AK51)/-'12_UTILITY'!AK39</f>
        <v>20.8975035542736</v>
      </c>
      <c r="AL53" s="76" t="n">
        <f aca="false">('12_UTILITY'!AL40-'12_UTILITY'!AL39-'12_UTILITY'!AL51)/-'12_UTILITY'!AL39</f>
        <v>22.2378775364011</v>
      </c>
      <c r="AM53" s="76" t="n">
        <f aca="false">('12_UTILITY'!AM40-'12_UTILITY'!AM39-'12_UTILITY'!AM51)/-'12_UTILITY'!AM39</f>
        <v>23.6634972640095</v>
      </c>
      <c r="AN53" s="76" t="n">
        <f aca="false">('12_UTILITY'!AN40-'12_UTILITY'!AN39-'12_UTILITY'!AN51)/-'12_UTILITY'!AN39</f>
        <v>25.1797674814216</v>
      </c>
      <c r="AO53" s="76" t="n">
        <f aca="false">('12_UTILITY'!AO40-'12_UTILITY'!AO39-'12_UTILITY'!AO51)/-'12_UTILITY'!AO39</f>
        <v>26.7924350730746</v>
      </c>
      <c r="AP53" s="76" t="n">
        <f aca="false">('12_UTILITY'!AP40-'12_UTILITY'!AP39-'12_UTILITY'!AP51)/-'12_UTILITY'!AP39</f>
        <v>28.5076106976735</v>
      </c>
      <c r="AQ53" s="76" t="n">
        <f aca="false">('12_UTILITY'!AQ40-'12_UTILITY'!AQ39-'12_UTILITY'!AQ51)/-'12_UTILITY'!AQ39</f>
        <v>30.3317917888674</v>
      </c>
      <c r="AR53" s="76" t="n">
        <f aca="false">('12_UTILITY'!AR40-'12_UTILITY'!AR39-'12_UTILITY'!AR51)/-'12_UTILITY'!AR39</f>
        <v>32.2718870086711</v>
      </c>
    </row>
    <row r="54" customFormat="false" ht="15" hidden="false" customHeight="true" outlineLevel="0" collapsed="false">
      <c r="A54" s="23" t="s">
        <v>597</v>
      </c>
      <c r="B54" s="23" t="s">
        <v>121</v>
      </c>
      <c r="E54" s="58" t="n">
        <f aca="false">IF(1=1,'12_UTILITY'!$C$19,'12_UTILITY'!D54)*(1-'12_UTILITY'!$C$20)+'12_UTILITY'!E33-'12_UTILITY'!E35</f>
        <v>241.70236845283</v>
      </c>
      <c r="F54" s="58" t="n">
        <f aca="false">IF(2=1,'12_UTILITY'!$C$19,'12_UTILITY'!E54)*(1-'12_UTILITY'!$C$20)+'12_UTILITY'!F33-'12_UTILITY'!F35</f>
        <v>292.38193436591</v>
      </c>
      <c r="G54" s="58" t="n">
        <f aca="false">IF(3=1,'12_UTILITY'!$C$19,'12_UTILITY'!F54)*(1-'12_UTILITY'!$C$20)+'12_UTILITY'!G33-'12_UTILITY'!G35</f>
        <v>335.830133301666</v>
      </c>
      <c r="H54" s="58" t="n">
        <f aca="false">IF(4=1,'12_UTILITY'!$C$19,'12_UTILITY'!G54)*(1-'12_UTILITY'!$C$20)+'12_UTILITY'!H33-'12_UTILITY'!H35</f>
        <v>378.049934549543</v>
      </c>
      <c r="I54" s="58" t="n">
        <f aca="false">IF(5=1,'12_UTILITY'!$C$19,'12_UTILITY'!H54)*(1-'12_UTILITY'!$C$20)+'12_UTILITY'!I33-'12_UTILITY'!I35</f>
        <v>417.3007039964</v>
      </c>
      <c r="J54" s="58" t="n">
        <f aca="false">IF(6=1,'12_UTILITY'!$C$19,'12_UTILITY'!I54)*(1-'12_UTILITY'!$C$20)+'12_UTILITY'!J33-'12_UTILITY'!J35</f>
        <v>454.473980891277</v>
      </c>
      <c r="K54" s="58" t="n">
        <f aca="false">IF(7=1,'12_UTILITY'!$C$19,'12_UTILITY'!J54)*(1-'12_UTILITY'!$C$20)+'12_UTILITY'!K33-'12_UTILITY'!K35</f>
        <v>490.817181191078</v>
      </c>
      <c r="L54" s="58" t="n">
        <f aca="false">IF(8=1,'12_UTILITY'!$C$19,'12_UTILITY'!K54)*(1-'12_UTILITY'!$C$20)+'12_UTILITY'!L33-'12_UTILITY'!L35</f>
        <v>527.243825438132</v>
      </c>
      <c r="M54" s="58" t="n">
        <f aca="false">IF(9=1,'12_UTILITY'!$C$19,'12_UTILITY'!L54)*(1-'12_UTILITY'!$C$20)+'12_UTILITY'!M33-'12_UTILITY'!M35</f>
        <v>564.436316155106</v>
      </c>
      <c r="N54" s="58" t="n">
        <f aca="false">IF(10=1,'12_UTILITY'!$C$19,'12_UTILITY'!M54)*(1-'12_UTILITY'!$C$20)+'12_UTILITY'!N33-'12_UTILITY'!N35</f>
        <v>602.918050830106</v>
      </c>
      <c r="O54" s="58" t="n">
        <f aca="false">IF(11=1,'12_UTILITY'!$C$19,'12_UTILITY'!N54)*(1-'12_UTILITY'!$C$20)+'12_UTILITY'!O33-'12_UTILITY'!O35</f>
        <v>643.104080739235</v>
      </c>
      <c r="P54" s="58" t="n">
        <f aca="false">IF(12=1,'12_UTILITY'!$C$19,'12_UTILITY'!O54)*(1-'12_UTILITY'!$C$20)+'12_UTILITY'!P33-'12_UTILITY'!P35</f>
        <v>685.336763486717</v>
      </c>
      <c r="Q54" s="58" t="n">
        <f aca="false">IF(13=1,'12_UTILITY'!$C$19,'12_UTILITY'!P54)*(1-'12_UTILITY'!$C$20)+'12_UTILITY'!Q33-'12_UTILITY'!Q35</f>
        <v>729.910923531381</v>
      </c>
      <c r="R54" s="58" t="n">
        <f aca="false">IF(14=1,'12_UTILITY'!$C$19,'12_UTILITY'!Q54)*(1-'12_UTILITY'!$C$20)+'12_UTILITY'!R33-'12_UTILITY'!R35</f>
        <v>777.091681489123</v>
      </c>
      <c r="S54" s="58" t="n">
        <f aca="false">IF(15=1,'12_UTILITY'!$C$19,'12_UTILITY'!R54)*(1-'12_UTILITY'!$C$20)+'12_UTILITY'!S33-'12_UTILITY'!S35</f>
        <v>827.127165617383</v>
      </c>
      <c r="T54" s="58" t="n">
        <f aca="false">IF(16=1,'12_UTILITY'!$C$19,'12_UTILITY'!S54)*(1-'12_UTILITY'!$C$20)+'12_UTILITY'!T33-'12_UTILITY'!T35</f>
        <v>880.257655774415</v>
      </c>
      <c r="U54" s="58" t="n">
        <f aca="false">IF(17=1,'12_UTILITY'!$C$19,'12_UTILITY'!T54)*(1-'12_UTILITY'!$C$20)+'12_UTILITY'!U33-'12_UTILITY'!U35</f>
        <v>936.722246025645</v>
      </c>
      <c r="V54" s="58" t="n">
        <f aca="false">IF(18=1,'12_UTILITY'!$C$19,'12_UTILITY'!U54)*(1-'12_UTILITY'!$C$20)+'12_UTILITY'!V33-'12_UTILITY'!V35</f>
        <v>996.763787247637</v>
      </c>
      <c r="W54" s="58" t="n">
        <f aca="false">IF(19=1,'12_UTILITY'!$C$19,'12_UTILITY'!V54)*(1-'12_UTILITY'!$C$20)+'12_UTILITY'!W33-'12_UTILITY'!W35</f>
        <v>1060.63264377166</v>
      </c>
      <c r="X54" s="58" t="n">
        <f aca="false">IF(20=1,'12_UTILITY'!$C$19,'12_UTILITY'!W54)*(1-'12_UTILITY'!$C$20)+'12_UTILITY'!X33-'12_UTILITY'!X35</f>
        <v>1128.5896390638</v>
      </c>
      <c r="Y54" s="58" t="n">
        <f aca="false">IF(21=1,'12_UTILITY'!$C$19,'12_UTILITY'!X54)*(1-'12_UTILITY'!$C$20)+'12_UTILITY'!Y33-'12_UTILITY'!Y35</f>
        <v>1200.90845418263</v>
      </c>
      <c r="Z54" s="58" t="n">
        <f aca="false">IF(22=1,'12_UTILITY'!$C$19,'12_UTILITY'!Y54)*(1-'12_UTILITY'!$C$20)+'12_UTILITY'!Z33-'12_UTILITY'!Z35</f>
        <v>1277.87766495664</v>
      </c>
      <c r="AA54" s="58" t="n">
        <f aca="false">IF(23=1,'12_UTILITY'!$C$19,'12_UTILITY'!Z54)*(1-'12_UTILITY'!$C$20)+'12_UTILITY'!AA33-'12_UTILITY'!AA35</f>
        <v>1359.80254945039</v>
      </c>
      <c r="AB54" s="58" t="n">
        <f aca="false">IF(24=1,'12_UTILITY'!$C$19,'12_UTILITY'!AA54)*(1-'12_UTILITY'!$C$20)+'12_UTILITY'!AB33-'12_UTILITY'!AB35</f>
        <v>1447.00675931784</v>
      </c>
      <c r="AC54" s="58" t="n">
        <f aca="false">IF(25=1,'12_UTILITY'!$C$19,'12_UTILITY'!AB54)*(1-'12_UTILITY'!$C$20)+'12_UTILITY'!AC33-'12_UTILITY'!AC35</f>
        <v>1539.83392215962</v>
      </c>
      <c r="AD54" s="58" t="n">
        <f aca="false">IF(26=1,'12_UTILITY'!$C$19,'12_UTILITY'!AC54)*(1-'12_UTILITY'!$C$20)+'12_UTILITY'!AD33-'12_UTILITY'!AD35</f>
        <v>1638.64922356651</v>
      </c>
      <c r="AE54" s="58" t="n">
        <f aca="false">IF(27=1,'12_UTILITY'!$C$19,'12_UTILITY'!AD54)*(1-'12_UTILITY'!$C$20)+'12_UTILITY'!AE33-'12_UTILITY'!AE35</f>
        <v>1743.84100473828</v>
      </c>
      <c r="AF54" s="58" t="n">
        <f aca="false">IF(28=1,'12_UTILITY'!$C$19,'12_UTILITY'!AE54)*(1-'12_UTILITY'!$C$20)+'12_UTILITY'!AF33-'12_UTILITY'!AF35</f>
        <v>1855.82240272782</v>
      </c>
      <c r="AG54" s="58" t="n">
        <f aca="false">IF(29=1,'12_UTILITY'!$C$19,'12_UTILITY'!AF54)*(1-'12_UTILITY'!$C$20)+'12_UTILITY'!AG33-'12_UTILITY'!AG35</f>
        <v>1968.80499513393</v>
      </c>
      <c r="AH54" s="58" t="n">
        <f aca="false">IF(30=1,'12_UTILITY'!$C$19,'12_UTILITY'!AG54)*(1-'12_UTILITY'!$C$20)+'12_UTILITY'!AH33-'12_UTILITY'!AH35</f>
        <v>2091.23566914575</v>
      </c>
      <c r="AI54" s="58" t="n">
        <f aca="false">IF(31=1,'12_UTILITY'!$C$19,'12_UTILITY'!AH54)*(1-'12_UTILITY'!$C$20)+'12_UTILITY'!AI33-'12_UTILITY'!AI35</f>
        <v>2223.08501929087</v>
      </c>
      <c r="AJ54" s="58" t="n">
        <f aca="false">IF(32=1,'12_UTILITY'!$C$19,'12_UTILITY'!AI54)*(1-'12_UTILITY'!$C$20)+'12_UTILITY'!AJ33-'12_UTILITY'!AJ35</f>
        <v>2364.51399410093</v>
      </c>
      <c r="AK54" s="58" t="n">
        <f aca="false">IF(33=1,'12_UTILITY'!$C$19,'12_UTILITY'!AJ54)*(1-'12_UTILITY'!$C$20)+'12_UTILITY'!AK33-'12_UTILITY'!AK35</f>
        <v>2515.82853813681</v>
      </c>
      <c r="AL54" s="58" t="n">
        <f aca="false">IF(34=1,'12_UTILITY'!$C$19,'12_UTILITY'!AK54)*(1-'12_UTILITY'!$C$20)+'12_UTILITY'!AL33-'12_UTILITY'!AL35</f>
        <v>2677.44860171614</v>
      </c>
      <c r="AM54" s="58" t="n">
        <f aca="false">IF(35=1,'12_UTILITY'!$C$19,'12_UTILITY'!AL54)*(1-'12_UTILITY'!$C$20)+'12_UTILITY'!AM33-'12_UTILITY'!AM35</f>
        <v>2849.88725723714</v>
      </c>
      <c r="AN54" s="58" t="n">
        <f aca="false">IF(36=1,'12_UTILITY'!$C$19,'12_UTILITY'!AM54)*(1-'12_UTILITY'!$C$20)+'12_UTILITY'!AN33-'12_UTILITY'!AN35</f>
        <v>3033.73694250944</v>
      </c>
      <c r="AO54" s="58" t="n">
        <f aca="false">IF(37=1,'12_UTILITY'!$C$19,'12_UTILITY'!AN54)*(1-'12_UTILITY'!$C$20)+'12_UTILITY'!AO33-'12_UTILITY'!AO35</f>
        <v>3229.6607487695</v>
      </c>
      <c r="AP54" s="58" t="n">
        <f aca="false">IF(38=1,'12_UTILITY'!$C$19,'12_UTILITY'!AO54)*(1-'12_UTILITY'!$C$20)+'12_UTILITY'!AP33-'12_UTILITY'!AP35</f>
        <v>3438.38729936502</v>
      </c>
      <c r="AQ54" s="58" t="n">
        <f aca="false">IF(39=1,'12_UTILITY'!$C$19,'12_UTILITY'!AP54)*(1-'12_UTILITY'!$C$20)+'12_UTILITY'!AQ33-'12_UTILITY'!AQ35</f>
        <v>3660.70820514088</v>
      </c>
      <c r="AR54" s="58" t="n">
        <f aca="false">IF(40=1,'12_UTILITY'!$C$19,'12_UTILITY'!AQ54)*(1-'12_UTILITY'!$C$20)+'12_UTILITY'!AR33-'12_UTILITY'!AR35</f>
        <v>3897.47739084167</v>
      </c>
    </row>
    <row r="55" customFormat="false" ht="15" hidden="false" customHeight="true" outlineLevel="0" collapsed="false">
      <c r="A55" s="23" t="s">
        <v>598</v>
      </c>
      <c r="B55" s="23" t="s">
        <v>294</v>
      </c>
      <c r="E55" s="69" t="n">
        <f aca="false">IF('12_UTILITY'!E33&gt;0,'12_UTILITY'!E54/'12_UTILITY'!E33*365,0)</f>
        <v>91.4982457126616</v>
      </c>
      <c r="F55" s="69" t="n">
        <f aca="false">IF('12_UTILITY'!F33&gt;0,'12_UTILITY'!F54/'12_UTILITY'!F33*365,0)</f>
        <v>103.95567811341</v>
      </c>
      <c r="G55" s="69" t="n">
        <f aca="false">IF('12_UTILITY'!G33&gt;0,'12_UTILITY'!G54/'12_UTILITY'!G33*365,0)</f>
        <v>112.14583834853</v>
      </c>
      <c r="H55" s="69" t="n">
        <f aca="false">IF('12_UTILITY'!H33&gt;0,'12_UTILITY'!H54/'12_UTILITY'!H33*365,0)</f>
        <v>115.819551937623</v>
      </c>
      <c r="I55" s="69" t="n">
        <f aca="false">IF('12_UTILITY'!I33&gt;0,'12_UTILITY'!I54/'12_UTILITY'!I33*365,0)</f>
        <v>119.724108764304</v>
      </c>
      <c r="J55" s="69" t="n">
        <f aca="false">IF('12_UTILITY'!J33&gt;0,'12_UTILITY'!J54/'12_UTILITY'!J33*365,0)</f>
        <v>122.601211619316</v>
      </c>
      <c r="K55" s="69" t="n">
        <f aca="false">IF('12_UTILITY'!K33&gt;0,'12_UTILITY'!K54/'12_UTILITY'!K33*365,0)</f>
        <v>124.491087332839</v>
      </c>
      <c r="L55" s="69" t="n">
        <f aca="false">IF('12_UTILITY'!L33&gt;0,'12_UTILITY'!L54/'12_UTILITY'!L33*365,0)</f>
        <v>125.731221285268</v>
      </c>
      <c r="M55" s="69" t="n">
        <f aca="false">IF('12_UTILITY'!M33&gt;0,'12_UTILITY'!M54/'12_UTILITY'!M33*365,0)</f>
        <v>126.543801953054</v>
      </c>
      <c r="N55" s="69" t="n">
        <f aca="false">IF('12_UTILITY'!N33&gt;0,'12_UTILITY'!N54/'12_UTILITY'!N33*365,0)</f>
        <v>127.075099752888</v>
      </c>
      <c r="O55" s="69" t="n">
        <f aca="false">IF('12_UTILITY'!O33&gt;0,'12_UTILITY'!O54/'12_UTILITY'!O33*365,0)</f>
        <v>127.421399585194</v>
      </c>
      <c r="P55" s="69" t="n">
        <f aca="false">IF('12_UTILITY'!P33&gt;0,'12_UTILITY'!P54/'12_UTILITY'!P33*365,0)</f>
        <v>127.646077272577</v>
      </c>
      <c r="Q55" s="69" t="n">
        <f aca="false">IF('12_UTILITY'!Q33&gt;0,'12_UTILITY'!Q54/'12_UTILITY'!Q33*365,0)</f>
        <v>127.790843555979</v>
      </c>
      <c r="R55" s="69" t="n">
        <f aca="false">IF('12_UTILITY'!R33&gt;0,'12_UTILITY'!R54/'12_UTILITY'!R33*365,0)</f>
        <v>127.883147242271</v>
      </c>
      <c r="S55" s="69" t="n">
        <f aca="false">IF('12_UTILITY'!S33&gt;0,'12_UTILITY'!S54/'12_UTILITY'!S33*365,0)</f>
        <v>127.941049204057</v>
      </c>
      <c r="T55" s="69" t="n">
        <f aca="false">IF('12_UTILITY'!T33&gt;0,'12_UTILITY'!T54/'12_UTILITY'!T33*365,0)</f>
        <v>127.976431078615</v>
      </c>
      <c r="U55" s="69" t="n">
        <f aca="false">IF('12_UTILITY'!U33&gt;0,'12_UTILITY'!U54/'12_UTILITY'!U33*365,0)</f>
        <v>127.997107529439</v>
      </c>
      <c r="V55" s="69" t="n">
        <f aca="false">IF('12_UTILITY'!V33&gt;0,'12_UTILITY'!V54/'12_UTILITY'!V33*365,0)</f>
        <v>128.00821665488</v>
      </c>
      <c r="W55" s="69" t="n">
        <f aca="false">IF('12_UTILITY'!W33&gt;0,'12_UTILITY'!W54/'12_UTILITY'!W33*365,0)</f>
        <v>128.013135183744</v>
      </c>
      <c r="X55" s="69" t="n">
        <f aca="false">IF('12_UTILITY'!X33&gt;0,'12_UTILITY'!X54/'12_UTILITY'!X33*365,0)</f>
        <v>128.014080844206</v>
      </c>
      <c r="Y55" s="69" t="n">
        <f aca="false">IF('12_UTILITY'!Y33&gt;0,'12_UTILITY'!Y54/'12_UTILITY'!Y33*365,0)</f>
        <v>128.012508813925</v>
      </c>
      <c r="Z55" s="69" t="n">
        <f aca="false">IF('12_UTILITY'!Z33&gt;0,'12_UTILITY'!Z54/'12_UTILITY'!Z33*365,0)</f>
        <v>128.009372630684</v>
      </c>
      <c r="AA55" s="69" t="n">
        <f aca="false">IF('12_UTILITY'!AA33&gt;0,'12_UTILITY'!AA54/'12_UTILITY'!AA33*365,0)</f>
        <v>128.005295892905</v>
      </c>
      <c r="AB55" s="69" t="n">
        <f aca="false">IF('12_UTILITY'!AB33&gt;0,'12_UTILITY'!AB54/'12_UTILITY'!AB33*365,0)</f>
        <v>128.000685246159</v>
      </c>
      <c r="AC55" s="69" t="n">
        <f aca="false">IF('12_UTILITY'!AC33&gt;0,'12_UTILITY'!AC54/'12_UTILITY'!AC33*365,0)</f>
        <v>127.995804728605</v>
      </c>
      <c r="AD55" s="69" t="n">
        <f aca="false">IF('12_UTILITY'!AD33&gt;0,'12_UTILITY'!AD54/'12_UTILITY'!AD33*365,0)</f>
        <v>127.990824686967</v>
      </c>
      <c r="AE55" s="69" t="n">
        <f aca="false">IF('12_UTILITY'!AE33&gt;0,'12_UTILITY'!AE54/'12_UTILITY'!AE33*365,0)</f>
        <v>127.98585395829</v>
      </c>
      <c r="AF55" s="69" t="n">
        <f aca="false">IF('12_UTILITY'!AF33&gt;0,'12_UTILITY'!AF54/'12_UTILITY'!AF33*365,0)</f>
        <v>127.980961039945</v>
      </c>
      <c r="AG55" s="69" t="n">
        <f aca="false">IF('12_UTILITY'!AG33&gt;0,'12_UTILITY'!AG54/'12_UTILITY'!AG33*365,0)</f>
        <v>128.758973340571</v>
      </c>
      <c r="AH55" s="69" t="n">
        <f aca="false">IF('12_UTILITY'!AH33&gt;0,'12_UTILITY'!AH54/'12_UTILITY'!AH33*365,0)</f>
        <v>128.452807211327</v>
      </c>
      <c r="AI55" s="69" t="n">
        <f aca="false">IF('12_UTILITY'!AI33&gt;0,'12_UTILITY'!AI54/'12_UTILITY'!AI33*365,0)</f>
        <v>128.251517766086</v>
      </c>
      <c r="AJ55" s="69" t="n">
        <f aca="false">IF('12_UTILITY'!AJ33&gt;0,'12_UTILITY'!AJ54/'12_UTILITY'!AJ33*365,0)</f>
        <v>128.119179676091</v>
      </c>
      <c r="AK55" s="69" t="n">
        <f aca="false">IF('12_UTILITY'!AK33&gt;0,'12_UTILITY'!AK54/'12_UTILITY'!AK33*365,0)</f>
        <v>128.032173772514</v>
      </c>
      <c r="AL55" s="69" t="n">
        <f aca="false">IF('12_UTILITY'!AL33&gt;0,'12_UTILITY'!AL54/'12_UTILITY'!AL33*365,0)</f>
        <v>127.97497159242</v>
      </c>
      <c r="AM55" s="69" t="n">
        <f aca="false">IF('12_UTILITY'!AM33&gt;0,'12_UTILITY'!AM54/'12_UTILITY'!AM33*365,0)</f>
        <v>127.937363921297</v>
      </c>
      <c r="AN55" s="69" t="n">
        <f aca="false">IF('12_UTILITY'!AN33&gt;0,'12_UTILITY'!AN54/'12_UTILITY'!AN33*365,0)</f>
        <v>127.912638693605</v>
      </c>
      <c r="AO55" s="69" t="n">
        <f aca="false">IF('12_UTILITY'!AO33&gt;0,'12_UTILITY'!AO54/'12_UTILITY'!AO33*365,0)</f>
        <v>127.896383050376</v>
      </c>
      <c r="AP55" s="69" t="n">
        <f aca="false">IF('12_UTILITY'!AP33&gt;0,'12_UTILITY'!AP54/'12_UTILITY'!AP33*365,0)</f>
        <v>127.885695749937</v>
      </c>
      <c r="AQ55" s="69" t="n">
        <f aca="false">IF('12_UTILITY'!AQ33&gt;0,'12_UTILITY'!AQ54/'12_UTILITY'!AQ33*365,0)</f>
        <v>127.878669365988</v>
      </c>
      <c r="AR55" s="69" t="n">
        <f aca="false">IF('12_UTILITY'!AR33&gt;0,'12_UTILITY'!AR54/'12_UTILITY'!AR33*365,0)</f>
        <v>127.874049857844</v>
      </c>
    </row>
    <row r="56" customFormat="false" ht="15" hidden="false" customHeight="true" outlineLevel="0" collapsed="false">
      <c r="A56" s="23" t="s">
        <v>599</v>
      </c>
      <c r="B56" s="23" t="s">
        <v>121</v>
      </c>
      <c r="E56" s="58" t="n">
        <f aca="false">'12_UTILITY'!D56+'16_REVENUE'!E24</f>
        <v>0</v>
      </c>
      <c r="F56" s="58" t="n">
        <f aca="false">'12_UTILITY'!E56+'16_REVENUE'!F24</f>
        <v>0</v>
      </c>
      <c r="G56" s="58" t="n">
        <f aca="false">'12_UTILITY'!F56+'16_REVENUE'!G24</f>
        <v>0</v>
      </c>
      <c r="H56" s="58" t="n">
        <f aca="false">'12_UTILITY'!G56+'16_REVENUE'!H24</f>
        <v>0</v>
      </c>
      <c r="I56" s="58" t="n">
        <f aca="false">'12_UTILITY'!H56+'16_REVENUE'!I24</f>
        <v>0</v>
      </c>
      <c r="J56" s="58" t="n">
        <f aca="false">'12_UTILITY'!I56+'16_REVENUE'!J24</f>
        <v>0</v>
      </c>
      <c r="K56" s="58" t="n">
        <f aca="false">'12_UTILITY'!J56+'16_REVENUE'!K24</f>
        <v>0</v>
      </c>
      <c r="L56" s="58" t="n">
        <f aca="false">'12_UTILITY'!K56+'16_REVENUE'!L24</f>
        <v>0</v>
      </c>
      <c r="M56" s="58" t="n">
        <f aca="false">'12_UTILITY'!L56+'16_REVENUE'!M24</f>
        <v>0</v>
      </c>
      <c r="N56" s="58" t="n">
        <f aca="false">'12_UTILITY'!M56+'16_REVENUE'!N24</f>
        <v>0</v>
      </c>
      <c r="O56" s="58" t="n">
        <f aca="false">'12_UTILITY'!N56+'16_REVENUE'!O24</f>
        <v>0</v>
      </c>
      <c r="P56" s="58" t="n">
        <f aca="false">'12_UTILITY'!O56+'16_REVENUE'!P24</f>
        <v>0</v>
      </c>
      <c r="Q56" s="58" t="n">
        <f aca="false">'12_UTILITY'!P56+'16_REVENUE'!Q24</f>
        <v>0</v>
      </c>
      <c r="R56" s="58" t="n">
        <f aca="false">'12_UTILITY'!Q56+'16_REVENUE'!R24</f>
        <v>0</v>
      </c>
      <c r="S56" s="58" t="n">
        <f aca="false">'12_UTILITY'!R56+'16_REVENUE'!S24</f>
        <v>0</v>
      </c>
      <c r="T56" s="58" t="n">
        <f aca="false">'12_UTILITY'!S56+'16_REVENUE'!T24</f>
        <v>0</v>
      </c>
      <c r="U56" s="58" t="n">
        <f aca="false">'12_UTILITY'!T56+'16_REVENUE'!U24</f>
        <v>0</v>
      </c>
      <c r="V56" s="58" t="n">
        <f aca="false">'12_UTILITY'!U56+'16_REVENUE'!V24</f>
        <v>0</v>
      </c>
      <c r="W56" s="58" t="n">
        <f aca="false">'12_UTILITY'!V56+'16_REVENUE'!W24</f>
        <v>0</v>
      </c>
      <c r="X56" s="58" t="n">
        <f aca="false">'12_UTILITY'!W56+'16_REVENUE'!X24</f>
        <v>0</v>
      </c>
      <c r="Y56" s="58" t="n">
        <f aca="false">'12_UTILITY'!X56+'16_REVENUE'!Y24</f>
        <v>0</v>
      </c>
      <c r="Z56" s="58" t="n">
        <f aca="false">'12_UTILITY'!Y56+'16_REVENUE'!Z24</f>
        <v>0</v>
      </c>
      <c r="AA56" s="58" t="n">
        <f aca="false">'12_UTILITY'!Z56+'16_REVENUE'!AA24</f>
        <v>0</v>
      </c>
      <c r="AB56" s="58" t="n">
        <f aca="false">'12_UTILITY'!AA56+'16_REVENUE'!AB24</f>
        <v>0</v>
      </c>
      <c r="AC56" s="58" t="n">
        <f aca="false">'12_UTILITY'!AB56+'16_REVENUE'!AC24</f>
        <v>0</v>
      </c>
      <c r="AD56" s="58" t="n">
        <f aca="false">'12_UTILITY'!AC56+'16_REVENUE'!AD24</f>
        <v>0</v>
      </c>
      <c r="AE56" s="58" t="n">
        <f aca="false">'12_UTILITY'!AD56+'16_REVENUE'!AE24</f>
        <v>0</v>
      </c>
      <c r="AF56" s="58" t="n">
        <f aca="false">'12_UTILITY'!AE56+'16_REVENUE'!AF24</f>
        <v>0</v>
      </c>
      <c r="AG56" s="58" t="n">
        <f aca="false">'12_UTILITY'!AF56+'16_REVENUE'!AG24</f>
        <v>0</v>
      </c>
      <c r="AH56" s="58" t="n">
        <f aca="false">'12_UTILITY'!AG56+'16_REVENUE'!AH24</f>
        <v>0</v>
      </c>
      <c r="AI56" s="58" t="n">
        <f aca="false">'12_UTILITY'!AH56+'16_REVENUE'!AI24</f>
        <v>0</v>
      </c>
      <c r="AJ56" s="58" t="n">
        <f aca="false">'12_UTILITY'!AI56+'16_REVENUE'!AJ24</f>
        <v>0</v>
      </c>
      <c r="AK56" s="58" t="n">
        <f aca="false">'12_UTILITY'!AJ56+'16_REVENUE'!AK24</f>
        <v>0</v>
      </c>
      <c r="AL56" s="58" t="n">
        <f aca="false">'12_UTILITY'!AK56+'16_REVENUE'!AL24</f>
        <v>0</v>
      </c>
      <c r="AM56" s="58" t="n">
        <f aca="false">'12_UTILITY'!AL56+'16_REVENUE'!AM24</f>
        <v>0</v>
      </c>
      <c r="AN56" s="58" t="n">
        <f aca="false">'12_UTILITY'!AM56+'16_REVENUE'!AN24</f>
        <v>0</v>
      </c>
      <c r="AO56" s="58" t="n">
        <f aca="false">'12_UTILITY'!AN56+'16_REVENUE'!AO24</f>
        <v>0</v>
      </c>
      <c r="AP56" s="58" t="n">
        <f aca="false">'12_UTILITY'!AO56+'16_REVENUE'!AP24</f>
        <v>0</v>
      </c>
      <c r="AQ56" s="58" t="n">
        <f aca="false">'12_UTILITY'!AP56+'16_REVENUE'!AQ24</f>
        <v>0</v>
      </c>
      <c r="AR56" s="58" t="n">
        <f aca="false">'12_UTILITY'!AQ56+'16_REVENUE'!AR24</f>
        <v>0</v>
      </c>
    </row>
    <row r="57" customFormat="false" ht="15" hidden="false" customHeight="true" outlineLevel="0" collapsed="false">
      <c r="A57" s="23" t="s">
        <v>600</v>
      </c>
      <c r="B57" s="23" t="s">
        <v>299</v>
      </c>
      <c r="E57" s="56" t="n">
        <f aca="false">MIN('12_UTILITY'!E24+'04_GENERATION'!E20*'11_OFFTAKER'!$C$7/(1-'12_UTILITY'!$C$11-'12_UTILITY'!$C$12)*'06_CONSTRUCTION'!E14,'10_DEMAND'!E31)</f>
        <v>8987</v>
      </c>
      <c r="F57" s="56" t="n">
        <f aca="false">MIN('12_UTILITY'!F24+'04_GENERATION'!F20*'11_OFFTAKER'!$C$7/(1-'12_UTILITY'!$C$11-'12_UTILITY'!$C$12)*'06_CONSTRUCTION'!F14,'10_DEMAND'!F31)</f>
        <v>9391.415</v>
      </c>
      <c r="G57" s="56" t="n">
        <f aca="false">MIN('12_UTILITY'!G24+'04_GENERATION'!G20*'11_OFFTAKER'!$C$7/(1-'12_UTILITY'!$C$11-'12_UTILITY'!$C$12)*'06_CONSTRUCTION'!G14,'10_DEMAND'!G31)</f>
        <v>9814.028675</v>
      </c>
      <c r="H57" s="56" t="n">
        <f aca="false">MIN('12_UTILITY'!H24+'04_GENERATION'!H20*'11_OFFTAKER'!$C$7/(1-'12_UTILITY'!$C$11-'12_UTILITY'!$C$12)*'06_CONSTRUCTION'!H14,'10_DEMAND'!H31)</f>
        <v>10255.659965375</v>
      </c>
      <c r="I57" s="56" t="n">
        <f aca="false">MIN('12_UTILITY'!I24+'04_GENERATION'!I20*'11_OFFTAKER'!$C$7/(1-'12_UTILITY'!$C$11-'12_UTILITY'!$C$12)*'06_CONSTRUCTION'!I14,'10_DEMAND'!I31)</f>
        <v>10717.1646638169</v>
      </c>
      <c r="J57" s="56" t="n">
        <f aca="false">MIN('12_UTILITY'!J24+'04_GENERATION'!J20*'11_OFFTAKER'!$C$7/(1-'12_UTILITY'!$C$11-'12_UTILITY'!$C$12)*'06_CONSTRUCTION'!J14,'10_DEMAND'!J31)</f>
        <v>11199.4370736886</v>
      </c>
      <c r="K57" s="56" t="n">
        <f aca="false">MIN('12_UTILITY'!K24+'04_GENERATION'!K20*'11_OFFTAKER'!$C$7/(1-'12_UTILITY'!$C$11-'12_UTILITY'!$C$12)*'06_CONSTRUCTION'!K14,'10_DEMAND'!K31)</f>
        <v>11703.4117420046</v>
      </c>
      <c r="L57" s="56" t="n">
        <f aca="false">MIN('12_UTILITY'!L24+'04_GENERATION'!L20*'11_OFFTAKER'!$C$7/(1-'12_UTILITY'!$C$11-'12_UTILITY'!$C$12)*'06_CONSTRUCTION'!L14,'10_DEMAND'!L31)</f>
        <v>12230.0652703948</v>
      </c>
      <c r="M57" s="56" t="n">
        <f aca="false">MIN('12_UTILITY'!M24+'04_GENERATION'!M20*'11_OFFTAKER'!$C$7/(1-'12_UTILITY'!$C$11-'12_UTILITY'!$C$12)*'06_CONSTRUCTION'!M14,'10_DEMAND'!M31)</f>
        <v>12780.4182075626</v>
      </c>
      <c r="N57" s="56" t="n">
        <f aca="false">MIN('12_UTILITY'!N24+'04_GENERATION'!N20*'11_OFFTAKER'!$C$7/(1-'12_UTILITY'!$C$11-'12_UTILITY'!$C$12)*'06_CONSTRUCTION'!N14,'10_DEMAND'!N31)</f>
        <v>13355.5370269029</v>
      </c>
      <c r="O57" s="56" t="n">
        <f aca="false">MIN('12_UTILITY'!O24+'04_GENERATION'!O20*'11_OFFTAKER'!$C$7/(1-'12_UTILITY'!$C$11-'12_UTILITY'!$C$12)*'06_CONSTRUCTION'!O14,'10_DEMAND'!O31)</f>
        <v>13956.5361931135</v>
      </c>
      <c r="P57" s="56" t="n">
        <f aca="false">MIN('12_UTILITY'!P24+'04_GENERATION'!P20*'11_OFFTAKER'!$C$7/(1-'12_UTILITY'!$C$11-'12_UTILITY'!$C$12)*'06_CONSTRUCTION'!P14,'10_DEMAND'!P31)</f>
        <v>14584.5803218036</v>
      </c>
      <c r="Q57" s="56" t="n">
        <f aca="false">MIN('12_UTILITY'!Q24+'04_GENERATION'!Q20*'11_OFFTAKER'!$C$7/(1-'12_UTILITY'!$C$11-'12_UTILITY'!$C$12)*'06_CONSTRUCTION'!Q14,'10_DEMAND'!Q31)</f>
        <v>15240.8864362848</v>
      </c>
      <c r="R57" s="56" t="n">
        <f aca="false">MIN('12_UTILITY'!R24+'04_GENERATION'!R20*'11_OFFTAKER'!$C$7/(1-'12_UTILITY'!$C$11-'12_UTILITY'!$C$12)*'06_CONSTRUCTION'!R14,'10_DEMAND'!R31)</f>
        <v>15926.7263259176</v>
      </c>
      <c r="S57" s="56" t="n">
        <f aca="false">MIN('12_UTILITY'!S24+'04_GENERATION'!S20*'11_OFFTAKER'!$C$7/(1-'12_UTILITY'!$C$11-'12_UTILITY'!$C$12)*'06_CONSTRUCTION'!S14,'10_DEMAND'!S31)</f>
        <v>16643.4290105839</v>
      </c>
      <c r="T57" s="56" t="n">
        <f aca="false">MIN('12_UTILITY'!T24+'04_GENERATION'!T20*'11_OFFTAKER'!$C$7/(1-'12_UTILITY'!$C$11-'12_UTILITY'!$C$12)*'06_CONSTRUCTION'!T14,'10_DEMAND'!T31)</f>
        <v>17392.3833160602</v>
      </c>
      <c r="U57" s="56" t="n">
        <f aca="false">MIN('12_UTILITY'!U24+'04_GENERATION'!U20*'11_OFFTAKER'!$C$7/(1-'12_UTILITY'!$C$11-'12_UTILITY'!$C$12)*'06_CONSTRUCTION'!U14,'10_DEMAND'!U31)</f>
        <v>18175.0405652829</v>
      </c>
      <c r="V57" s="56" t="n">
        <f aca="false">MIN('12_UTILITY'!V24+'04_GENERATION'!V20*'11_OFFTAKER'!$C$7/(1-'12_UTILITY'!$C$11-'12_UTILITY'!$C$12)*'06_CONSTRUCTION'!V14,'10_DEMAND'!V31)</f>
        <v>18992.9173907206</v>
      </c>
      <c r="W57" s="56" t="n">
        <f aca="false">MIN('12_UTILITY'!W24+'04_GENERATION'!W20*'11_OFFTAKER'!$C$7/(1-'12_UTILITY'!$C$11-'12_UTILITY'!$C$12)*'06_CONSTRUCTION'!W14,'10_DEMAND'!W31)</f>
        <v>19847.5986733031</v>
      </c>
      <c r="X57" s="56" t="n">
        <f aca="false">MIN('12_UTILITY'!X24+'04_GENERATION'!X20*'11_OFFTAKER'!$C$7/(1-'12_UTILITY'!$C$11-'12_UTILITY'!$C$12)*'06_CONSTRUCTION'!X14,'10_DEMAND'!X31)</f>
        <v>20740.7406136017</v>
      </c>
      <c r="Y57" s="56" t="n">
        <f aca="false">MIN('12_UTILITY'!Y24+'04_GENERATION'!Y20*'11_OFFTAKER'!$C$7/(1-'12_UTILITY'!$C$11-'12_UTILITY'!$C$12)*'06_CONSTRUCTION'!Y14,'10_DEMAND'!Y31)</f>
        <v>21674.0739412138</v>
      </c>
      <c r="Z57" s="56" t="n">
        <f aca="false">MIN('12_UTILITY'!Z24+'04_GENERATION'!Z20*'11_OFFTAKER'!$C$7/(1-'12_UTILITY'!$C$11-'12_UTILITY'!$C$12)*'06_CONSTRUCTION'!Z14,'10_DEMAND'!Z31)</f>
        <v>22649.4072685684</v>
      </c>
      <c r="AA57" s="56" t="n">
        <f aca="false">MIN('12_UTILITY'!AA24+'04_GENERATION'!AA20*'11_OFFTAKER'!$C$7/(1-'12_UTILITY'!$C$11-'12_UTILITY'!$C$12)*'06_CONSTRUCTION'!AA14,'10_DEMAND'!AA31)</f>
        <v>23668.630595654</v>
      </c>
      <c r="AB57" s="56" t="n">
        <f aca="false">MIN('12_UTILITY'!AB24+'04_GENERATION'!AB20*'11_OFFTAKER'!$C$7/(1-'12_UTILITY'!$C$11-'12_UTILITY'!$C$12)*'06_CONSTRUCTION'!AB14,'10_DEMAND'!AB31)</f>
        <v>24733.7189724584</v>
      </c>
      <c r="AC57" s="56" t="n">
        <f aca="false">MIN('12_UTILITY'!AC24+'04_GENERATION'!AC20*'11_OFFTAKER'!$C$7/(1-'12_UTILITY'!$C$11-'12_UTILITY'!$C$12)*'06_CONSTRUCTION'!AC14,'10_DEMAND'!AC31)</f>
        <v>25846.736326219</v>
      </c>
      <c r="AD57" s="56" t="n">
        <f aca="false">MIN('12_UTILITY'!AD24+'04_GENERATION'!AD20*'11_OFFTAKER'!$C$7/(1-'12_UTILITY'!$C$11-'12_UTILITY'!$C$12)*'06_CONSTRUCTION'!AD14,'10_DEMAND'!AD31)</f>
        <v>27009.8394608989</v>
      </c>
      <c r="AE57" s="56" t="n">
        <f aca="false">MIN('12_UTILITY'!AE24+'04_GENERATION'!AE20*'11_OFFTAKER'!$C$7/(1-'12_UTILITY'!$C$11-'12_UTILITY'!$C$12)*'06_CONSTRUCTION'!AE14,'10_DEMAND'!AE31)</f>
        <v>28225.2822366393</v>
      </c>
      <c r="AF57" s="56" t="n">
        <f aca="false">MIN('12_UTILITY'!AF24+'04_GENERATION'!AF20*'11_OFFTAKER'!$C$7/(1-'12_UTILITY'!$C$11-'12_UTILITY'!$C$12)*'06_CONSTRUCTION'!AF14,'10_DEMAND'!AF31)</f>
        <v>29495.4199372881</v>
      </c>
      <c r="AG57" s="56" t="n">
        <f aca="false">MIN('12_UTILITY'!AG24+'04_GENERATION'!AG20*'11_OFFTAKER'!$C$7/(1-'12_UTILITY'!$C$11-'12_UTILITY'!$C$12)*'06_CONSTRUCTION'!AG14,'10_DEMAND'!AG31)</f>
        <v>30822.713834466</v>
      </c>
      <c r="AH57" s="56" t="n">
        <f aca="false">MIN('12_UTILITY'!AH24+'04_GENERATION'!AH20*'11_OFFTAKER'!$C$7/(1-'12_UTILITY'!$C$11-'12_UTILITY'!$C$12)*'06_CONSTRUCTION'!AH14,'10_DEMAND'!AH31)</f>
        <v>32209.735957017</v>
      </c>
      <c r="AI57" s="56" t="n">
        <f aca="false">MIN('12_UTILITY'!AI24+'04_GENERATION'!AI20*'11_OFFTAKER'!$C$7/(1-'12_UTILITY'!$C$11-'12_UTILITY'!$C$12)*'06_CONSTRUCTION'!AI14,'10_DEMAND'!AI31)</f>
        <v>33659.1740750828</v>
      </c>
      <c r="AJ57" s="56" t="n">
        <f aca="false">MIN('12_UTILITY'!AJ24+'04_GENERATION'!AJ20*'11_OFFTAKER'!$C$7/(1-'12_UTILITY'!$C$11-'12_UTILITY'!$C$12)*'06_CONSTRUCTION'!AJ14,'10_DEMAND'!AJ31)</f>
        <v>35173.8369084615</v>
      </c>
      <c r="AK57" s="56" t="n">
        <f aca="false">MIN('12_UTILITY'!AK24+'04_GENERATION'!AK20*'11_OFFTAKER'!$C$7/(1-'12_UTILITY'!$C$11-'12_UTILITY'!$C$12)*'06_CONSTRUCTION'!AK14,'10_DEMAND'!AK31)</f>
        <v>36756.6595693423</v>
      </c>
      <c r="AL57" s="56" t="n">
        <f aca="false">MIN('12_UTILITY'!AL24+'04_GENERATION'!AL20*'11_OFFTAKER'!$C$7/(1-'12_UTILITY'!$C$11-'12_UTILITY'!$C$12)*'06_CONSTRUCTION'!AL14,'10_DEMAND'!AL31)</f>
        <v>38410.7092499627</v>
      </c>
      <c r="AM57" s="56" t="n">
        <f aca="false">MIN('12_UTILITY'!AM24+'04_GENERATION'!AM20*'11_OFFTAKER'!$C$7/(1-'12_UTILITY'!$C$11-'12_UTILITY'!$C$12)*'06_CONSTRUCTION'!AM14,'10_DEMAND'!AM31)</f>
        <v>40139.191166211</v>
      </c>
      <c r="AN57" s="56" t="n">
        <f aca="false">MIN('12_UTILITY'!AN24+'04_GENERATION'!AN20*'11_OFFTAKER'!$C$7/(1-'12_UTILITY'!$C$11-'12_UTILITY'!$C$12)*'06_CONSTRUCTION'!AN14,'10_DEMAND'!AN31)</f>
        <v>41945.4547686905</v>
      </c>
      <c r="AO57" s="56" t="n">
        <f aca="false">MIN('12_UTILITY'!AO24+'04_GENERATION'!AO20*'11_OFFTAKER'!$C$7/(1-'12_UTILITY'!$C$11-'12_UTILITY'!$C$12)*'06_CONSTRUCTION'!AO14,'10_DEMAND'!AO31)</f>
        <v>43833.0002332815</v>
      </c>
      <c r="AP57" s="56" t="n">
        <f aca="false">MIN('12_UTILITY'!AP24+'04_GENERATION'!AP20*'11_OFFTAKER'!$C$7/(1-'12_UTILITY'!$C$11-'12_UTILITY'!$C$12)*'06_CONSTRUCTION'!AP14,'10_DEMAND'!AP31)</f>
        <v>45805.4852437792</v>
      </c>
      <c r="AQ57" s="56" t="n">
        <f aca="false">MIN('12_UTILITY'!AQ24+'04_GENERATION'!AQ20*'11_OFFTAKER'!$C$7/(1-'12_UTILITY'!$C$11-'12_UTILITY'!$C$12)*'06_CONSTRUCTION'!AQ14,'10_DEMAND'!AQ31)</f>
        <v>47866.7320797493</v>
      </c>
      <c r="AR57" s="56" t="n">
        <f aca="false">MIN('12_UTILITY'!AR24+'04_GENERATION'!AR20*'11_OFFTAKER'!$C$7/(1-'12_UTILITY'!$C$11-'12_UTILITY'!$C$12)*'06_CONSTRUCTION'!AR14,'10_DEMAND'!AR31)</f>
        <v>50020.735023338</v>
      </c>
    </row>
    <row r="58" customFormat="false" ht="15" hidden="false" customHeight="true" outlineLevel="0" collapsed="false">
      <c r="A58" s="23" t="s">
        <v>601</v>
      </c>
      <c r="B58" s="23" t="s">
        <v>299</v>
      </c>
      <c r="E58" s="56" t="n">
        <f aca="false">'12_UTILITY'!E57*(1-'12_UTILITY'!$C$11-'12_UTILITY'!$C$12)</f>
        <v>7009.86</v>
      </c>
      <c r="F58" s="56" t="n">
        <f aca="false">'12_UTILITY'!F57*(1-'12_UTILITY'!$C$11-'12_UTILITY'!$C$12)</f>
        <v>7325.3037</v>
      </c>
      <c r="G58" s="56" t="n">
        <f aca="false">'12_UTILITY'!G57*(1-'12_UTILITY'!$C$11-'12_UTILITY'!$C$12)</f>
        <v>7654.9423665</v>
      </c>
      <c r="H58" s="56" t="n">
        <f aca="false">'12_UTILITY'!H57*(1-'12_UTILITY'!$C$11-'12_UTILITY'!$C$12)</f>
        <v>7999.4147729925</v>
      </c>
      <c r="I58" s="56" t="n">
        <f aca="false">'12_UTILITY'!I57*(1-'12_UTILITY'!$C$11-'12_UTILITY'!$C$12)</f>
        <v>8359.38843777716</v>
      </c>
      <c r="J58" s="56" t="n">
        <f aca="false">'12_UTILITY'!J57*(1-'12_UTILITY'!$C$11-'12_UTILITY'!$C$12)</f>
        <v>8735.56091747713</v>
      </c>
      <c r="K58" s="56" t="n">
        <f aca="false">'12_UTILITY'!K57*(1-'12_UTILITY'!$C$11-'12_UTILITY'!$C$12)</f>
        <v>9128.6611587636</v>
      </c>
      <c r="L58" s="56" t="n">
        <f aca="false">'12_UTILITY'!L57*(1-'12_UTILITY'!$C$11-'12_UTILITY'!$C$12)</f>
        <v>9539.45091090796</v>
      </c>
      <c r="M58" s="56" t="n">
        <f aca="false">'12_UTILITY'!M57*(1-'12_UTILITY'!$C$11-'12_UTILITY'!$C$12)</f>
        <v>9968.72620189882</v>
      </c>
      <c r="N58" s="56" t="n">
        <f aca="false">'12_UTILITY'!N57*(1-'12_UTILITY'!$C$11-'12_UTILITY'!$C$12)</f>
        <v>10417.3188809843</v>
      </c>
      <c r="O58" s="56" t="n">
        <f aca="false">'12_UTILITY'!O57*(1-'12_UTILITY'!$C$11-'12_UTILITY'!$C$12)</f>
        <v>10886.0982306286</v>
      </c>
      <c r="P58" s="56" t="n">
        <f aca="false">'12_UTILITY'!P57*(1-'12_UTILITY'!$C$11-'12_UTILITY'!$C$12)</f>
        <v>11375.9726510068</v>
      </c>
      <c r="Q58" s="56" t="n">
        <f aca="false">'12_UTILITY'!Q57*(1-'12_UTILITY'!$C$11-'12_UTILITY'!$C$12)</f>
        <v>11887.8914203022</v>
      </c>
      <c r="R58" s="56" t="n">
        <f aca="false">'12_UTILITY'!R57*(1-'12_UTILITY'!$C$11-'12_UTILITY'!$C$12)</f>
        <v>12422.8465342157</v>
      </c>
      <c r="S58" s="56" t="n">
        <f aca="false">'12_UTILITY'!S57*(1-'12_UTILITY'!$C$11-'12_UTILITY'!$C$12)</f>
        <v>12981.8746282555</v>
      </c>
      <c r="T58" s="56" t="n">
        <f aca="false">'12_UTILITY'!T57*(1-'12_UTILITY'!$C$11-'12_UTILITY'!$C$12)</f>
        <v>13566.0589865269</v>
      </c>
      <c r="U58" s="56" t="n">
        <f aca="false">'12_UTILITY'!U57*(1-'12_UTILITY'!$C$11-'12_UTILITY'!$C$12)</f>
        <v>14176.5316409207</v>
      </c>
      <c r="V58" s="56" t="n">
        <f aca="false">'12_UTILITY'!V57*(1-'12_UTILITY'!$C$11-'12_UTILITY'!$C$12)</f>
        <v>14814.4755647621</v>
      </c>
      <c r="W58" s="56" t="n">
        <f aca="false">'12_UTILITY'!W57*(1-'12_UTILITY'!$C$11-'12_UTILITY'!$C$12)</f>
        <v>15481.1269651764</v>
      </c>
      <c r="X58" s="56" t="n">
        <f aca="false">'12_UTILITY'!X57*(1-'12_UTILITY'!$C$11-'12_UTILITY'!$C$12)</f>
        <v>16177.7776786093</v>
      </c>
      <c r="Y58" s="56" t="n">
        <f aca="false">'12_UTILITY'!Y57*(1-'12_UTILITY'!$C$11-'12_UTILITY'!$C$12)</f>
        <v>16905.7776741467</v>
      </c>
      <c r="Z58" s="56" t="n">
        <f aca="false">'12_UTILITY'!Z57*(1-'12_UTILITY'!$C$11-'12_UTILITY'!$C$12)</f>
        <v>17666.5376694833</v>
      </c>
      <c r="AA58" s="56" t="n">
        <f aca="false">'12_UTILITY'!AA57*(1-'12_UTILITY'!$C$11-'12_UTILITY'!$C$12)</f>
        <v>18461.5318646101</v>
      </c>
      <c r="AB58" s="56" t="n">
        <f aca="false">'12_UTILITY'!AB57*(1-'12_UTILITY'!$C$11-'12_UTILITY'!$C$12)</f>
        <v>19292.3007985175</v>
      </c>
      <c r="AC58" s="56" t="n">
        <f aca="false">'12_UTILITY'!AC57*(1-'12_UTILITY'!$C$11-'12_UTILITY'!$C$12)</f>
        <v>20160.4543344508</v>
      </c>
      <c r="AD58" s="56" t="n">
        <f aca="false">'12_UTILITY'!AD57*(1-'12_UTILITY'!$C$11-'12_UTILITY'!$C$12)</f>
        <v>21067.6747795011</v>
      </c>
      <c r="AE58" s="56" t="n">
        <f aca="false">'12_UTILITY'!AE57*(1-'12_UTILITY'!$C$11-'12_UTILITY'!$C$12)</f>
        <v>22015.7201445787</v>
      </c>
      <c r="AF58" s="56" t="n">
        <f aca="false">'12_UTILITY'!AF57*(1-'12_UTILITY'!$C$11-'12_UTILITY'!$C$12)</f>
        <v>23006.4275510847</v>
      </c>
      <c r="AG58" s="56" t="n">
        <f aca="false">'12_UTILITY'!AG57*(1-'12_UTILITY'!$C$11-'12_UTILITY'!$C$12)</f>
        <v>24041.7167908835</v>
      </c>
      <c r="AH58" s="56" t="n">
        <f aca="false">'12_UTILITY'!AH57*(1-'12_UTILITY'!$C$11-'12_UTILITY'!$C$12)</f>
        <v>25123.5940464733</v>
      </c>
      <c r="AI58" s="56" t="n">
        <f aca="false">'12_UTILITY'!AI57*(1-'12_UTILITY'!$C$11-'12_UTILITY'!$C$12)</f>
        <v>26254.1557785646</v>
      </c>
      <c r="AJ58" s="56" t="n">
        <f aca="false">'12_UTILITY'!AJ57*(1-'12_UTILITY'!$C$11-'12_UTILITY'!$C$12)</f>
        <v>27435.5927886</v>
      </c>
      <c r="AK58" s="56" t="n">
        <f aca="false">'12_UTILITY'!AK57*(1-'12_UTILITY'!$C$11-'12_UTILITY'!$C$12)</f>
        <v>28670.194464087</v>
      </c>
      <c r="AL58" s="56" t="n">
        <f aca="false">'12_UTILITY'!AL57*(1-'12_UTILITY'!$C$11-'12_UTILITY'!$C$12)</f>
        <v>29960.3532149709</v>
      </c>
      <c r="AM58" s="56" t="n">
        <f aca="false">'12_UTILITY'!AM57*(1-'12_UTILITY'!$C$11-'12_UTILITY'!$C$12)</f>
        <v>31308.5691096446</v>
      </c>
      <c r="AN58" s="56" t="n">
        <f aca="false">'12_UTILITY'!AN57*(1-'12_UTILITY'!$C$11-'12_UTILITY'!$C$12)</f>
        <v>32717.4547195786</v>
      </c>
      <c r="AO58" s="56" t="n">
        <f aca="false">'12_UTILITY'!AO57*(1-'12_UTILITY'!$C$11-'12_UTILITY'!$C$12)</f>
        <v>34189.7401819596</v>
      </c>
      <c r="AP58" s="56" t="n">
        <f aca="false">'12_UTILITY'!AP57*(1-'12_UTILITY'!$C$11-'12_UTILITY'!$C$12)</f>
        <v>35728.2784901478</v>
      </c>
      <c r="AQ58" s="56" t="n">
        <f aca="false">'12_UTILITY'!AQ57*(1-'12_UTILITY'!$C$11-'12_UTILITY'!$C$12)</f>
        <v>37336.0510222044</v>
      </c>
      <c r="AR58" s="56" t="n">
        <f aca="false">'12_UTILITY'!AR57*(1-'12_UTILITY'!$C$11-'12_UTILITY'!$C$12)</f>
        <v>39016.1733182036</v>
      </c>
    </row>
    <row r="59" customFormat="false" ht="15" hidden="false" customHeight="true" outlineLevel="0" collapsed="false">
      <c r="A59" s="23" t="s">
        <v>602</v>
      </c>
      <c r="B59" s="23" t="s">
        <v>121</v>
      </c>
      <c r="E59" s="58" t="n">
        <f aca="false">'12_UTILITY'!E58*'12_UTILITY'!E31/'06_CONSTRUCTION'!E19*'12_UTILITY'!E34+'12_UTILITY'!E36-'12_UTILITY'!$C$16*'06_CONSTRUCTION'!E18/'06_CONSTRUCTION'!E20*(0.5+0.5*'12_UTILITY'!E58/'10_DEMAND'!$C$99)-'12_UTILITY'!E57*'12_UTILITY'!$C$14*('12_UTILITY'!$C$15*'06_CONSTRUCTION'!E17+(1-'12_UTILITY'!$C$15)*'06_CONSTRUCTION'!E18/'06_CONSTRUCTION'!E20)/1000+'12_UTILITY'!E39</f>
        <v>151.364683511502</v>
      </c>
      <c r="F59" s="58" t="n">
        <f aca="false">'12_UTILITY'!F58*'12_UTILITY'!F31/'06_CONSTRUCTION'!F19*'12_UTILITY'!F34+'12_UTILITY'!F36-'12_UTILITY'!$C$16*'06_CONSTRUCTION'!F18/'06_CONSTRUCTION'!F20*(0.5+0.5*'12_UTILITY'!F58/'10_DEMAND'!$C$99)-'12_UTILITY'!F57*'12_UTILITY'!$C$14*('12_UTILITY'!$C$15*'06_CONSTRUCTION'!F17+(1-'12_UTILITY'!$C$15)*'06_CONSTRUCTION'!F18/'06_CONSTRUCTION'!F20)/1000+'12_UTILITY'!F39</f>
        <v>167.063982546379</v>
      </c>
      <c r="G59" s="58" t="n">
        <f aca="false">'12_UTILITY'!G58*'12_UTILITY'!G31/'06_CONSTRUCTION'!G19*'12_UTILITY'!G34+'12_UTILITY'!G36-'12_UTILITY'!$C$16*'06_CONSTRUCTION'!G18/'06_CONSTRUCTION'!G20*(0.5+0.5*'12_UTILITY'!G58/'10_DEMAND'!$C$99)-'12_UTILITY'!G57*'12_UTILITY'!$C$14*('12_UTILITY'!$C$15*'06_CONSTRUCTION'!G17+(1-'12_UTILITY'!$C$15)*'06_CONSTRUCTION'!G18/'06_CONSTRUCTION'!G20)/1000+'12_UTILITY'!G39</f>
        <v>183.77286099006</v>
      </c>
      <c r="H59" s="58" t="n">
        <f aca="false">'12_UTILITY'!H58*'12_UTILITY'!H31/'06_CONSTRUCTION'!H19*'12_UTILITY'!H34+'12_UTILITY'!H36-'12_UTILITY'!$C$16*'06_CONSTRUCTION'!H18/'06_CONSTRUCTION'!H20*(0.5+0.5*'12_UTILITY'!H58/'10_DEMAND'!$C$99)-'12_UTILITY'!H57*'12_UTILITY'!$C$14*('12_UTILITY'!$C$15*'06_CONSTRUCTION'!H17+(1-'12_UTILITY'!$C$15)*'06_CONSTRUCTION'!H18/'06_CONSTRUCTION'!H20)/1000+'12_UTILITY'!H39</f>
        <v>201.555610106276</v>
      </c>
      <c r="I59" s="58" t="n">
        <f aca="false">'12_UTILITY'!I58*'12_UTILITY'!I31/'06_CONSTRUCTION'!I19*'12_UTILITY'!I34+'12_UTILITY'!I36-'12_UTILITY'!$C$16*'06_CONSTRUCTION'!I18/'06_CONSTRUCTION'!I20*(0.5+0.5*'12_UTILITY'!I58/'10_DEMAND'!$C$99)-'12_UTILITY'!I57*'12_UTILITY'!$C$14*('12_UTILITY'!$C$15*'06_CONSTRUCTION'!I17+(1-'12_UTILITY'!$C$15)*'06_CONSTRUCTION'!I18/'06_CONSTRUCTION'!I20)/1000+'12_UTILITY'!I39</f>
        <v>220.480601253486</v>
      </c>
      <c r="J59" s="58" t="n">
        <f aca="false">'12_UTILITY'!J58*'12_UTILITY'!J31/'06_CONSTRUCTION'!J19*'12_UTILITY'!J34+'12_UTILITY'!J36-'12_UTILITY'!$C$16*'06_CONSTRUCTION'!J18/'06_CONSTRUCTION'!J20*(0.5+0.5*'12_UTILITY'!J58/'10_DEMAND'!$C$99)-'12_UTILITY'!J57*'12_UTILITY'!$C$14*('12_UTILITY'!$C$15*'06_CONSTRUCTION'!J17+(1-'12_UTILITY'!$C$15)*'06_CONSTRUCTION'!J18/'06_CONSTRUCTION'!J20)/1000+'12_UTILITY'!J39</f>
        <v>240.62054440063</v>
      </c>
      <c r="K59" s="58" t="n">
        <f aca="false">'12_UTILITY'!K58*'12_UTILITY'!K31/'06_CONSTRUCTION'!K19*'12_UTILITY'!K34+'12_UTILITY'!K36-'12_UTILITY'!$C$16*'06_CONSTRUCTION'!K18/'06_CONSTRUCTION'!K20*(0.5+0.5*'12_UTILITY'!K58/'10_DEMAND'!$C$99)-'12_UTILITY'!K57*'12_UTILITY'!$C$14*('12_UTILITY'!$C$15*'06_CONSTRUCTION'!K17+(1-'12_UTILITY'!$C$15)*'06_CONSTRUCTION'!K18/'06_CONSTRUCTION'!K20)/1000+'12_UTILITY'!K39</f>
        <v>262.052763004269</v>
      </c>
      <c r="L59" s="58" t="n">
        <f aca="false">'12_UTILITY'!L58*'12_UTILITY'!L31/'06_CONSTRUCTION'!L19*'12_UTILITY'!L34+'12_UTILITY'!L36-'12_UTILITY'!$C$16*'06_CONSTRUCTION'!L18/'06_CONSTRUCTION'!L20*(0.5+0.5*'12_UTILITY'!L58/'10_DEMAND'!$C$99)-'12_UTILITY'!L57*'12_UTILITY'!$C$14*('12_UTILITY'!$C$15*'06_CONSTRUCTION'!L17+(1-'12_UTILITY'!$C$15)*'06_CONSTRUCTION'!L18/'06_CONSTRUCTION'!L20)/1000+'12_UTILITY'!L39</f>
        <v>284.859486281573</v>
      </c>
      <c r="M59" s="58" t="n">
        <f aca="false">'12_UTILITY'!M58*'12_UTILITY'!M31/'06_CONSTRUCTION'!M19*'12_UTILITY'!M34+'12_UTILITY'!M36-'12_UTILITY'!$C$16*'06_CONSTRUCTION'!M18/'06_CONSTRUCTION'!M20*(0.5+0.5*'12_UTILITY'!M58/'10_DEMAND'!$C$99)-'12_UTILITY'!M57*'12_UTILITY'!$C$14*('12_UTILITY'!$C$15*'06_CONSTRUCTION'!M17+(1-'12_UTILITY'!$C$15)*'06_CONSTRUCTION'!M18/'06_CONSTRUCTION'!M20)/1000+'12_UTILITY'!M39</f>
        <v>309.128159978962</v>
      </c>
      <c r="N59" s="58" t="n">
        <f aca="false">'12_UTILITY'!N58*'12_UTILITY'!N31/'06_CONSTRUCTION'!N19*'12_UTILITY'!N34+'12_UTILITY'!N36-'12_UTILITY'!$C$16*'06_CONSTRUCTION'!N18/'06_CONSTRUCTION'!N20*(0.5+0.5*'12_UTILITY'!N58/'10_DEMAND'!$C$99)-'12_UTILITY'!N57*'12_UTILITY'!$C$14*('12_UTILITY'!$C$15*'06_CONSTRUCTION'!N17+(1-'12_UTILITY'!$C$15)*'06_CONSTRUCTION'!N18/'06_CONSTRUCTION'!N20)/1000+'12_UTILITY'!N39</f>
        <v>334.951776805656</v>
      </c>
      <c r="O59" s="58" t="n">
        <f aca="false">'12_UTILITY'!O58*'12_UTILITY'!O31/'06_CONSTRUCTION'!O19*'12_UTILITY'!O34+'12_UTILITY'!O36-'12_UTILITY'!$C$16*'06_CONSTRUCTION'!O18/'06_CONSTRUCTION'!O20*(0.5+0.5*'12_UTILITY'!O58/'10_DEMAND'!$C$99)-'12_UTILITY'!O57*'12_UTILITY'!$C$14*('12_UTILITY'!$C$15*'06_CONSTRUCTION'!O17+(1-'12_UTILITY'!$C$15)*'06_CONSTRUCTION'!O18/'06_CONSTRUCTION'!O20)/1000+'12_UTILITY'!O39</f>
        <v>362.429227775251</v>
      </c>
      <c r="P59" s="58" t="n">
        <f aca="false">'12_UTILITY'!P58*'12_UTILITY'!P31/'06_CONSTRUCTION'!P19*'12_UTILITY'!P34+'12_UTILITY'!P36-'12_UTILITY'!$C$16*'06_CONSTRUCTION'!P18/'06_CONSTRUCTION'!P20*(0.5+0.5*'12_UTILITY'!P58/'10_DEMAND'!$C$99)-'12_UTILITY'!P57*'12_UTILITY'!$C$14*('12_UTILITY'!$C$15*'06_CONSTRUCTION'!P17+(1-'12_UTILITY'!$C$15)*'06_CONSTRUCTION'!P18/'06_CONSTRUCTION'!P20)/1000+'12_UTILITY'!P39</f>
        <v>391.665675776934</v>
      </c>
      <c r="Q59" s="58" t="n">
        <f aca="false">'12_UTILITY'!Q58*'12_UTILITY'!Q31/'06_CONSTRUCTION'!Q19*'12_UTILITY'!Q34+'12_UTILITY'!Q36-'12_UTILITY'!$C$16*'06_CONSTRUCTION'!Q18/'06_CONSTRUCTION'!Q20*(0.5+0.5*'12_UTILITY'!Q58/'10_DEMAND'!$C$99)-'12_UTILITY'!Q57*'12_UTILITY'!$C$14*('12_UTILITY'!$C$15*'06_CONSTRUCTION'!Q17+(1-'12_UTILITY'!$C$15)*'06_CONSTRUCTION'!Q18/'06_CONSTRUCTION'!Q20)/1000+'12_UTILITY'!Q39</f>
        <v>422.772952781374</v>
      </c>
      <c r="R59" s="58" t="n">
        <f aca="false">'12_UTILITY'!R58*'12_UTILITY'!R31/'06_CONSTRUCTION'!R19*'12_UTILITY'!R34+'12_UTILITY'!R36-'12_UTILITY'!$C$16*'06_CONSTRUCTION'!R18/'06_CONSTRUCTION'!R20*(0.5+0.5*'12_UTILITY'!R58/'10_DEMAND'!$C$99)-'12_UTILITY'!R57*'12_UTILITY'!$C$14*('12_UTILITY'!$C$15*'06_CONSTRUCTION'!R17+(1-'12_UTILITY'!$C$15)*'06_CONSTRUCTION'!R18/'06_CONSTRUCTION'!R20)/1000+'12_UTILITY'!R39</f>
        <v>455.869982175104</v>
      </c>
      <c r="S59" s="58" t="n">
        <f aca="false">'12_UTILITY'!S58*'12_UTILITY'!S31/'06_CONSTRUCTION'!S19*'12_UTILITY'!S34+'12_UTILITY'!S36-'12_UTILITY'!$C$16*'06_CONSTRUCTION'!S18/'06_CONSTRUCTION'!S20*(0.5+0.5*'12_UTILITY'!S58/'10_DEMAND'!$C$99)-'12_UTILITY'!S57*'12_UTILITY'!$C$14*('12_UTILITY'!$C$15*'06_CONSTRUCTION'!S17+(1-'12_UTILITY'!$C$15)*'06_CONSTRUCTION'!S18/'06_CONSTRUCTION'!S20)/1000+'12_UTILITY'!S39</f>
        <v>491.083227811453</v>
      </c>
      <c r="T59" s="58" t="n">
        <f aca="false">'12_UTILITY'!T58*'12_UTILITY'!T31/'06_CONSTRUCTION'!T19*'12_UTILITY'!T34+'12_UTILITY'!T36-'12_UTILITY'!$C$16*'06_CONSTRUCTION'!T18/'06_CONSTRUCTION'!T20*(0.5+0.5*'12_UTILITY'!T58/'10_DEMAND'!$C$99)-'12_UTILITY'!T57*'12_UTILITY'!$C$14*('12_UTILITY'!$C$15*'06_CONSTRUCTION'!T17+(1-'12_UTILITY'!$C$15)*'06_CONSTRUCTION'!T18/'06_CONSTRUCTION'!T20)/1000+'12_UTILITY'!T39</f>
        <v>528.547171466404</v>
      </c>
      <c r="U59" s="58" t="n">
        <f aca="false">'12_UTILITY'!U58*'12_UTILITY'!U31/'06_CONSTRUCTION'!U19*'12_UTILITY'!U34+'12_UTILITY'!U36-'12_UTILITY'!$C$16*'06_CONSTRUCTION'!U18/'06_CONSTRUCTION'!U20*(0.5+0.5*'12_UTILITY'!U58/'10_DEMAND'!$C$99)-'12_UTILITY'!U57*'12_UTILITY'!$C$14*('12_UTILITY'!$C$15*'06_CONSTRUCTION'!U17+(1-'12_UTILITY'!$C$15)*'06_CONSTRUCTION'!U18/'06_CONSTRUCTION'!U20)/1000+'12_UTILITY'!U39</f>
        <v>568.404820494305</v>
      </c>
      <c r="V59" s="58" t="n">
        <f aca="false">'12_UTILITY'!V58*'12_UTILITY'!V31/'06_CONSTRUCTION'!V19*'12_UTILITY'!V34+'12_UTILITY'!V36-'12_UTILITY'!$C$16*'06_CONSTRUCTION'!V18/'06_CONSTRUCTION'!V20*(0.5+0.5*'12_UTILITY'!V58/'10_DEMAND'!$C$99)-'12_UTILITY'!V57*'12_UTILITY'!$C$14*('12_UTILITY'!$C$15*'06_CONSTRUCTION'!V17+(1-'12_UTILITY'!$C$15)*'06_CONSTRUCTION'!V18/'06_CONSTRUCTION'!V20)/1000+'12_UTILITY'!V39</f>
        <v>610.808247591674</v>
      </c>
      <c r="W59" s="58" t="n">
        <f aca="false">'12_UTILITY'!W58*'12_UTILITY'!W31/'06_CONSTRUCTION'!W19*'12_UTILITY'!W34+'12_UTILITY'!W36-'12_UTILITY'!$C$16*'06_CONSTRUCTION'!W18/'06_CONSTRUCTION'!W20*(0.5+0.5*'12_UTILITY'!W58/'10_DEMAND'!$C$99)-'12_UTILITY'!W57*'12_UTILITY'!$C$14*('12_UTILITY'!$C$15*'06_CONSTRUCTION'!W17+(1-'12_UTILITY'!$C$15)*'06_CONSTRUCTION'!W18/'06_CONSTRUCTION'!W20)/1000+'12_UTILITY'!W39</f>
        <v>655.919164697796</v>
      </c>
      <c r="X59" s="58" t="n">
        <f aca="false">'12_UTILITY'!X58*'12_UTILITY'!X31/'06_CONSTRUCTION'!X19*'12_UTILITY'!X34+'12_UTILITY'!X36-'12_UTILITY'!$C$16*'06_CONSTRUCTION'!X18/'06_CONSTRUCTION'!X20*(0.5+0.5*'12_UTILITY'!X58/'10_DEMAND'!$C$99)-'12_UTILITY'!X57*'12_UTILITY'!$C$14*('12_UTILITY'!$C$15*'06_CONSTRUCTION'!X17+(1-'12_UTILITY'!$C$15)*'06_CONSTRUCTION'!X18/'06_CONSTRUCTION'!X20)/1000+'12_UTILITY'!X39</f>
        <v>703.909533188833</v>
      </c>
      <c r="Y59" s="58" t="n">
        <f aca="false">'12_UTILITY'!Y58*'12_UTILITY'!Y31/'06_CONSTRUCTION'!Y19*'12_UTILITY'!Y34+'12_UTILITY'!Y36-'12_UTILITY'!$C$16*'06_CONSTRUCTION'!Y18/'06_CONSTRUCTION'!Y20*(0.5+0.5*'12_UTILITY'!Y58/'10_DEMAND'!$C$99)-'12_UTILITY'!Y57*'12_UTILITY'!$C$14*('12_UTILITY'!$C$15*'06_CONSTRUCTION'!Y17+(1-'12_UTILITY'!$C$15)*'06_CONSTRUCTION'!Y18/'06_CONSTRUCTION'!Y20)/1000+'12_UTILITY'!Y39</f>
        <v>754.962212658317</v>
      </c>
      <c r="Z59" s="58" t="n">
        <f aca="false">'12_UTILITY'!Z58*'12_UTILITY'!Z31/'06_CONSTRUCTION'!Z19*'12_UTILITY'!Z34+'12_UTILITY'!Z36-'12_UTILITY'!$C$16*'06_CONSTRUCTION'!Z18/'06_CONSTRUCTION'!Z20*(0.5+0.5*'12_UTILITY'!Z58/'10_DEMAND'!$C$99)-'12_UTILITY'!Z57*'12_UTILITY'!$C$14*('12_UTILITY'!$C$15*'06_CONSTRUCTION'!Z17+(1-'12_UTILITY'!$C$15)*'06_CONSTRUCTION'!Z18/'06_CONSTRUCTION'!Z20)/1000+'12_UTILITY'!Z39</f>
        <v>809.271650721554</v>
      </c>
      <c r="AA59" s="58" t="n">
        <f aca="false">'12_UTILITY'!AA58*'12_UTILITY'!AA31/'06_CONSTRUCTION'!AA19*'12_UTILITY'!AA34+'12_UTILITY'!AA36-'12_UTILITY'!$C$16*'06_CONSTRUCTION'!AA18/'06_CONSTRUCTION'!AA20*(0.5+0.5*'12_UTILITY'!AA58/'10_DEMAND'!$C$99)-'12_UTILITY'!AA57*'12_UTILITY'!$C$14*('12_UTILITY'!$C$15*'06_CONSTRUCTION'!AA17+(1-'12_UTILITY'!$C$15)*'06_CONSTRUCTION'!AA18/'06_CONSTRUCTION'!AA20)/1000+'12_UTILITY'!AA39</f>
        <v>867.044616435315</v>
      </c>
      <c r="AB59" s="58" t="n">
        <f aca="false">'12_UTILITY'!AB58*'12_UTILITY'!AB31/'06_CONSTRUCTION'!AB19*'12_UTILITY'!AB34+'12_UTILITY'!AB36-'12_UTILITY'!$C$16*'06_CONSTRUCTION'!AB18/'06_CONSTRUCTION'!AB20*(0.5+0.5*'12_UTILITY'!AB58/'10_DEMAND'!$C$99)-'12_UTILITY'!AB57*'12_UTILITY'!$C$14*('12_UTILITY'!$C$15*'06_CONSTRUCTION'!AB17+(1-'12_UTILITY'!$C$15)*'06_CONSTRUCTION'!AB18/'06_CONSTRUCTION'!AB20)/1000+'12_UTILITY'!AB39</f>
        <v>928.500980087688</v>
      </c>
      <c r="AC59" s="58" t="n">
        <f aca="false">'12_UTILITY'!AC58*'12_UTILITY'!AC31/'06_CONSTRUCTION'!AC19*'12_UTILITY'!AC34+'12_UTILITY'!AC36-'12_UTILITY'!$C$16*'06_CONSTRUCTION'!AC18/'06_CONSTRUCTION'!AC20*(0.5+0.5*'12_UTILITY'!AC58/'10_DEMAND'!$C$99)-'12_UTILITY'!AC57*'12_UTILITY'!$C$14*('12_UTILITY'!$C$15*'06_CONSTRUCTION'!AC17+(1-'12_UTILITY'!$C$15)*'06_CONSTRUCTION'!AC18/'06_CONSTRUCTION'!AC20)/1000+'12_UTILITY'!AC39</f>
        <v>993.8745422868</v>
      </c>
      <c r="AD59" s="58" t="n">
        <f aca="false">'12_UTILITY'!AD58*'12_UTILITY'!AD31/'06_CONSTRUCTION'!AD19*'12_UTILITY'!AD34+'12_UTILITY'!AD36-'12_UTILITY'!$C$16*'06_CONSTRUCTION'!AD18/'06_CONSTRUCTION'!AD20*(0.5+0.5*'12_UTILITY'!AD58/'10_DEMAND'!$C$99)-'12_UTILITY'!AD57*'12_UTILITY'!$C$14*('12_UTILITY'!$C$15*'06_CONSTRUCTION'!AD17+(1-'12_UTILITY'!$C$15)*'06_CONSTRUCTION'!AD18/'06_CONSTRUCTION'!AD20)/1000+'12_UTILITY'!AD39</f>
        <v>1063.41391546185</v>
      </c>
      <c r="AE59" s="58" t="n">
        <f aca="false">'12_UTILITY'!AE58*'12_UTILITY'!AE31/'06_CONSTRUCTION'!AE19*'12_UTILITY'!AE34+'12_UTILITY'!AE36-'12_UTILITY'!$C$16*'06_CONSTRUCTION'!AE18/'06_CONSTRUCTION'!AE20*(0.5+0.5*'12_UTILITY'!AE58/'10_DEMAND'!$C$99)-'12_UTILITY'!AE57*'12_UTILITY'!$C$14*('12_UTILITY'!$C$15*'06_CONSTRUCTION'!AE17+(1-'12_UTILITY'!$C$15)*'06_CONSTRUCTION'!AE18/'06_CONSTRUCTION'!AE20)/1000+'12_UTILITY'!AE39</f>
        <v>1137.38346108641</v>
      </c>
      <c r="AF59" s="58" t="n">
        <f aca="false">'12_UTILITY'!AF58*'12_UTILITY'!AF31/'06_CONSTRUCTION'!AF19*'12_UTILITY'!AF34+'12_UTILITY'!AF36-'12_UTILITY'!$C$16*'06_CONSTRUCTION'!AF18/'06_CONSTRUCTION'!AF20*(0.5+0.5*'12_UTILITY'!AF58/'10_DEMAND'!$C$99)-'12_UTILITY'!AF57*'12_UTILITY'!$C$14*('12_UTILITY'!$C$15*'06_CONSTRUCTION'!AF17+(1-'12_UTILITY'!$C$15)*'06_CONSTRUCTION'!AF18/'06_CONSTRUCTION'!AF20)/1000+'12_UTILITY'!AF39</f>
        <v>1216.06428614258</v>
      </c>
      <c r="AG59" s="58" t="n">
        <f aca="false">'12_UTILITY'!AG58*'12_UTILITY'!AG31/'06_CONSTRUCTION'!AG19*'12_UTILITY'!AG34+'12_UTILITY'!AG36-'12_UTILITY'!$C$16*'06_CONSTRUCTION'!AG18/'06_CONSTRUCTION'!AG20*(0.5+0.5*'12_UTILITY'!AG58/'10_DEMAND'!$C$99)-'12_UTILITY'!AG57*'12_UTILITY'!$C$14*('12_UTILITY'!$C$15*'06_CONSTRUCTION'!AG17+(1-'12_UTILITY'!$C$15)*'06_CONSTRUCTION'!AG18/'06_CONSTRUCTION'!AG20)/1000+'12_UTILITY'!AG39</f>
        <v>1299.75530256671</v>
      </c>
      <c r="AH59" s="58" t="n">
        <f aca="false">'12_UTILITY'!AH58*'12_UTILITY'!AH31/'06_CONSTRUCTION'!AH19*'12_UTILITY'!AH34+'12_UTILITY'!AH36-'12_UTILITY'!$C$16*'06_CONSTRUCTION'!AH18/'06_CONSTRUCTION'!AH20*(0.5+0.5*'12_UTILITY'!AH58/'10_DEMAND'!$C$99)-'12_UTILITY'!AH57*'12_UTILITY'!$C$14*('12_UTILITY'!$C$15*'06_CONSTRUCTION'!AH17+(1-'12_UTILITY'!$C$15)*'06_CONSTRUCTION'!AH18/'06_CONSTRUCTION'!AH20)/1000+'12_UTILITY'!AH39</f>
        <v>1388.77435365327</v>
      </c>
      <c r="AI59" s="58" t="n">
        <f aca="false">'12_UTILITY'!AI58*'12_UTILITY'!AI31/'06_CONSTRUCTION'!AI19*'12_UTILITY'!AI34+'12_UTILITY'!AI36-'12_UTILITY'!$C$16*'06_CONSTRUCTION'!AI18/'06_CONSTRUCTION'!AI20*(0.5+0.5*'12_UTILITY'!AI58/'10_DEMAND'!$C$99)-'12_UTILITY'!AI57*'12_UTILITY'!$C$14*('12_UTILITY'!$C$15*'06_CONSTRUCTION'!AI17+(1-'12_UTILITY'!$C$15)*'06_CONSTRUCTION'!AI18/'06_CONSTRUCTION'!AI20)/1000+'12_UTILITY'!AI39</f>
        <v>1483.45941164418</v>
      </c>
      <c r="AJ59" s="58" t="n">
        <f aca="false">'12_UTILITY'!AJ58*'12_UTILITY'!AJ31/'06_CONSTRUCTION'!AJ19*'12_UTILITY'!AJ34+'12_UTILITY'!AJ36-'12_UTILITY'!$C$16*'06_CONSTRUCTION'!AJ18/'06_CONSTRUCTION'!AJ20*(0.5+0.5*'12_UTILITY'!AJ58/'10_DEMAND'!$C$99)-'12_UTILITY'!AJ57*'12_UTILITY'!$C$14*('12_UTILITY'!$C$15*'06_CONSTRUCTION'!AJ17+(1-'12_UTILITY'!$C$15)*'06_CONSTRUCTION'!AJ18/'06_CONSTRUCTION'!AJ20)/1000+'12_UTILITY'!AJ39</f>
        <v>1584.16985099753</v>
      </c>
      <c r="AK59" s="58" t="n">
        <f aca="false">'12_UTILITY'!AK58*'12_UTILITY'!AK31/'06_CONSTRUCTION'!AK19*'12_UTILITY'!AK34+'12_UTILITY'!AK36-'12_UTILITY'!$C$16*'06_CONSTRUCTION'!AK18/'06_CONSTRUCTION'!AK20*(0.5+0.5*'12_UTILITY'!AK58/'10_DEMAND'!$C$99)-'12_UTILITY'!AK57*'12_UTILITY'!$C$14*('12_UTILITY'!$C$15*'06_CONSTRUCTION'!AK17+(1-'12_UTILITY'!$C$15)*'06_CONSTRUCTION'!AK18/'06_CONSTRUCTION'!AK20)/1000+'12_UTILITY'!AK39</f>
        <v>1691.28780211326</v>
      </c>
      <c r="AL59" s="58" t="n">
        <f aca="false">'12_UTILITY'!AL58*'12_UTILITY'!AL31/'06_CONSTRUCTION'!AL19*'12_UTILITY'!AL34+'12_UTILITY'!AL36-'12_UTILITY'!$C$16*'06_CONSTRUCTION'!AL18/'06_CONSTRUCTION'!AL20*(0.5+0.5*'12_UTILITY'!AL58/'10_DEMAND'!$C$99)-'12_UTILITY'!AL57*'12_UTILITY'!$C$14*('12_UTILITY'!$C$15*'06_CONSTRUCTION'!AL17+(1-'12_UTILITY'!$C$15)*'06_CONSTRUCTION'!AL18/'06_CONSTRUCTION'!AL20)/1000+'12_UTILITY'!AL39</f>
        <v>1805.21959059409</v>
      </c>
      <c r="AM59" s="58" t="n">
        <f aca="false">'12_UTILITY'!AM58*'12_UTILITY'!AM31/'06_CONSTRUCTION'!AM19*'12_UTILITY'!AM34+'12_UTILITY'!AM36-'12_UTILITY'!$C$16*'06_CONSTRUCTION'!AM18/'06_CONSTRUCTION'!AM20*(0.5+0.5*'12_UTILITY'!AM58/'10_DEMAND'!$C$99)-'12_UTILITY'!AM57*'12_UTILITY'!$C$14*('12_UTILITY'!$C$15*'06_CONSTRUCTION'!AM17+(1-'12_UTILITY'!$C$15)*'06_CONSTRUCTION'!AM18/'06_CONSTRUCTION'!AM20)/1000+'12_UTILITY'!AM39</f>
        <v>1926.39726744081</v>
      </c>
      <c r="AN59" s="58" t="n">
        <f aca="false">'12_UTILITY'!AN58*'12_UTILITY'!AN31/'06_CONSTRUCTION'!AN19*'12_UTILITY'!AN34+'12_UTILITY'!AN36-'12_UTILITY'!$C$16*'06_CONSTRUCTION'!AN18/'06_CONSTRUCTION'!AN20*(0.5+0.5*'12_UTILITY'!AN58/'10_DEMAND'!$C$99)-'12_UTILITY'!AN57*'12_UTILITY'!$C$14*('12_UTILITY'!$C$15*'06_CONSTRUCTION'!AN17+(1-'12_UTILITY'!$C$15)*'06_CONSTRUCTION'!AN18/'06_CONSTRUCTION'!AN20)/1000+'12_UTILITY'!AN39</f>
        <v>2055.28023592084</v>
      </c>
      <c r="AO59" s="58" t="n">
        <f aca="false">'12_UTILITY'!AO58*'12_UTILITY'!AO31/'06_CONSTRUCTION'!AO19*'12_UTILITY'!AO34+'12_UTILITY'!AO36-'12_UTILITY'!$C$16*'06_CONSTRUCTION'!AO18/'06_CONSTRUCTION'!AO20*(0.5+0.5*'12_UTILITY'!AO58/'10_DEMAND'!$C$99)-'12_UTILITY'!AO57*'12_UTILITY'!$C$14*('12_UTILITY'!$C$15*'06_CONSTRUCTION'!AO17+(1-'12_UTILITY'!$C$15)*'06_CONSTRUCTION'!AO18/'06_CONSTRUCTION'!AO20)/1000+'12_UTILITY'!AO39</f>
        <v>2192.35698121134</v>
      </c>
      <c r="AP59" s="58" t="n">
        <f aca="false">'12_UTILITY'!AP58*'12_UTILITY'!AP31/'06_CONSTRUCTION'!AP19*'12_UTILITY'!AP34+'12_UTILITY'!AP36-'12_UTILITY'!$C$16*'06_CONSTRUCTION'!AP18/'06_CONSTRUCTION'!AP20*(0.5+0.5*'12_UTILITY'!AP58/'10_DEMAND'!$C$99)-'12_UTILITY'!AP57*'12_UTILITY'!$C$14*('12_UTILITY'!$C$15*'06_CONSTRUCTION'!AP17+(1-'12_UTILITY'!$C$15)*'06_CONSTRUCTION'!AP18/'06_CONSTRUCTION'!AP20)/1000+'12_UTILITY'!AP39</f>
        <v>2338.14690930224</v>
      </c>
      <c r="AQ59" s="58" t="n">
        <f aca="false">'12_UTILITY'!AQ58*'12_UTILITY'!AQ31/'06_CONSTRUCTION'!AQ19*'12_UTILITY'!AQ34+'12_UTILITY'!AQ36-'12_UTILITY'!$C$16*'06_CONSTRUCTION'!AQ18/'06_CONSTRUCTION'!AQ20*(0.5+0.5*'12_UTILITY'!AQ58/'10_DEMAND'!$C$99)-'12_UTILITY'!AQ57*'12_UTILITY'!$C$14*('12_UTILITY'!$C$15*'06_CONSTRUCTION'!AQ17+(1-'12_UTILITY'!$C$15)*'06_CONSTRUCTION'!AQ18/'06_CONSTRUCTION'!AQ20)/1000+'12_UTILITY'!AQ39</f>
        <v>2493.20230205373</v>
      </c>
      <c r="AR59" s="58" t="n">
        <f aca="false">'12_UTILITY'!AR58*'12_UTILITY'!AR31/'06_CONSTRUCTION'!AR19*'12_UTILITY'!AR34+'12_UTILITY'!AR36-'12_UTILITY'!$C$16*'06_CONSTRUCTION'!AR18/'06_CONSTRUCTION'!AR20*(0.5+0.5*'12_UTILITY'!AR58/'10_DEMAND'!$C$99)-'12_UTILITY'!AR57*'12_UTILITY'!$C$14*('12_UTILITY'!$C$15*'06_CONSTRUCTION'!AR17+(1-'12_UTILITY'!$C$15)*'06_CONSTRUCTION'!AR18/'06_CONSTRUCTION'!AR20)/1000+'12_UTILITY'!AR39</f>
        <v>2658.11039573705</v>
      </c>
    </row>
    <row r="60" customFormat="false" ht="15" hidden="false" customHeight="true" outlineLevel="0" collapsed="false">
      <c r="A60" s="19" t="s">
        <v>603</v>
      </c>
      <c r="B60" s="23" t="s">
        <v>121</v>
      </c>
      <c r="C60" s="58" t="n">
        <f aca="false">SUM('12_UTILITY'!$E$60:$AR$60)</f>
        <v>-171.388999556187</v>
      </c>
      <c r="E60" s="72" t="n">
        <f aca="false">'12_UTILITY'!E52-'12_UTILITY'!E59-'16_REVENUE'!E24</f>
        <v>0</v>
      </c>
      <c r="F60" s="72" t="n">
        <f aca="false">'12_UTILITY'!F52-'12_UTILITY'!F59-'16_REVENUE'!F24</f>
        <v>0</v>
      </c>
      <c r="G60" s="72" t="n">
        <f aca="false">'12_UTILITY'!G52-'12_UTILITY'!G59-'16_REVENUE'!G24</f>
        <v>0</v>
      </c>
      <c r="H60" s="72" t="n">
        <f aca="false">'12_UTILITY'!H52-'12_UTILITY'!H59-'16_REVENUE'!H24</f>
        <v>-7.32784853971236</v>
      </c>
      <c r="I60" s="72" t="n">
        <f aca="false">'12_UTILITY'!I52-'12_UTILITY'!I59-'16_REVENUE'!I24</f>
        <v>-8.49469238977315</v>
      </c>
      <c r="J60" s="72" t="n">
        <f aca="false">'12_UTILITY'!J52-'12_UTILITY'!J59-'16_REVENUE'!J24</f>
        <v>-8.36640478130045</v>
      </c>
      <c r="K60" s="72" t="n">
        <f aca="false">'12_UTILITY'!K52-'12_UTILITY'!K59-'16_REVENUE'!K24</f>
        <v>-8.23610609400075</v>
      </c>
      <c r="L60" s="72" t="n">
        <f aca="false">'12_UTILITY'!L52-'12_UTILITY'!L59-'16_REVENUE'!L24</f>
        <v>-8.10376657183139</v>
      </c>
      <c r="M60" s="72" t="n">
        <f aca="false">'12_UTILITY'!M52-'12_UTILITY'!M59-'16_REVENUE'!M24</f>
        <v>-7.96935606109395</v>
      </c>
      <c r="N60" s="72" t="n">
        <f aca="false">'12_UTILITY'!N52-'12_UTILITY'!N59-'16_REVENUE'!N24</f>
        <v>-7.83284400620249</v>
      </c>
      <c r="O60" s="72" t="n">
        <f aca="false">'12_UTILITY'!O52-'12_UTILITY'!O59-'16_REVENUE'!O24</f>
        <v>-7.69419944544433</v>
      </c>
      <c r="P60" s="72" t="n">
        <f aca="false">'12_UTILITY'!P52-'12_UTILITY'!P59-'16_REVENUE'!P24</f>
        <v>-7.55339100672649</v>
      </c>
      <c r="Q60" s="72" t="n">
        <f aca="false">'12_UTILITY'!Q52-'12_UTILITY'!Q59-'16_REVENUE'!Q24</f>
        <v>-7.41038690330572</v>
      </c>
      <c r="R60" s="72" t="n">
        <f aca="false">'12_UTILITY'!R52-'12_UTILITY'!R59-'16_REVENUE'!R24</f>
        <v>-7.26515492951194</v>
      </c>
      <c r="S60" s="72" t="n">
        <f aca="false">'12_UTILITY'!S52-'12_UTILITY'!S59-'16_REVENUE'!S24</f>
        <v>-7.11766245645987</v>
      </c>
      <c r="T60" s="72" t="n">
        <f aca="false">'12_UTILITY'!T52-'12_UTILITY'!T59-'16_REVENUE'!T24</f>
        <v>-6.96787642775303</v>
      </c>
      <c r="U60" s="72" t="n">
        <f aca="false">'12_UTILITY'!U52-'12_UTILITY'!U59-'16_REVENUE'!U24</f>
        <v>-6.81576335518105</v>
      </c>
      <c r="V60" s="72" t="n">
        <f aca="false">'12_UTILITY'!V52-'12_UTILITY'!V59-'16_REVENUE'!V24</f>
        <v>-6.66128931440869</v>
      </c>
      <c r="W60" s="72" t="n">
        <f aca="false">'12_UTILITY'!W52-'12_UTILITY'!W59-'16_REVENUE'!W24</f>
        <v>-6.50441994066091</v>
      </c>
      <c r="X60" s="72" t="n">
        <f aca="false">'12_UTILITY'!X52-'12_UTILITY'!X59-'16_REVENUE'!X24</f>
        <v>-6.34512042440679</v>
      </c>
      <c r="Y60" s="72" t="n">
        <f aca="false">'12_UTILITY'!Y52-'12_UTILITY'!Y59-'16_REVENUE'!Y24</f>
        <v>-6.1833555070416</v>
      </c>
      <c r="Z60" s="72" t="n">
        <f aca="false">'12_UTILITY'!Z52-'12_UTILITY'!Z59-'16_REVENUE'!Z24</f>
        <v>-6.01908947656602</v>
      </c>
      <c r="AA60" s="72" t="n">
        <f aca="false">'12_UTILITY'!AA52-'12_UTILITY'!AA59-'16_REVENUE'!AA24</f>
        <v>-5.85228616326981</v>
      </c>
      <c r="AB60" s="72" t="n">
        <f aca="false">'12_UTILITY'!AB52-'12_UTILITY'!AB59-'16_REVENUE'!AB24</f>
        <v>-5.68290893541564</v>
      </c>
      <c r="AC60" s="72" t="n">
        <f aca="false">'12_UTILITY'!AC52-'12_UTILITY'!AC59-'16_REVENUE'!AC24</f>
        <v>-5.51092069493552</v>
      </c>
      <c r="AD60" s="72" t="n">
        <f aca="false">'12_UTILITY'!AD52-'12_UTILITY'!AD59-'16_REVENUE'!AD24</f>
        <v>-5.33628387312001</v>
      </c>
      <c r="AE60" s="72" t="n">
        <f aca="false">'12_UTILITY'!AE52-'12_UTILITY'!AE59-'16_REVENUE'!AE24</f>
        <v>-5.15896042633494</v>
      </c>
      <c r="AF60" s="72" t="n">
        <f aca="false">'12_UTILITY'!AF52-'12_UTILITY'!AF59-'16_REVENUE'!AF24</f>
        <v>-4.9789118317301</v>
      </c>
      <c r="AG60" s="72" t="n">
        <f aca="false">'12_UTILITY'!AG52-'12_UTILITY'!AG59-'16_REVENUE'!AG24</f>
        <v>0</v>
      </c>
      <c r="AH60" s="72" t="n">
        <f aca="false">'12_UTILITY'!AH52-'12_UTILITY'!AH59-'16_REVENUE'!AH24</f>
        <v>0</v>
      </c>
      <c r="AI60" s="72" t="n">
        <f aca="false">'12_UTILITY'!AI52-'12_UTILITY'!AI59-'16_REVENUE'!AI24</f>
        <v>0</v>
      </c>
      <c r="AJ60" s="72" t="n">
        <f aca="false">'12_UTILITY'!AJ52-'12_UTILITY'!AJ59-'16_REVENUE'!AJ24</f>
        <v>0</v>
      </c>
      <c r="AK60" s="72" t="n">
        <f aca="false">'12_UTILITY'!AK52-'12_UTILITY'!AK59-'16_REVENUE'!AK24</f>
        <v>0</v>
      </c>
      <c r="AL60" s="72" t="n">
        <f aca="false">'12_UTILITY'!AL52-'12_UTILITY'!AL59-'16_REVENUE'!AL24</f>
        <v>0</v>
      </c>
      <c r="AM60" s="72" t="n">
        <f aca="false">'12_UTILITY'!AM52-'12_UTILITY'!AM59-'16_REVENUE'!AM24</f>
        <v>0</v>
      </c>
      <c r="AN60" s="72" t="n">
        <f aca="false">'12_UTILITY'!AN52-'12_UTILITY'!AN59-'16_REVENUE'!AN24</f>
        <v>0</v>
      </c>
      <c r="AO60" s="72" t="n">
        <f aca="false">'12_UTILITY'!AO52-'12_UTILITY'!AO59-'16_REVENUE'!AO24</f>
        <v>0</v>
      </c>
      <c r="AP60" s="72" t="n">
        <f aca="false">'12_UTILITY'!AP52-'12_UTILITY'!AP59-'16_REVENUE'!AP24</f>
        <v>0</v>
      </c>
      <c r="AQ60" s="72" t="n">
        <f aca="false">'12_UTILITY'!AQ52-'12_UTILITY'!AQ59-'16_REVENUE'!AQ24</f>
        <v>0</v>
      </c>
      <c r="AR60" s="72" t="n">
        <f aca="false">'12_UTILITY'!AR52-'12_UTILITY'!AR59-'16_REVENUE'!AR24</f>
        <v>0</v>
      </c>
    </row>
    <row r="61" customFormat="false" ht="15" hidden="false" customHeight="true" outlineLevel="0" collapsed="false">
      <c r="A61" s="23" t="s">
        <v>604</v>
      </c>
      <c r="B61" s="23" t="s">
        <v>93</v>
      </c>
      <c r="E61" s="43" t="n">
        <f aca="false">IF('12_UTILITY'!E33&gt;0,'12_UTILITY'!E42/'12_UTILITY'!E33,0)</f>
        <v>0</v>
      </c>
      <c r="F61" s="43" t="n">
        <f aca="false">IF('12_UTILITY'!F33&gt;0,'12_UTILITY'!F42/'12_UTILITY'!F33,0)</f>
        <v>0</v>
      </c>
      <c r="G61" s="43" t="n">
        <f aca="false">IF('12_UTILITY'!G33&gt;0,'12_UTILITY'!G42/'12_UTILITY'!G33,0)</f>
        <v>0</v>
      </c>
      <c r="H61" s="43" t="n">
        <f aca="false">IF('12_UTILITY'!H33&gt;0,'12_UTILITY'!H42/'12_UTILITY'!H33,0)</f>
        <v>0.0243341333678698</v>
      </c>
      <c r="I61" s="43" t="n">
        <f aca="false">IF('12_UTILITY'!I33&gt;0,'12_UTILITY'!I42/'12_UTILITY'!I33,0)</f>
        <v>0.0270887080308806</v>
      </c>
      <c r="J61" s="43" t="n">
        <f aca="false">IF('12_UTILITY'!J33&gt;0,'12_UTILITY'!J42/'12_UTILITY'!J33,0)</f>
        <v>0.025738045131194</v>
      </c>
      <c r="K61" s="43" t="n">
        <f aca="false">IF('12_UTILITY'!K33&gt;0,'12_UTILITY'!K42/'12_UTILITY'!K33,0)</f>
        <v>0.0244559632462097</v>
      </c>
      <c r="L61" s="43" t="n">
        <f aca="false">IF('12_UTILITY'!L33&gt;0,'12_UTILITY'!L42/'12_UTILITY'!L33,0)</f>
        <v>0.0232389618393827</v>
      </c>
      <c r="M61" s="43" t="n">
        <f aca="false">IF('12_UTILITY'!M33&gt;0,'12_UTILITY'!M42/'12_UTILITY'!M33,0)</f>
        <v>0.0220837159306907</v>
      </c>
      <c r="N61" s="43" t="n">
        <f aca="false">IF('12_UTILITY'!N33&gt;0,'12_UTILITY'!N42/'12_UTILITY'!N33,0)</f>
        <v>0.0209870678116912</v>
      </c>
      <c r="O61" s="43" t="n">
        <f aca="false">IF('12_UTILITY'!O33&gt;0,'12_UTILITY'!O42/'12_UTILITY'!O33,0)</f>
        <v>0.0199460190920639</v>
      </c>
      <c r="P61" s="43" t="n">
        <f aca="false">IF('12_UTILITY'!P33&gt;0,'12_UTILITY'!P42/'12_UTILITY'!P33,0)</f>
        <v>0.0189577230707068</v>
      </c>
      <c r="Q61" s="43" t="n">
        <f aca="false">IF('12_UTILITY'!Q33&gt;0,'12_UTILITY'!Q42/'12_UTILITY'!Q33,0)</f>
        <v>0.0180194774238675</v>
      </c>
      <c r="R61" s="43" t="n">
        <f aca="false">IF('12_UTILITY'!R33&gt;0,'12_UTILITY'!R42/'12_UTILITY'!R33,0)</f>
        <v>0.017128717202299</v>
      </c>
      <c r="S61" s="43" t="n">
        <f aca="false">IF('12_UTILITY'!S33&gt;0,'12_UTILITY'!S42/'12_UTILITY'!S33,0)</f>
        <v>0.0162830081290495</v>
      </c>
      <c r="T61" s="43" t="n">
        <f aca="false">IF('12_UTILITY'!T33&gt;0,'12_UTILITY'!T42/'12_UTILITY'!T33,0)</f>
        <v>0.0154800401891901</v>
      </c>
      <c r="U61" s="43" t="n">
        <f aca="false">IF('12_UTILITY'!U33&gt;0,'12_UTILITY'!U42/'12_UTILITY'!U33,0)</f>
        <v>0.0147176215025665</v>
      </c>
      <c r="V61" s="43" t="n">
        <f aca="false">IF('12_UTILITY'!V33&gt;0,'12_UTILITY'!V42/'12_UTILITY'!V33,0)</f>
        <v>0.0139936724705065</v>
      </c>
      <c r="W61" s="43" t="n">
        <f aca="false">IF('12_UTILITY'!W33&gt;0,'12_UTILITY'!W42/'12_UTILITY'!W33,0)</f>
        <v>0.0133062201873271</v>
      </c>
      <c r="X61" s="43" t="n">
        <f aca="false">IF('12_UTILITY'!X33&gt;0,'12_UTILITY'!X42/'12_UTILITY'!X33,0)</f>
        <v>0.0126533931074462</v>
      </c>
      <c r="Y61" s="43" t="n">
        <f aca="false">IF('12_UTILITY'!Y33&gt;0,'12_UTILITY'!Y42/'12_UTILITY'!Y33,0)</f>
        <v>0.0120334159589207</v>
      </c>
      <c r="Z61" s="43" t="n">
        <f aca="false">IF('12_UTILITY'!Z33&gt;0,'12_UTILITY'!Z42/'12_UTILITY'!Z33,0)</f>
        <v>0.0114446048942817</v>
      </c>
      <c r="AA61" s="43" t="n">
        <f aca="false">IF('12_UTILITY'!AA33&gt;0,'12_UTILITY'!AA42/'12_UTILITY'!AA33,0)</f>
        <v>0.010885362869632</v>
      </c>
      <c r="AB61" s="43" t="n">
        <f aca="false">IF('12_UTILITY'!AB33&gt;0,'12_UTILITY'!AB42/'12_UTILITY'!AB33,0)</f>
        <v>0.0103541752430901</v>
      </c>
      <c r="AC61" s="43" t="n">
        <f aca="false">IF('12_UTILITY'!AC33&gt;0,'12_UTILITY'!AC42/'12_UTILITY'!AC33,0)</f>
        <v>0.00984960558381344</v>
      </c>
      <c r="AD61" s="43" t="n">
        <f aca="false">IF('12_UTILITY'!AD33&gt;0,'12_UTILITY'!AD42/'12_UTILITY'!AD33,0)</f>
        <v>0.00937029168300481</v>
      </c>
      <c r="AE61" s="43" t="n">
        <f aca="false">IF('12_UTILITY'!AE33&gt;0,'12_UTILITY'!AE42/'12_UTILITY'!AE33,0)</f>
        <v>0.00891494175849359</v>
      </c>
      <c r="AF61" s="43" t="n">
        <f aca="false">IF('12_UTILITY'!AF33&gt;0,'12_UTILITY'!AF42/'12_UTILITY'!AF33,0)</f>
        <v>0.00848233084468917</v>
      </c>
      <c r="AG61" s="43" t="n">
        <f aca="false">IF('12_UTILITY'!AG33&gt;0,'12_UTILITY'!AG42/'12_UTILITY'!AG33,0)</f>
        <v>0</v>
      </c>
      <c r="AH61" s="43" t="n">
        <f aca="false">IF('12_UTILITY'!AH33&gt;0,'12_UTILITY'!AH42/'12_UTILITY'!AH33,0)</f>
        <v>0</v>
      </c>
      <c r="AI61" s="43" t="n">
        <f aca="false">IF('12_UTILITY'!AI33&gt;0,'12_UTILITY'!AI42/'12_UTILITY'!AI33,0)</f>
        <v>0</v>
      </c>
      <c r="AJ61" s="43" t="n">
        <f aca="false">IF('12_UTILITY'!AJ33&gt;0,'12_UTILITY'!AJ42/'12_UTILITY'!AJ33,0)</f>
        <v>0</v>
      </c>
      <c r="AK61" s="43" t="n">
        <f aca="false">IF('12_UTILITY'!AK33&gt;0,'12_UTILITY'!AK42/'12_UTILITY'!AK33,0)</f>
        <v>0</v>
      </c>
      <c r="AL61" s="43" t="n">
        <f aca="false">IF('12_UTILITY'!AL33&gt;0,'12_UTILITY'!AL42/'12_UTILITY'!AL33,0)</f>
        <v>0</v>
      </c>
      <c r="AM61" s="43" t="n">
        <f aca="false">IF('12_UTILITY'!AM33&gt;0,'12_UTILITY'!AM42/'12_UTILITY'!AM33,0)</f>
        <v>0</v>
      </c>
      <c r="AN61" s="43" t="n">
        <f aca="false">IF('12_UTILITY'!AN33&gt;0,'12_UTILITY'!AN42/'12_UTILITY'!AN33,0)</f>
        <v>0</v>
      </c>
      <c r="AO61" s="43" t="n">
        <f aca="false">IF('12_UTILITY'!AO33&gt;0,'12_UTILITY'!AO42/'12_UTILITY'!AO33,0)</f>
        <v>0</v>
      </c>
      <c r="AP61" s="43" t="n">
        <f aca="false">IF('12_UTILITY'!AP33&gt;0,'12_UTILITY'!AP42/'12_UTILITY'!AP33,0)</f>
        <v>0</v>
      </c>
      <c r="AQ61" s="43" t="n">
        <f aca="false">IF('12_UTILITY'!AQ33&gt;0,'12_UTILITY'!AQ42/'12_UTILITY'!AQ33,0)</f>
        <v>0</v>
      </c>
      <c r="AR61" s="43" t="n">
        <f aca="false">IF('12_UTILITY'!AR33&gt;0,'12_UTILITY'!AR42/'12_UTILITY'!AR33,0)</f>
        <v>0</v>
      </c>
    </row>
    <row r="62" customFormat="false" ht="15" hidden="false" customHeight="true" outlineLevel="0" collapsed="false">
      <c r="A62" s="23" t="s">
        <v>605</v>
      </c>
      <c r="B62" s="23" t="s">
        <v>448</v>
      </c>
      <c r="E62" s="41" t="n">
        <f aca="false">('12_UTILITY'!E35)/'12_UTILITY'!E27*1000</f>
        <v>94.4123773584906</v>
      </c>
      <c r="F62" s="41" t="n">
        <f aca="false">('12_UTILITY'!F35)/'12_UTILITY'!F27*1000</f>
        <v>96.1937429690282</v>
      </c>
      <c r="G62" s="41" t="n">
        <f aca="false">('12_UTILITY'!G35)/'12_UTILITY'!G27*1000</f>
        <v>98.0087192514626</v>
      </c>
      <c r="H62" s="41" t="n">
        <f aca="false">('12_UTILITY'!H35)/'12_UTILITY'!H27*1000</f>
        <v>99.8579403694147</v>
      </c>
      <c r="I62" s="41" t="n">
        <f aca="false">('12_UTILITY'!I35)/'12_UTILITY'!I27*1000</f>
        <v>101.742052451857</v>
      </c>
      <c r="J62" s="41" t="n">
        <f aca="false">('12_UTILITY'!J35)/'12_UTILITY'!J27*1000</f>
        <v>103.661713818873</v>
      </c>
      <c r="K62" s="41" t="n">
        <f aca="false">('12_UTILITY'!K35)/'12_UTILITY'!K27*1000</f>
        <v>105.617595211682</v>
      </c>
      <c r="L62" s="41" t="n">
        <f aca="false">('12_UTILITY'!L35)/'12_UTILITY'!L27*1000</f>
        <v>107.610380026996</v>
      </c>
      <c r="M62" s="41" t="n">
        <f aca="false">('12_UTILITY'!M35)/'12_UTILITY'!M27*1000</f>
        <v>109.640764555808</v>
      </c>
      <c r="N62" s="41" t="n">
        <f aca="false">('12_UTILITY'!N35)/'12_UTILITY'!N27*1000</f>
        <v>111.709458226672</v>
      </c>
      <c r="O62" s="41" t="n">
        <f aca="false">('12_UTILITY'!O35)/'12_UTILITY'!O27*1000</f>
        <v>113.81718385359</v>
      </c>
      <c r="P62" s="41" t="n">
        <f aca="false">('12_UTILITY'!P35)/'12_UTILITY'!P27*1000</f>
        <v>115.964677888564</v>
      </c>
      <c r="Q62" s="41" t="n">
        <f aca="false">('12_UTILITY'!Q35)/'12_UTILITY'!Q27*1000</f>
        <v>118.152690678914</v>
      </c>
      <c r="R62" s="41" t="n">
        <f aca="false">('12_UTILITY'!R35)/'12_UTILITY'!R27*1000</f>
        <v>120.381986729459</v>
      </c>
      <c r="S62" s="41" t="n">
        <f aca="false">('12_UTILITY'!S35)/'12_UTILITY'!S27*1000</f>
        <v>122.653344969638</v>
      </c>
      <c r="T62" s="41" t="n">
        <f aca="false">('12_UTILITY'!T35)/'12_UTILITY'!T27*1000</f>
        <v>124.967559025669</v>
      </c>
      <c r="U62" s="41" t="n">
        <f aca="false">('12_UTILITY'!U35)/'12_UTILITY'!U27*1000</f>
        <v>127.325437497851</v>
      </c>
      <c r="V62" s="41" t="n">
        <f aca="false">('12_UTILITY'!V35)/'12_UTILITY'!V27*1000</f>
        <v>129.727804243094</v>
      </c>
      <c r="W62" s="41" t="n">
        <f aca="false">('12_UTILITY'!W35)/'12_UTILITY'!W27*1000</f>
        <v>132.175498662775</v>
      </c>
      <c r="X62" s="41" t="n">
        <f aca="false">('12_UTILITY'!X35)/'12_UTILITY'!X27*1000</f>
        <v>134.669375996035</v>
      </c>
      <c r="Y62" s="41" t="n">
        <f aca="false">('12_UTILITY'!Y35)/'12_UTILITY'!Y27*1000</f>
        <v>137.210307618601</v>
      </c>
      <c r="Z62" s="41" t="n">
        <f aca="false">('12_UTILITY'!Z35)/'12_UTILITY'!Z27*1000</f>
        <v>139.799181347254</v>
      </c>
      <c r="AA62" s="41" t="n">
        <f aca="false">('12_UTILITY'!AA35)/'12_UTILITY'!AA27*1000</f>
        <v>142.436901750033</v>
      </c>
      <c r="AB62" s="41" t="n">
        <f aca="false">('12_UTILITY'!AB35)/'12_UTILITY'!AB27*1000</f>
        <v>145.124390462297</v>
      </c>
      <c r="AC62" s="41" t="n">
        <f aca="false">('12_UTILITY'!AC35)/'12_UTILITY'!AC27*1000</f>
        <v>147.862586508756</v>
      </c>
      <c r="AD62" s="41" t="n">
        <f aca="false">('12_UTILITY'!AD35)/'12_UTILITY'!AD27*1000</f>
        <v>150.652446631563</v>
      </c>
      <c r="AE62" s="41" t="n">
        <f aca="false">('12_UTILITY'!AE35)/'12_UTILITY'!AE27*1000</f>
        <v>153.494945624611</v>
      </c>
      <c r="AF62" s="41" t="n">
        <f aca="false">('12_UTILITY'!AF35)/'12_UTILITY'!AF27*1000</f>
        <v>156.391076674132</v>
      </c>
      <c r="AG62" s="41" t="n">
        <f aca="false">('12_UTILITY'!AG35)/'12_UTILITY'!AG27*1000</f>
        <v>159.341851705719</v>
      </c>
      <c r="AH62" s="41" t="n">
        <f aca="false">('12_UTILITY'!AH35)/'12_UTILITY'!AH27*1000</f>
        <v>162.348301737903</v>
      </c>
      <c r="AI62" s="41" t="n">
        <f aca="false">('12_UTILITY'!AI35)/'12_UTILITY'!AI27*1000</f>
        <v>165.411477242391</v>
      </c>
      <c r="AJ62" s="41" t="n">
        <f aca="false">('12_UTILITY'!AJ35)/'12_UTILITY'!AJ27*1000</f>
        <v>168.532448511116</v>
      </c>
      <c r="AK62" s="41" t="n">
        <f aca="false">('12_UTILITY'!AK35)/'12_UTILITY'!AK27*1000</f>
        <v>171.712306030194</v>
      </c>
      <c r="AL62" s="41" t="n">
        <f aca="false">('12_UTILITY'!AL35)/'12_UTILITY'!AL27*1000</f>
        <v>174.952160860952</v>
      </c>
      <c r="AM62" s="41" t="n">
        <f aca="false">('12_UTILITY'!AM35)/'12_UTILITY'!AM27*1000</f>
        <v>178.25314502814</v>
      </c>
      <c r="AN62" s="41" t="n">
        <f aca="false">('12_UTILITY'!AN35)/'12_UTILITY'!AN27*1000</f>
        <v>181.616411915463</v>
      </c>
      <c r="AO62" s="41" t="n">
        <f aca="false">('12_UTILITY'!AO35)/'12_UTILITY'!AO27*1000</f>
        <v>185.043136668585</v>
      </c>
      <c r="AP62" s="41" t="n">
        <f aca="false">('12_UTILITY'!AP35)/'12_UTILITY'!AP27*1000</f>
        <v>188.534516605728</v>
      </c>
      <c r="AQ62" s="41" t="n">
        <f aca="false">('12_UTILITY'!AQ35)/'12_UTILITY'!AQ27*1000</f>
        <v>192.091771636025</v>
      </c>
      <c r="AR62" s="41" t="n">
        <f aca="false">('12_UTILITY'!AR35)/'12_UTILITY'!AR27*1000</f>
        <v>195.716144685761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606</v>
      </c>
      <c r="B1" s="17"/>
      <c r="C1" s="17"/>
      <c r="D1" s="17"/>
      <c r="E1" s="17"/>
      <c r="F1" s="17"/>
      <c r="G1" s="17"/>
      <c r="H1" s="17"/>
      <c r="I1" s="17"/>
      <c r="J1" s="17"/>
    </row>
    <row r="2" customFormat="false" ht="15" hidden="false" customHeight="true" outlineLevel="0" collapsed="false">
      <c r="A2" s="18" t="s">
        <v>607</v>
      </c>
      <c r="B2" s="17"/>
      <c r="C2" s="17"/>
      <c r="D2" s="17"/>
      <c r="E2" s="17"/>
      <c r="F2" s="17"/>
      <c r="G2" s="17"/>
      <c r="H2" s="17"/>
      <c r="I2" s="17"/>
      <c r="J2" s="17"/>
    </row>
    <row r="4" customFormat="false" ht="15" hidden="false" customHeight="true" outlineLevel="0" collapsed="false">
      <c r="A4" s="34" t="s">
        <v>608</v>
      </c>
      <c r="B4" s="34" t="s">
        <v>609</v>
      </c>
      <c r="C4" s="34" t="s">
        <v>610</v>
      </c>
      <c r="D4" s="34" t="s">
        <v>611</v>
      </c>
    </row>
    <row r="5" customFormat="false" ht="15" hidden="false" customHeight="true" outlineLevel="0" collapsed="false">
      <c r="A5" s="23" t="s">
        <v>612</v>
      </c>
      <c r="B5" s="47" t="s">
        <v>613</v>
      </c>
      <c r="C5" s="69" t="n">
        <f aca="false">IF(B5="READY",3,IF(B5="PARTIAL",2,IF(B5="GAP",1,IF(B5="CRITICAL GAP",0,""))))</f>
        <v>3</v>
      </c>
      <c r="D5" s="23" t="s">
        <v>614</v>
      </c>
    </row>
    <row r="6" customFormat="false" ht="15" hidden="false" customHeight="true" outlineLevel="0" collapsed="false">
      <c r="A6" s="23" t="s">
        <v>615</v>
      </c>
      <c r="B6" s="47" t="s">
        <v>616</v>
      </c>
      <c r="C6" s="69" t="n">
        <f aca="false">IF(B6="READY",3,IF(B6="PARTIAL",2,IF(B6="GAP",1,IF(B6="CRITICAL GAP",0,""))))</f>
        <v>2</v>
      </c>
      <c r="D6" s="23" t="s">
        <v>617</v>
      </c>
    </row>
    <row r="7" customFormat="false" ht="15" hidden="false" customHeight="true" outlineLevel="0" collapsed="false">
      <c r="A7" s="23" t="s">
        <v>618</v>
      </c>
      <c r="B7" s="47" t="s">
        <v>616</v>
      </c>
      <c r="C7" s="69" t="n">
        <f aca="false">IF(B7="READY",3,IF(B7="PARTIAL",2,IF(B7="GAP",1,IF(B7="CRITICAL GAP",0,""))))</f>
        <v>2</v>
      </c>
      <c r="D7" s="23" t="s">
        <v>619</v>
      </c>
    </row>
    <row r="8" customFormat="false" ht="15" hidden="false" customHeight="true" outlineLevel="0" collapsed="false">
      <c r="A8" s="23" t="s">
        <v>620</v>
      </c>
      <c r="B8" s="47" t="s">
        <v>616</v>
      </c>
      <c r="C8" s="69" t="n">
        <f aca="false">IF(B8="READY",3,IF(B8="PARTIAL",2,IF(B8="GAP",1,IF(B8="CRITICAL GAP",0,""))))</f>
        <v>2</v>
      </c>
      <c r="D8" s="23" t="s">
        <v>621</v>
      </c>
    </row>
    <row r="9" customFormat="false" ht="15" hidden="false" customHeight="true" outlineLevel="0" collapsed="false">
      <c r="A9" s="23" t="s">
        <v>622</v>
      </c>
      <c r="B9" s="47" t="s">
        <v>613</v>
      </c>
      <c r="C9" s="69" t="n">
        <f aca="false">IF(B9="READY",3,IF(B9="PARTIAL",2,IF(B9="GAP",1,IF(B9="CRITICAL GAP",0,""))))</f>
        <v>3</v>
      </c>
      <c r="D9" s="23"/>
    </row>
    <row r="10" customFormat="false" ht="15" hidden="false" customHeight="true" outlineLevel="0" collapsed="false">
      <c r="A10" s="23" t="s">
        <v>623</v>
      </c>
      <c r="B10" s="47" t="s">
        <v>616</v>
      </c>
      <c r="C10" s="69" t="n">
        <f aca="false">IF(B10="READY",3,IF(B10="PARTIAL",2,IF(B10="GAP",1,IF(B10="CRITICAL GAP",0,""))))</f>
        <v>2</v>
      </c>
      <c r="D10" s="23" t="s">
        <v>624</v>
      </c>
    </row>
    <row r="11" customFormat="false" ht="15" hidden="false" customHeight="true" outlineLevel="0" collapsed="false">
      <c r="A11" s="23" t="s">
        <v>625</v>
      </c>
      <c r="B11" s="47" t="s">
        <v>616</v>
      </c>
      <c r="C11" s="69" t="n">
        <f aca="false">IF(B11="READY",3,IF(B11="PARTIAL",2,IF(B11="GAP",1,IF(B11="CRITICAL GAP",0,""))))</f>
        <v>2</v>
      </c>
      <c r="D11" s="23" t="s">
        <v>626</v>
      </c>
    </row>
    <row r="12" customFormat="false" ht="15" hidden="false" customHeight="true" outlineLevel="0" collapsed="false">
      <c r="A12" s="23" t="s">
        <v>627</v>
      </c>
      <c r="B12" s="47" t="s">
        <v>628</v>
      </c>
      <c r="C12" s="69" t="n">
        <f aca="false">IF(B12="READY",3,IF(B12="PARTIAL",2,IF(B12="GAP",1,IF(B12="CRITICAL GAP",0,""))))</f>
        <v>1</v>
      </c>
      <c r="D12" s="23" t="s">
        <v>629</v>
      </c>
    </row>
    <row r="13" customFormat="false" ht="15" hidden="false" customHeight="true" outlineLevel="0" collapsed="false">
      <c r="A13" s="23" t="s">
        <v>630</v>
      </c>
      <c r="B13" s="47" t="s">
        <v>616</v>
      </c>
      <c r="C13" s="69" t="n">
        <f aca="false">IF(B13="READY",3,IF(B13="PARTIAL",2,IF(B13="GAP",1,IF(B13="CRITICAL GAP",0,""))))</f>
        <v>2</v>
      </c>
      <c r="D13" s="23"/>
    </row>
    <row r="14" customFormat="false" ht="15" hidden="false" customHeight="true" outlineLevel="0" collapsed="false">
      <c r="A14" s="23" t="s">
        <v>631</v>
      </c>
      <c r="B14" s="47" t="s">
        <v>616</v>
      </c>
      <c r="C14" s="69" t="n">
        <f aca="false">IF(B14="READY",3,IF(B14="PARTIAL",2,IF(B14="GAP",1,IF(B14="CRITICAL GAP",0,""))))</f>
        <v>2</v>
      </c>
      <c r="D14" s="23"/>
    </row>
    <row r="15" customFormat="false" ht="15" hidden="false" customHeight="true" outlineLevel="0" collapsed="false">
      <c r="A15" s="23" t="s">
        <v>632</v>
      </c>
      <c r="B15" s="47" t="s">
        <v>628</v>
      </c>
      <c r="C15" s="69" t="n">
        <f aca="false">IF(B15="READY",3,IF(B15="PARTIAL",2,IF(B15="GAP",1,IF(B15="CRITICAL GAP",0,""))))</f>
        <v>1</v>
      </c>
      <c r="D15" s="23" t="s">
        <v>633</v>
      </c>
    </row>
    <row r="16" customFormat="false" ht="15" hidden="false" customHeight="true" outlineLevel="0" collapsed="false">
      <c r="A16" s="23" t="s">
        <v>634</v>
      </c>
      <c r="B16" s="47" t="s">
        <v>616</v>
      </c>
      <c r="C16" s="69" t="n">
        <f aca="false">IF(B16="READY",3,IF(B16="PARTIAL",2,IF(B16="GAP",1,IF(B16="CRITICAL GAP",0,""))))</f>
        <v>2</v>
      </c>
      <c r="D16" s="23" t="s">
        <v>635</v>
      </c>
    </row>
    <row r="17" customFormat="false" ht="15" hidden="false" customHeight="true" outlineLevel="0" collapsed="false">
      <c r="A17" s="23" t="s">
        <v>636</v>
      </c>
      <c r="B17" s="47" t="s">
        <v>628</v>
      </c>
      <c r="C17" s="69" t="n">
        <f aca="false">IF(B17="READY",3,IF(B17="PARTIAL",2,IF(B17="GAP",1,IF(B17="CRITICAL GAP",0,""))))</f>
        <v>1</v>
      </c>
      <c r="D17" s="23" t="s">
        <v>637</v>
      </c>
    </row>
    <row r="18" customFormat="false" ht="15" hidden="false" customHeight="true" outlineLevel="0" collapsed="false">
      <c r="A18" s="23" t="s">
        <v>638</v>
      </c>
      <c r="B18" s="47" t="s">
        <v>628</v>
      </c>
      <c r="C18" s="69" t="n">
        <f aca="false">IF(B18="READY",3,IF(B18="PARTIAL",2,IF(B18="GAP",1,IF(B18="CRITICAL GAP",0,""))))</f>
        <v>1</v>
      </c>
      <c r="D18" s="23" t="s">
        <v>639</v>
      </c>
    </row>
    <row r="19" customFormat="false" ht="15" hidden="false" customHeight="true" outlineLevel="0" collapsed="false">
      <c r="A19" s="23" t="s">
        <v>640</v>
      </c>
      <c r="B19" s="47" t="s">
        <v>613</v>
      </c>
      <c r="C19" s="69" t="n">
        <f aca="false">IF(B19="READY",3,IF(B19="PARTIAL",2,IF(B19="GAP",1,IF(B19="CRITICAL GAP",0,""))))</f>
        <v>3</v>
      </c>
      <c r="D19" s="23" t="s">
        <v>641</v>
      </c>
    </row>
    <row r="20" customFormat="false" ht="15" hidden="false" customHeight="true" outlineLevel="0" collapsed="false">
      <c r="A20" s="23" t="s">
        <v>642</v>
      </c>
      <c r="B20" s="47" t="s">
        <v>616</v>
      </c>
      <c r="C20" s="69" t="n">
        <f aca="false">IF(B20="READY",3,IF(B20="PARTIAL",2,IF(B20="GAP",1,IF(B20="CRITICAL GAP",0,""))))</f>
        <v>2</v>
      </c>
      <c r="D20" s="23"/>
    </row>
    <row r="22" customFormat="false" ht="15" hidden="false" customHeight="true" outlineLevel="0" collapsed="false">
      <c r="A22" s="19" t="s">
        <v>643</v>
      </c>
      <c r="B22" s="23" t="s">
        <v>115</v>
      </c>
      <c r="C22" s="75" t="n">
        <f aca="false">COUNTIF(B5:B20,"CRITICAL GAP")</f>
        <v>0</v>
      </c>
    </row>
    <row r="23" customFormat="false" ht="15" hidden="false" customHeight="true" outlineLevel="0" collapsed="false">
      <c r="A23" s="19" t="s">
        <v>644</v>
      </c>
      <c r="B23" s="23" t="s">
        <v>115</v>
      </c>
      <c r="C23" s="75" t="n">
        <f aca="false">COUNTIF(B5:B20,"GAP")</f>
        <v>4</v>
      </c>
    </row>
    <row r="24" customFormat="false" ht="15" hidden="false" customHeight="true" outlineLevel="0" collapsed="false">
      <c r="A24" s="23" t="s">
        <v>645</v>
      </c>
      <c r="B24" s="23" t="s">
        <v>115</v>
      </c>
      <c r="C24" s="29" t="n">
        <f aca="false">COUNTIF(B5:B20,"PARTIAL")</f>
        <v>9</v>
      </c>
    </row>
    <row r="25" customFormat="false" ht="15" hidden="false" customHeight="true" outlineLevel="0" collapsed="false">
      <c r="A25" s="23" t="s">
        <v>646</v>
      </c>
      <c r="B25" s="23" t="s">
        <v>115</v>
      </c>
      <c r="C25" s="29" t="n">
        <f aca="false">COUNTIF(B5:B20,"READY")</f>
        <v>3</v>
      </c>
    </row>
    <row r="26" customFormat="false" ht="15" hidden="false" customHeight="true" outlineLevel="0" collapsed="false">
      <c r="A26" s="23" t="s">
        <v>647</v>
      </c>
      <c r="B26" s="23"/>
      <c r="C26" s="44" t="n">
        <f aca="false">AVERAGE(C5:C20)</f>
        <v>1.9375</v>
      </c>
    </row>
    <row r="28" customFormat="false" ht="15" hidden="false" customHeight="true" outlineLevel="0" collapsed="false">
      <c r="A28" s="21" t="s">
        <v>648</v>
      </c>
      <c r="B28" s="22"/>
      <c r="C28" s="22"/>
      <c r="D28" s="22"/>
      <c r="E28" s="22"/>
      <c r="F28" s="22"/>
      <c r="G28" s="22"/>
      <c r="H28" s="22"/>
      <c r="I28" s="22"/>
      <c r="J28" s="22"/>
    </row>
    <row r="29" customFormat="false" ht="15" hidden="false" customHeight="true" outlineLevel="0" collapsed="false">
      <c r="A29" s="23" t="s">
        <v>649</v>
      </c>
      <c r="B29" s="23" t="s">
        <v>74</v>
      </c>
      <c r="C29" s="24" t="n">
        <v>2</v>
      </c>
      <c r="D29" s="25" t="s">
        <v>650</v>
      </c>
    </row>
    <row r="30" customFormat="false" ht="15" hidden="false" customHeight="true" outlineLevel="0" collapsed="false">
      <c r="A30" s="23" t="s">
        <v>651</v>
      </c>
      <c r="B30" s="23" t="s">
        <v>74</v>
      </c>
      <c r="C30" s="24" t="n">
        <v>2</v>
      </c>
    </row>
    <row r="31" customFormat="false" ht="15" hidden="false" customHeight="true" outlineLevel="0" collapsed="false">
      <c r="A31" s="23" t="s">
        <v>652</v>
      </c>
      <c r="B31" s="23" t="s">
        <v>74</v>
      </c>
      <c r="C31" s="24" t="n">
        <v>3</v>
      </c>
    </row>
  </sheetData>
  <conditionalFormatting sqref="B5:B20">
    <cfRule type="cellIs" priority="2" operator="equal" aboveAverage="0" equalAverage="0" bottom="0" percent="0" rank="0" text="" dxfId="0">
      <formula>"READY"</formula>
    </cfRule>
    <cfRule type="cellIs" priority="3" operator="equal" aboveAverage="0" equalAverage="0" bottom="0" percent="0" rank="0" text="" dxfId="1">
      <formula>"PARTIAL"</formula>
    </cfRule>
    <cfRule type="cellIs" priority="4" operator="equal" aboveAverage="0" equalAverage="0" bottom="0" percent="0" rank="0" text="" dxfId="2">
      <formula>"GAP"</formula>
    </cfRule>
    <cfRule type="cellIs" priority="5" operator="equal" aboveAverage="0" equalAverage="0" bottom="0" percent="0" rank="0" text="" dxfId="3">
      <formula>"CRITICAL GAP"</formula>
    </cfRule>
  </conditionalFormatting>
  <dataValidations count="1">
    <dataValidation allowBlank="false" error="Enter one of the allowed values shown in the label." errorStyle="stop" errorTitle="Invalid input" operator="between" showDropDown="false" showErrorMessage="true" showInputMessage="false" sqref="B5:B20" type="list">
      <formula1>"READY,PARTIAL,GAP,CRITICAL GAP"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653</v>
      </c>
      <c r="B1" s="17"/>
      <c r="C1" s="17"/>
      <c r="D1" s="17"/>
      <c r="E1" s="17"/>
      <c r="F1" s="17"/>
      <c r="G1" s="17"/>
      <c r="H1" s="17"/>
      <c r="I1" s="17"/>
      <c r="J1" s="17"/>
    </row>
    <row r="2" customFormat="false" ht="15" hidden="false" customHeight="true" outlineLevel="0" collapsed="false">
      <c r="A2" s="18" t="s">
        <v>654</v>
      </c>
      <c r="B2" s="17"/>
      <c r="C2" s="17"/>
      <c r="D2" s="17"/>
      <c r="E2" s="17"/>
      <c r="F2" s="17"/>
      <c r="G2" s="17"/>
      <c r="H2" s="17"/>
      <c r="I2" s="17"/>
      <c r="J2" s="17"/>
    </row>
    <row r="4" customFormat="false" ht="15" hidden="false" customHeight="true" outlineLevel="0" collapsed="false">
      <c r="A4" s="21" t="s">
        <v>655</v>
      </c>
      <c r="B4" s="22"/>
      <c r="C4" s="22"/>
      <c r="D4" s="22"/>
      <c r="E4" s="22"/>
      <c r="F4" s="22"/>
      <c r="G4" s="22"/>
      <c r="H4" s="22"/>
      <c r="I4" s="22"/>
      <c r="J4" s="22"/>
    </row>
    <row r="5" customFormat="false" ht="15" hidden="false" customHeight="true" outlineLevel="0" collapsed="false">
      <c r="A5" s="23" t="s">
        <v>656</v>
      </c>
      <c r="B5" s="23" t="s">
        <v>657</v>
      </c>
      <c r="C5" s="73" t="n">
        <v>0</v>
      </c>
      <c r="D5" s="25" t="s">
        <v>658</v>
      </c>
    </row>
    <row r="6" customFormat="false" ht="15" hidden="false" customHeight="true" outlineLevel="0" collapsed="false">
      <c r="A6" s="23" t="s">
        <v>659</v>
      </c>
      <c r="B6" s="23" t="s">
        <v>660</v>
      </c>
      <c r="C6" s="73" t="n">
        <v>112</v>
      </c>
      <c r="D6" s="25" t="s">
        <v>661</v>
      </c>
    </row>
    <row r="7" customFormat="false" ht="15" hidden="false" customHeight="true" outlineLevel="0" collapsed="false">
      <c r="A7" s="23" t="s">
        <v>662</v>
      </c>
      <c r="B7" s="23" t="s">
        <v>93</v>
      </c>
      <c r="C7" s="27" t="n">
        <v>0.5</v>
      </c>
      <c r="D7" s="25" t="s">
        <v>663</v>
      </c>
    </row>
    <row r="8" customFormat="false" ht="15" hidden="false" customHeight="true" outlineLevel="0" collapsed="false">
      <c r="A8" s="23" t="s">
        <v>664</v>
      </c>
      <c r="B8" s="23" t="s">
        <v>93</v>
      </c>
      <c r="C8" s="27" t="n">
        <v>0.5</v>
      </c>
      <c r="D8" s="25" t="s">
        <v>159</v>
      </c>
    </row>
    <row r="9" customFormat="false" ht="15" hidden="false" customHeight="true" outlineLevel="0" collapsed="false">
      <c r="A9" s="23" t="s">
        <v>665</v>
      </c>
      <c r="B9" s="23" t="s">
        <v>93</v>
      </c>
      <c r="C9" s="39" t="n">
        <v>0</v>
      </c>
      <c r="D9" s="25" t="s">
        <v>666</v>
      </c>
    </row>
    <row r="10" customFormat="false" ht="15" hidden="false" customHeight="true" outlineLevel="0" collapsed="false">
      <c r="A10" s="21" t="s">
        <v>667</v>
      </c>
      <c r="B10" s="22"/>
      <c r="C10" s="22"/>
      <c r="D10" s="22"/>
      <c r="E10" s="22"/>
      <c r="F10" s="22"/>
      <c r="G10" s="22"/>
      <c r="H10" s="22"/>
      <c r="I10" s="22"/>
      <c r="J10" s="22"/>
    </row>
    <row r="11" customFormat="false" ht="15" hidden="false" customHeight="true" outlineLevel="0" collapsed="false">
      <c r="A11" s="23" t="s">
        <v>668</v>
      </c>
      <c r="B11" s="23" t="s">
        <v>90</v>
      </c>
      <c r="C11" s="24" t="n">
        <v>1</v>
      </c>
      <c r="D11" s="25" t="s">
        <v>669</v>
      </c>
    </row>
    <row r="12" customFormat="false" ht="15" hidden="false" customHeight="true" outlineLevel="0" collapsed="false">
      <c r="A12" s="23" t="s">
        <v>670</v>
      </c>
      <c r="B12" s="23" t="s">
        <v>93</v>
      </c>
      <c r="C12" s="27" t="n">
        <v>0</v>
      </c>
      <c r="D12" s="25" t="s">
        <v>671</v>
      </c>
    </row>
    <row r="13" customFormat="false" ht="15" hidden="false" customHeight="true" outlineLevel="0" collapsed="false">
      <c r="A13" s="23" t="s">
        <v>672</v>
      </c>
      <c r="B13" s="23" t="s">
        <v>119</v>
      </c>
      <c r="C13" s="36" t="n">
        <v>1</v>
      </c>
      <c r="D13" s="25" t="s">
        <v>673</v>
      </c>
    </row>
    <row r="14" customFormat="false" ht="15" hidden="false" customHeight="true" outlineLevel="0" collapsed="false">
      <c r="A14" s="23" t="s">
        <v>674</v>
      </c>
      <c r="B14" s="23" t="s">
        <v>93</v>
      </c>
      <c r="C14" s="27" t="n">
        <v>0.15</v>
      </c>
      <c r="D14" s="25" t="s">
        <v>675</v>
      </c>
    </row>
    <row r="15" customFormat="false" ht="15" hidden="false" customHeight="true" outlineLevel="0" collapsed="false">
      <c r="A15" s="21" t="s">
        <v>676</v>
      </c>
      <c r="B15" s="22"/>
      <c r="C15" s="22"/>
      <c r="D15" s="22"/>
      <c r="E15" s="22"/>
      <c r="F15" s="22"/>
      <c r="G15" s="22"/>
      <c r="H15" s="22"/>
      <c r="I15" s="22"/>
      <c r="J15" s="22"/>
    </row>
    <row r="16" customFormat="false" ht="15" hidden="false" customHeight="true" outlineLevel="0" collapsed="false">
      <c r="A16" s="23" t="s">
        <v>677</v>
      </c>
      <c r="C16" s="80" t="s">
        <v>678</v>
      </c>
    </row>
    <row r="17" customFormat="false" ht="15" hidden="false" customHeight="true" outlineLevel="0" collapsed="false">
      <c r="A17" s="23" t="s">
        <v>679</v>
      </c>
      <c r="C17" s="80" t="s">
        <v>680</v>
      </c>
    </row>
    <row r="18" customFormat="false" ht="15" hidden="false" customHeight="true" outlineLevel="0" collapsed="false">
      <c r="A18" s="23" t="s">
        <v>681</v>
      </c>
      <c r="C18" s="80" t="s">
        <v>682</v>
      </c>
    </row>
    <row r="19" customFormat="false" ht="15" hidden="false" customHeight="true" outlineLevel="0" collapsed="false">
      <c r="A19" s="23" t="s">
        <v>683</v>
      </c>
      <c r="C19" s="80" t="s">
        <v>684</v>
      </c>
    </row>
    <row r="20" customFormat="false" ht="15" hidden="false" customHeight="true" outlineLevel="0" collapsed="false">
      <c r="A20" s="23" t="s">
        <v>685</v>
      </c>
      <c r="C20" s="80" t="s">
        <v>686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AR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687</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3" t="s">
        <v>688</v>
      </c>
      <c r="B6" s="23" t="s">
        <v>119</v>
      </c>
      <c r="E6" s="63" t="n">
        <f aca="false">(1-'14_PPA'!$C$9)+'14_PPA'!$C$9*'06_CONSTRUCTION'!E18/'06_CONSTRUCTION'!E20/'06_CONSTRUCTION'!E17</f>
        <v>1</v>
      </c>
      <c r="F6" s="63" t="n">
        <f aca="false">(1-'14_PPA'!$C$9)+'14_PPA'!$C$9*'06_CONSTRUCTION'!F18/'06_CONSTRUCTION'!F20/'06_CONSTRUCTION'!F17</f>
        <v>1</v>
      </c>
      <c r="G6" s="63" t="n">
        <f aca="false">(1-'14_PPA'!$C$9)+'14_PPA'!$C$9*'06_CONSTRUCTION'!G18/'06_CONSTRUCTION'!G20/'06_CONSTRUCTION'!G17</f>
        <v>1</v>
      </c>
      <c r="H6" s="63" t="n">
        <f aca="false">(1-'14_PPA'!$C$9)+'14_PPA'!$C$9*'06_CONSTRUCTION'!H18/'06_CONSTRUCTION'!H20/'06_CONSTRUCTION'!H17</f>
        <v>1</v>
      </c>
      <c r="I6" s="63" t="n">
        <f aca="false">(1-'14_PPA'!$C$9)+'14_PPA'!$C$9*'06_CONSTRUCTION'!I18/'06_CONSTRUCTION'!I20/'06_CONSTRUCTION'!I17</f>
        <v>1</v>
      </c>
      <c r="J6" s="63" t="n">
        <f aca="false">(1-'14_PPA'!$C$9)+'14_PPA'!$C$9*'06_CONSTRUCTION'!J18/'06_CONSTRUCTION'!J20/'06_CONSTRUCTION'!J17</f>
        <v>1</v>
      </c>
      <c r="K6" s="63" t="n">
        <f aca="false">(1-'14_PPA'!$C$9)+'14_PPA'!$C$9*'06_CONSTRUCTION'!K18/'06_CONSTRUCTION'!K20/'06_CONSTRUCTION'!K17</f>
        <v>1</v>
      </c>
      <c r="L6" s="63" t="n">
        <f aca="false">(1-'14_PPA'!$C$9)+'14_PPA'!$C$9*'06_CONSTRUCTION'!L18/'06_CONSTRUCTION'!L20/'06_CONSTRUCTION'!L17</f>
        <v>1</v>
      </c>
      <c r="M6" s="63" t="n">
        <f aca="false">(1-'14_PPA'!$C$9)+'14_PPA'!$C$9*'06_CONSTRUCTION'!M18/'06_CONSTRUCTION'!M20/'06_CONSTRUCTION'!M17</f>
        <v>1</v>
      </c>
      <c r="N6" s="63" t="n">
        <f aca="false">(1-'14_PPA'!$C$9)+'14_PPA'!$C$9*'06_CONSTRUCTION'!N18/'06_CONSTRUCTION'!N20/'06_CONSTRUCTION'!N17</f>
        <v>1</v>
      </c>
      <c r="O6" s="63" t="n">
        <f aca="false">(1-'14_PPA'!$C$9)+'14_PPA'!$C$9*'06_CONSTRUCTION'!O18/'06_CONSTRUCTION'!O20/'06_CONSTRUCTION'!O17</f>
        <v>1</v>
      </c>
      <c r="P6" s="63" t="n">
        <f aca="false">(1-'14_PPA'!$C$9)+'14_PPA'!$C$9*'06_CONSTRUCTION'!P18/'06_CONSTRUCTION'!P20/'06_CONSTRUCTION'!P17</f>
        <v>1</v>
      </c>
      <c r="Q6" s="63" t="n">
        <f aca="false">(1-'14_PPA'!$C$9)+'14_PPA'!$C$9*'06_CONSTRUCTION'!Q18/'06_CONSTRUCTION'!Q20/'06_CONSTRUCTION'!Q17</f>
        <v>1</v>
      </c>
      <c r="R6" s="63" t="n">
        <f aca="false">(1-'14_PPA'!$C$9)+'14_PPA'!$C$9*'06_CONSTRUCTION'!R18/'06_CONSTRUCTION'!R20/'06_CONSTRUCTION'!R17</f>
        <v>1</v>
      </c>
      <c r="S6" s="63" t="n">
        <f aca="false">(1-'14_PPA'!$C$9)+'14_PPA'!$C$9*'06_CONSTRUCTION'!S18/'06_CONSTRUCTION'!S20/'06_CONSTRUCTION'!S17</f>
        <v>1</v>
      </c>
      <c r="T6" s="63" t="n">
        <f aca="false">(1-'14_PPA'!$C$9)+'14_PPA'!$C$9*'06_CONSTRUCTION'!T18/'06_CONSTRUCTION'!T20/'06_CONSTRUCTION'!T17</f>
        <v>1</v>
      </c>
      <c r="U6" s="63" t="n">
        <f aca="false">(1-'14_PPA'!$C$9)+'14_PPA'!$C$9*'06_CONSTRUCTION'!U18/'06_CONSTRUCTION'!U20/'06_CONSTRUCTION'!U17</f>
        <v>1</v>
      </c>
      <c r="V6" s="63" t="n">
        <f aca="false">(1-'14_PPA'!$C$9)+'14_PPA'!$C$9*'06_CONSTRUCTION'!V18/'06_CONSTRUCTION'!V20/'06_CONSTRUCTION'!V17</f>
        <v>1</v>
      </c>
      <c r="W6" s="63" t="n">
        <f aca="false">(1-'14_PPA'!$C$9)+'14_PPA'!$C$9*'06_CONSTRUCTION'!W18/'06_CONSTRUCTION'!W20/'06_CONSTRUCTION'!W17</f>
        <v>1</v>
      </c>
      <c r="X6" s="63" t="n">
        <f aca="false">(1-'14_PPA'!$C$9)+'14_PPA'!$C$9*'06_CONSTRUCTION'!X18/'06_CONSTRUCTION'!X20/'06_CONSTRUCTION'!X17</f>
        <v>1</v>
      </c>
      <c r="Y6" s="63" t="n">
        <f aca="false">(1-'14_PPA'!$C$9)+'14_PPA'!$C$9*'06_CONSTRUCTION'!Y18/'06_CONSTRUCTION'!Y20/'06_CONSTRUCTION'!Y17</f>
        <v>1</v>
      </c>
      <c r="Z6" s="63" t="n">
        <f aca="false">(1-'14_PPA'!$C$9)+'14_PPA'!$C$9*'06_CONSTRUCTION'!Z18/'06_CONSTRUCTION'!Z20/'06_CONSTRUCTION'!Z17</f>
        <v>1</v>
      </c>
      <c r="AA6" s="63" t="n">
        <f aca="false">(1-'14_PPA'!$C$9)+'14_PPA'!$C$9*'06_CONSTRUCTION'!AA18/'06_CONSTRUCTION'!AA20/'06_CONSTRUCTION'!AA17</f>
        <v>1</v>
      </c>
      <c r="AB6" s="63" t="n">
        <f aca="false">(1-'14_PPA'!$C$9)+'14_PPA'!$C$9*'06_CONSTRUCTION'!AB18/'06_CONSTRUCTION'!AB20/'06_CONSTRUCTION'!AB17</f>
        <v>1</v>
      </c>
      <c r="AC6" s="63" t="n">
        <f aca="false">(1-'14_PPA'!$C$9)+'14_PPA'!$C$9*'06_CONSTRUCTION'!AC18/'06_CONSTRUCTION'!AC20/'06_CONSTRUCTION'!AC17</f>
        <v>1</v>
      </c>
      <c r="AD6" s="63" t="n">
        <f aca="false">(1-'14_PPA'!$C$9)+'14_PPA'!$C$9*'06_CONSTRUCTION'!AD18/'06_CONSTRUCTION'!AD20/'06_CONSTRUCTION'!AD17</f>
        <v>1</v>
      </c>
      <c r="AE6" s="63" t="n">
        <f aca="false">(1-'14_PPA'!$C$9)+'14_PPA'!$C$9*'06_CONSTRUCTION'!AE18/'06_CONSTRUCTION'!AE20/'06_CONSTRUCTION'!AE17</f>
        <v>1</v>
      </c>
      <c r="AF6" s="63" t="n">
        <f aca="false">(1-'14_PPA'!$C$9)+'14_PPA'!$C$9*'06_CONSTRUCTION'!AF18/'06_CONSTRUCTION'!AF20/'06_CONSTRUCTION'!AF17</f>
        <v>1</v>
      </c>
      <c r="AG6" s="63" t="n">
        <f aca="false">(1-'14_PPA'!$C$9)+'14_PPA'!$C$9*'06_CONSTRUCTION'!AG18/'06_CONSTRUCTION'!AG20/'06_CONSTRUCTION'!AG17</f>
        <v>1</v>
      </c>
      <c r="AH6" s="63" t="n">
        <f aca="false">(1-'14_PPA'!$C$9)+'14_PPA'!$C$9*'06_CONSTRUCTION'!AH18/'06_CONSTRUCTION'!AH20/'06_CONSTRUCTION'!AH17</f>
        <v>1</v>
      </c>
      <c r="AI6" s="63" t="n">
        <f aca="false">(1-'14_PPA'!$C$9)+'14_PPA'!$C$9*'06_CONSTRUCTION'!AI18/'06_CONSTRUCTION'!AI20/'06_CONSTRUCTION'!AI17</f>
        <v>1</v>
      </c>
      <c r="AJ6" s="63" t="n">
        <f aca="false">(1-'14_PPA'!$C$9)+'14_PPA'!$C$9*'06_CONSTRUCTION'!AJ18/'06_CONSTRUCTION'!AJ20/'06_CONSTRUCTION'!AJ17</f>
        <v>1</v>
      </c>
      <c r="AK6" s="63" t="n">
        <f aca="false">(1-'14_PPA'!$C$9)+'14_PPA'!$C$9*'06_CONSTRUCTION'!AK18/'06_CONSTRUCTION'!AK20/'06_CONSTRUCTION'!AK17</f>
        <v>1</v>
      </c>
      <c r="AL6" s="63" t="n">
        <f aca="false">(1-'14_PPA'!$C$9)+'14_PPA'!$C$9*'06_CONSTRUCTION'!AL18/'06_CONSTRUCTION'!AL20/'06_CONSTRUCTION'!AL17</f>
        <v>1</v>
      </c>
      <c r="AM6" s="63" t="n">
        <f aca="false">(1-'14_PPA'!$C$9)+'14_PPA'!$C$9*'06_CONSTRUCTION'!AM18/'06_CONSTRUCTION'!AM20/'06_CONSTRUCTION'!AM17</f>
        <v>1</v>
      </c>
      <c r="AN6" s="63" t="n">
        <f aca="false">(1-'14_PPA'!$C$9)+'14_PPA'!$C$9*'06_CONSTRUCTION'!AN18/'06_CONSTRUCTION'!AN20/'06_CONSTRUCTION'!AN17</f>
        <v>1</v>
      </c>
      <c r="AO6" s="63" t="n">
        <f aca="false">(1-'14_PPA'!$C$9)+'14_PPA'!$C$9*'06_CONSTRUCTION'!AO18/'06_CONSTRUCTION'!AO20/'06_CONSTRUCTION'!AO17</f>
        <v>1</v>
      </c>
      <c r="AP6" s="63" t="n">
        <f aca="false">(1-'14_PPA'!$C$9)+'14_PPA'!$C$9*'06_CONSTRUCTION'!AP18/'06_CONSTRUCTION'!AP20/'06_CONSTRUCTION'!AP17</f>
        <v>1</v>
      </c>
      <c r="AQ6" s="63" t="n">
        <f aca="false">(1-'14_PPA'!$C$9)+'14_PPA'!$C$9*'06_CONSTRUCTION'!AQ18/'06_CONSTRUCTION'!AQ20/'06_CONSTRUCTION'!AQ17</f>
        <v>1</v>
      </c>
      <c r="AR6" s="63" t="n">
        <f aca="false">(1-'14_PPA'!$C$9)+'14_PPA'!$C$9*'06_CONSTRUCTION'!AR18/'06_CONSTRUCTION'!AR20/'06_CONSTRUCTION'!AR17</f>
        <v>1</v>
      </c>
    </row>
    <row r="7" customFormat="false" ht="15" hidden="false" customHeight="true" outlineLevel="0" collapsed="false">
      <c r="A7" s="23" t="s">
        <v>689</v>
      </c>
      <c r="B7" s="23" t="s">
        <v>690</v>
      </c>
      <c r="E7" s="41" t="n">
        <f aca="false">'14_PPA'!$C$5*((1-'14_PPA'!$C$7)+'14_PPA'!$C$7*'06_CONSTRUCTION'!E17)*'15_TARIFF'!E6*'27_SCENARIOS'!$C$40</f>
        <v>0</v>
      </c>
      <c r="F7" s="41" t="n">
        <f aca="false">'14_PPA'!$C$5*((1-'14_PPA'!$C$7)+'14_PPA'!$C$7*'06_CONSTRUCTION'!F17)*'15_TARIFF'!F6*'27_SCENARIOS'!$C$40</f>
        <v>0</v>
      </c>
      <c r="G7" s="41" t="n">
        <f aca="false">'14_PPA'!$C$5*((1-'14_PPA'!$C$7)+'14_PPA'!$C$7*'06_CONSTRUCTION'!G17)*'15_TARIFF'!G6*'27_SCENARIOS'!$C$40</f>
        <v>0</v>
      </c>
      <c r="H7" s="41" t="n">
        <f aca="false">'14_PPA'!$C$5*((1-'14_PPA'!$C$7)+'14_PPA'!$C$7*'06_CONSTRUCTION'!H17)*'15_TARIFF'!H6*'27_SCENARIOS'!$C$40</f>
        <v>0</v>
      </c>
      <c r="I7" s="41" t="n">
        <f aca="false">'14_PPA'!$C$5*((1-'14_PPA'!$C$7)+'14_PPA'!$C$7*'06_CONSTRUCTION'!I17)*'15_TARIFF'!I6*'27_SCENARIOS'!$C$40</f>
        <v>0</v>
      </c>
      <c r="J7" s="41" t="n">
        <f aca="false">'14_PPA'!$C$5*((1-'14_PPA'!$C$7)+'14_PPA'!$C$7*'06_CONSTRUCTION'!J17)*'15_TARIFF'!J6*'27_SCENARIOS'!$C$40</f>
        <v>0</v>
      </c>
      <c r="K7" s="41" t="n">
        <f aca="false">'14_PPA'!$C$5*((1-'14_PPA'!$C$7)+'14_PPA'!$C$7*'06_CONSTRUCTION'!K17)*'15_TARIFF'!K6*'27_SCENARIOS'!$C$40</f>
        <v>0</v>
      </c>
      <c r="L7" s="41" t="n">
        <f aca="false">'14_PPA'!$C$5*((1-'14_PPA'!$C$7)+'14_PPA'!$C$7*'06_CONSTRUCTION'!L17)*'15_TARIFF'!L6*'27_SCENARIOS'!$C$40</f>
        <v>0</v>
      </c>
      <c r="M7" s="41" t="n">
        <f aca="false">'14_PPA'!$C$5*((1-'14_PPA'!$C$7)+'14_PPA'!$C$7*'06_CONSTRUCTION'!M17)*'15_TARIFF'!M6*'27_SCENARIOS'!$C$40</f>
        <v>0</v>
      </c>
      <c r="N7" s="41" t="n">
        <f aca="false">'14_PPA'!$C$5*((1-'14_PPA'!$C$7)+'14_PPA'!$C$7*'06_CONSTRUCTION'!N17)*'15_TARIFF'!N6*'27_SCENARIOS'!$C$40</f>
        <v>0</v>
      </c>
      <c r="O7" s="41" t="n">
        <f aca="false">'14_PPA'!$C$5*((1-'14_PPA'!$C$7)+'14_PPA'!$C$7*'06_CONSTRUCTION'!O17)*'15_TARIFF'!O6*'27_SCENARIOS'!$C$40</f>
        <v>0</v>
      </c>
      <c r="P7" s="41" t="n">
        <f aca="false">'14_PPA'!$C$5*((1-'14_PPA'!$C$7)+'14_PPA'!$C$7*'06_CONSTRUCTION'!P17)*'15_TARIFF'!P6*'27_SCENARIOS'!$C$40</f>
        <v>0</v>
      </c>
      <c r="Q7" s="41" t="n">
        <f aca="false">'14_PPA'!$C$5*((1-'14_PPA'!$C$7)+'14_PPA'!$C$7*'06_CONSTRUCTION'!Q17)*'15_TARIFF'!Q6*'27_SCENARIOS'!$C$40</f>
        <v>0</v>
      </c>
      <c r="R7" s="41" t="n">
        <f aca="false">'14_PPA'!$C$5*((1-'14_PPA'!$C$7)+'14_PPA'!$C$7*'06_CONSTRUCTION'!R17)*'15_TARIFF'!R6*'27_SCENARIOS'!$C$40</f>
        <v>0</v>
      </c>
      <c r="S7" s="41" t="n">
        <f aca="false">'14_PPA'!$C$5*((1-'14_PPA'!$C$7)+'14_PPA'!$C$7*'06_CONSTRUCTION'!S17)*'15_TARIFF'!S6*'27_SCENARIOS'!$C$40</f>
        <v>0</v>
      </c>
      <c r="T7" s="41" t="n">
        <f aca="false">'14_PPA'!$C$5*((1-'14_PPA'!$C$7)+'14_PPA'!$C$7*'06_CONSTRUCTION'!T17)*'15_TARIFF'!T6*'27_SCENARIOS'!$C$40</f>
        <v>0</v>
      </c>
      <c r="U7" s="41" t="n">
        <f aca="false">'14_PPA'!$C$5*((1-'14_PPA'!$C$7)+'14_PPA'!$C$7*'06_CONSTRUCTION'!U17)*'15_TARIFF'!U6*'27_SCENARIOS'!$C$40</f>
        <v>0</v>
      </c>
      <c r="V7" s="41" t="n">
        <f aca="false">'14_PPA'!$C$5*((1-'14_PPA'!$C$7)+'14_PPA'!$C$7*'06_CONSTRUCTION'!V17)*'15_TARIFF'!V6*'27_SCENARIOS'!$C$40</f>
        <v>0</v>
      </c>
      <c r="W7" s="41" t="n">
        <f aca="false">'14_PPA'!$C$5*((1-'14_PPA'!$C$7)+'14_PPA'!$C$7*'06_CONSTRUCTION'!W17)*'15_TARIFF'!W6*'27_SCENARIOS'!$C$40</f>
        <v>0</v>
      </c>
      <c r="X7" s="41" t="n">
        <f aca="false">'14_PPA'!$C$5*((1-'14_PPA'!$C$7)+'14_PPA'!$C$7*'06_CONSTRUCTION'!X17)*'15_TARIFF'!X6*'27_SCENARIOS'!$C$40</f>
        <v>0</v>
      </c>
      <c r="Y7" s="41" t="n">
        <f aca="false">'14_PPA'!$C$5*((1-'14_PPA'!$C$7)+'14_PPA'!$C$7*'06_CONSTRUCTION'!Y17)*'15_TARIFF'!Y6*'27_SCENARIOS'!$C$40</f>
        <v>0</v>
      </c>
      <c r="Z7" s="41" t="n">
        <f aca="false">'14_PPA'!$C$5*((1-'14_PPA'!$C$7)+'14_PPA'!$C$7*'06_CONSTRUCTION'!Z17)*'15_TARIFF'!Z6*'27_SCENARIOS'!$C$40</f>
        <v>0</v>
      </c>
      <c r="AA7" s="41" t="n">
        <f aca="false">'14_PPA'!$C$5*((1-'14_PPA'!$C$7)+'14_PPA'!$C$7*'06_CONSTRUCTION'!AA17)*'15_TARIFF'!AA6*'27_SCENARIOS'!$C$40</f>
        <v>0</v>
      </c>
      <c r="AB7" s="41" t="n">
        <f aca="false">'14_PPA'!$C$5*((1-'14_PPA'!$C$7)+'14_PPA'!$C$7*'06_CONSTRUCTION'!AB17)*'15_TARIFF'!AB6*'27_SCENARIOS'!$C$40</f>
        <v>0</v>
      </c>
      <c r="AC7" s="41" t="n">
        <f aca="false">'14_PPA'!$C$5*((1-'14_PPA'!$C$7)+'14_PPA'!$C$7*'06_CONSTRUCTION'!AC17)*'15_TARIFF'!AC6*'27_SCENARIOS'!$C$40</f>
        <v>0</v>
      </c>
      <c r="AD7" s="41" t="n">
        <f aca="false">'14_PPA'!$C$5*((1-'14_PPA'!$C$7)+'14_PPA'!$C$7*'06_CONSTRUCTION'!AD17)*'15_TARIFF'!AD6*'27_SCENARIOS'!$C$40</f>
        <v>0</v>
      </c>
      <c r="AE7" s="41" t="n">
        <f aca="false">'14_PPA'!$C$5*((1-'14_PPA'!$C$7)+'14_PPA'!$C$7*'06_CONSTRUCTION'!AE17)*'15_TARIFF'!AE6*'27_SCENARIOS'!$C$40</f>
        <v>0</v>
      </c>
      <c r="AF7" s="41" t="n">
        <f aca="false">'14_PPA'!$C$5*((1-'14_PPA'!$C$7)+'14_PPA'!$C$7*'06_CONSTRUCTION'!AF17)*'15_TARIFF'!AF6*'27_SCENARIOS'!$C$40</f>
        <v>0</v>
      </c>
      <c r="AG7" s="41" t="n">
        <f aca="false">'14_PPA'!$C$5*((1-'14_PPA'!$C$7)+'14_PPA'!$C$7*'06_CONSTRUCTION'!AG17)*'15_TARIFF'!AG6*'27_SCENARIOS'!$C$40</f>
        <v>0</v>
      </c>
      <c r="AH7" s="41" t="n">
        <f aca="false">'14_PPA'!$C$5*((1-'14_PPA'!$C$7)+'14_PPA'!$C$7*'06_CONSTRUCTION'!AH17)*'15_TARIFF'!AH6*'27_SCENARIOS'!$C$40</f>
        <v>0</v>
      </c>
      <c r="AI7" s="41" t="n">
        <f aca="false">'14_PPA'!$C$5*((1-'14_PPA'!$C$7)+'14_PPA'!$C$7*'06_CONSTRUCTION'!AI17)*'15_TARIFF'!AI6*'27_SCENARIOS'!$C$40</f>
        <v>0</v>
      </c>
      <c r="AJ7" s="41" t="n">
        <f aca="false">'14_PPA'!$C$5*((1-'14_PPA'!$C$7)+'14_PPA'!$C$7*'06_CONSTRUCTION'!AJ17)*'15_TARIFF'!AJ6*'27_SCENARIOS'!$C$40</f>
        <v>0</v>
      </c>
      <c r="AK7" s="41" t="n">
        <f aca="false">'14_PPA'!$C$5*((1-'14_PPA'!$C$7)+'14_PPA'!$C$7*'06_CONSTRUCTION'!AK17)*'15_TARIFF'!AK6*'27_SCENARIOS'!$C$40</f>
        <v>0</v>
      </c>
      <c r="AL7" s="41" t="n">
        <f aca="false">'14_PPA'!$C$5*((1-'14_PPA'!$C$7)+'14_PPA'!$C$7*'06_CONSTRUCTION'!AL17)*'15_TARIFF'!AL6*'27_SCENARIOS'!$C$40</f>
        <v>0</v>
      </c>
      <c r="AM7" s="41" t="n">
        <f aca="false">'14_PPA'!$C$5*((1-'14_PPA'!$C$7)+'14_PPA'!$C$7*'06_CONSTRUCTION'!AM17)*'15_TARIFF'!AM6*'27_SCENARIOS'!$C$40</f>
        <v>0</v>
      </c>
      <c r="AN7" s="41" t="n">
        <f aca="false">'14_PPA'!$C$5*((1-'14_PPA'!$C$7)+'14_PPA'!$C$7*'06_CONSTRUCTION'!AN17)*'15_TARIFF'!AN6*'27_SCENARIOS'!$C$40</f>
        <v>0</v>
      </c>
      <c r="AO7" s="41" t="n">
        <f aca="false">'14_PPA'!$C$5*((1-'14_PPA'!$C$7)+'14_PPA'!$C$7*'06_CONSTRUCTION'!AO17)*'15_TARIFF'!AO6*'27_SCENARIOS'!$C$40</f>
        <v>0</v>
      </c>
      <c r="AP7" s="41" t="n">
        <f aca="false">'14_PPA'!$C$5*((1-'14_PPA'!$C$7)+'14_PPA'!$C$7*'06_CONSTRUCTION'!AP17)*'15_TARIFF'!AP6*'27_SCENARIOS'!$C$40</f>
        <v>0</v>
      </c>
      <c r="AQ7" s="41" t="n">
        <f aca="false">'14_PPA'!$C$5*((1-'14_PPA'!$C$7)+'14_PPA'!$C$7*'06_CONSTRUCTION'!AQ17)*'15_TARIFF'!AQ6*'27_SCENARIOS'!$C$40</f>
        <v>0</v>
      </c>
      <c r="AR7" s="41" t="n">
        <f aca="false">'14_PPA'!$C$5*((1-'14_PPA'!$C$7)+'14_PPA'!$C$7*'06_CONSTRUCTION'!AR17)*'15_TARIFF'!AR6*'27_SCENARIOS'!$C$40</f>
        <v>0</v>
      </c>
    </row>
    <row r="8" customFormat="false" ht="15" hidden="false" customHeight="true" outlineLevel="0" collapsed="false">
      <c r="A8" s="23" t="s">
        <v>691</v>
      </c>
      <c r="B8" s="23" t="s">
        <v>448</v>
      </c>
      <c r="E8" s="41" t="n">
        <f aca="false">'14_PPA'!$C$6*((1-'14_PPA'!$C$8)+'14_PPA'!$C$8*'06_CONSTRUCTION'!E17)*'15_TARIFF'!E6*'27_SCENARIOS'!$C$40</f>
        <v>113.12</v>
      </c>
      <c r="F8" s="41" t="n">
        <f aca="false">'14_PPA'!$C$6*((1-'14_PPA'!$C$8)+'14_PPA'!$C$8*'06_CONSTRUCTION'!F17)*'15_TARIFF'!F6*'27_SCENARIOS'!$C$40</f>
        <v>114.2624</v>
      </c>
      <c r="G8" s="41" t="n">
        <f aca="false">'14_PPA'!$C$6*((1-'14_PPA'!$C$8)+'14_PPA'!$C$8*'06_CONSTRUCTION'!G17)*'15_TARIFF'!G6*'27_SCENARIOS'!$C$40</f>
        <v>115.427648</v>
      </c>
      <c r="H8" s="41" t="n">
        <f aca="false">'14_PPA'!$C$6*((1-'14_PPA'!$C$8)+'14_PPA'!$C$8*'06_CONSTRUCTION'!H17)*'15_TARIFF'!H6*'27_SCENARIOS'!$C$40</f>
        <v>116.61620096</v>
      </c>
      <c r="I8" s="41" t="n">
        <f aca="false">'14_PPA'!$C$6*((1-'14_PPA'!$C$8)+'14_PPA'!$C$8*'06_CONSTRUCTION'!I17)*'15_TARIFF'!I6*'27_SCENARIOS'!$C$40</f>
        <v>117.8285249792</v>
      </c>
      <c r="J8" s="41" t="n">
        <f aca="false">'14_PPA'!$C$6*((1-'14_PPA'!$C$8)+'14_PPA'!$C$8*'06_CONSTRUCTION'!J17)*'15_TARIFF'!J6*'27_SCENARIOS'!$C$40</f>
        <v>119.065095478784</v>
      </c>
      <c r="K8" s="41" t="n">
        <f aca="false">'14_PPA'!$C$6*((1-'14_PPA'!$C$8)+'14_PPA'!$C$8*'06_CONSTRUCTION'!K17)*'15_TARIFF'!K6*'27_SCENARIOS'!$C$40</f>
        <v>120.32639738836</v>
      </c>
      <c r="L8" s="41" t="n">
        <f aca="false">'14_PPA'!$C$6*((1-'14_PPA'!$C$8)+'14_PPA'!$C$8*'06_CONSTRUCTION'!L17)*'15_TARIFF'!L6*'27_SCENARIOS'!$C$40</f>
        <v>121.612925336127</v>
      </c>
      <c r="M8" s="41" t="n">
        <f aca="false">'14_PPA'!$C$6*((1-'14_PPA'!$C$8)+'14_PPA'!$C$8*'06_CONSTRUCTION'!M17)*'15_TARIFF'!M6*'27_SCENARIOS'!$C$40</f>
        <v>122.925183842849</v>
      </c>
      <c r="N8" s="41" t="n">
        <f aca="false">'14_PPA'!$C$6*((1-'14_PPA'!$C$8)+'14_PPA'!$C$8*'06_CONSTRUCTION'!N17)*'15_TARIFF'!N6*'27_SCENARIOS'!$C$40</f>
        <v>124.263687519706</v>
      </c>
      <c r="O8" s="41" t="n">
        <f aca="false">'14_PPA'!$C$6*((1-'14_PPA'!$C$8)+'14_PPA'!$C$8*'06_CONSTRUCTION'!O17)*'15_TARIFF'!O6*'27_SCENARIOS'!$C$40</f>
        <v>125.628961270101</v>
      </c>
      <c r="P8" s="41" t="n">
        <f aca="false">'14_PPA'!$C$6*((1-'14_PPA'!$C$8)+'14_PPA'!$C$8*'06_CONSTRUCTION'!P17)*'15_TARIFF'!P6*'27_SCENARIOS'!$C$40</f>
        <v>127.021540495503</v>
      </c>
      <c r="Q8" s="41" t="n">
        <f aca="false">'14_PPA'!$C$6*((1-'14_PPA'!$C$8)+'14_PPA'!$C$8*'06_CONSTRUCTION'!Q17)*'15_TARIFF'!Q6*'27_SCENARIOS'!$C$40</f>
        <v>128.441971305413</v>
      </c>
      <c r="R8" s="41" t="n">
        <f aca="false">'14_PPA'!$C$6*((1-'14_PPA'!$C$8)+'14_PPA'!$C$8*'06_CONSTRUCTION'!R17)*'15_TARIFF'!R6*'27_SCENARIOS'!$C$40</f>
        <v>129.890810731521</v>
      </c>
      <c r="S8" s="41" t="n">
        <f aca="false">'14_PPA'!$C$6*((1-'14_PPA'!$C$8)+'14_PPA'!$C$8*'06_CONSTRUCTION'!S17)*'15_TARIFF'!S6*'27_SCENARIOS'!$C$40</f>
        <v>131.368626946151</v>
      </c>
      <c r="T8" s="41" t="n">
        <f aca="false">'14_PPA'!$C$6*((1-'14_PPA'!$C$8)+'14_PPA'!$C$8*'06_CONSTRUCTION'!T17)*'15_TARIFF'!T6*'27_SCENARIOS'!$C$40</f>
        <v>132.875999485074</v>
      </c>
      <c r="U8" s="41" t="n">
        <f aca="false">'14_PPA'!$C$6*((1-'14_PPA'!$C$8)+'14_PPA'!$C$8*'06_CONSTRUCTION'!U17)*'15_TARIFF'!U6*'27_SCENARIOS'!$C$40</f>
        <v>134.413519474776</v>
      </c>
      <c r="V8" s="41" t="n">
        <f aca="false">'14_PPA'!$C$6*((1-'14_PPA'!$C$8)+'14_PPA'!$C$8*'06_CONSTRUCTION'!V17)*'15_TARIFF'!V6*'27_SCENARIOS'!$C$40</f>
        <v>135.981789864271</v>
      </c>
      <c r="W8" s="41" t="n">
        <f aca="false">'14_PPA'!$C$6*((1-'14_PPA'!$C$8)+'14_PPA'!$C$8*'06_CONSTRUCTION'!W17)*'15_TARIFF'!W6*'27_SCENARIOS'!$C$40</f>
        <v>137.581425661557</v>
      </c>
      <c r="X8" s="41" t="n">
        <f aca="false">'14_PPA'!$C$6*((1-'14_PPA'!$C$8)+'14_PPA'!$C$8*'06_CONSTRUCTION'!X17)*'15_TARIFF'!X6*'27_SCENARIOS'!$C$40</f>
        <v>139.213054174788</v>
      </c>
      <c r="Y8" s="41" t="n">
        <f aca="false">'14_PPA'!$C$6*((1-'14_PPA'!$C$8)+'14_PPA'!$C$8*'06_CONSTRUCTION'!Y17)*'15_TARIFF'!Y6*'27_SCENARIOS'!$C$40</f>
        <v>140.877315258284</v>
      </c>
      <c r="Z8" s="41" t="n">
        <f aca="false">'14_PPA'!$C$6*((1-'14_PPA'!$C$8)+'14_PPA'!$C$8*'06_CONSTRUCTION'!Z17)*'15_TARIFF'!Z6*'27_SCENARIOS'!$C$40</f>
        <v>142.574861563449</v>
      </c>
      <c r="AA8" s="41" t="n">
        <f aca="false">'14_PPA'!$C$6*((1-'14_PPA'!$C$8)+'14_PPA'!$C$8*'06_CONSTRUCTION'!AA17)*'15_TARIFF'!AA6*'27_SCENARIOS'!$C$40</f>
        <v>144.306358794718</v>
      </c>
      <c r="AB8" s="41" t="n">
        <f aca="false">'14_PPA'!$C$6*((1-'14_PPA'!$C$8)+'14_PPA'!$C$8*'06_CONSTRUCTION'!AB17)*'15_TARIFF'!AB6*'27_SCENARIOS'!$C$40</f>
        <v>146.072485970613</v>
      </c>
      <c r="AC8" s="41" t="n">
        <f aca="false">'14_PPA'!$C$6*((1-'14_PPA'!$C$8)+'14_PPA'!$C$8*'06_CONSTRUCTION'!AC17)*'15_TARIFF'!AC6*'27_SCENARIOS'!$C$40</f>
        <v>147.873935690025</v>
      </c>
      <c r="AD8" s="41" t="n">
        <f aca="false">'14_PPA'!$C$6*((1-'14_PPA'!$C$8)+'14_PPA'!$C$8*'06_CONSTRUCTION'!AD17)*'15_TARIFF'!AD6*'27_SCENARIOS'!$C$40</f>
        <v>149.711414403825</v>
      </c>
      <c r="AE8" s="41" t="n">
        <f aca="false">'14_PPA'!$C$6*((1-'14_PPA'!$C$8)+'14_PPA'!$C$8*'06_CONSTRUCTION'!AE17)*'15_TARIFF'!AE6*'27_SCENARIOS'!$C$40</f>
        <v>151.585642691902</v>
      </c>
      <c r="AF8" s="41" t="n">
        <f aca="false">'14_PPA'!$C$6*((1-'14_PPA'!$C$8)+'14_PPA'!$C$8*'06_CONSTRUCTION'!AF17)*'15_TARIFF'!AF6*'27_SCENARIOS'!$C$40</f>
        <v>153.49735554574</v>
      </c>
      <c r="AG8" s="41" t="n">
        <f aca="false">'14_PPA'!$C$6*((1-'14_PPA'!$C$8)+'14_PPA'!$C$8*'06_CONSTRUCTION'!AG17)*'15_TARIFF'!AG6*'27_SCENARIOS'!$C$40</f>
        <v>155.447302656655</v>
      </c>
      <c r="AH8" s="41" t="n">
        <f aca="false">'14_PPA'!$C$6*((1-'14_PPA'!$C$8)+'14_PPA'!$C$8*'06_CONSTRUCTION'!AH17)*'15_TARIFF'!AH6*'27_SCENARIOS'!$C$40</f>
        <v>157.436248709788</v>
      </c>
      <c r="AI8" s="41" t="n">
        <f aca="false">'14_PPA'!$C$6*((1-'14_PPA'!$C$8)+'14_PPA'!$C$8*'06_CONSTRUCTION'!AI17)*'15_TARIFF'!AI6*'27_SCENARIOS'!$C$40</f>
        <v>159.464973683984</v>
      </c>
      <c r="AJ8" s="41" t="n">
        <f aca="false">'14_PPA'!$C$6*((1-'14_PPA'!$C$8)+'14_PPA'!$C$8*'06_CONSTRUCTION'!AJ17)*'15_TARIFF'!AJ6*'27_SCENARIOS'!$C$40</f>
        <v>161.534273157663</v>
      </c>
      <c r="AK8" s="41" t="n">
        <f aca="false">'14_PPA'!$C$6*((1-'14_PPA'!$C$8)+'14_PPA'!$C$8*'06_CONSTRUCTION'!AK17)*'15_TARIFF'!AK6*'27_SCENARIOS'!$C$40</f>
        <v>163.644958620817</v>
      </c>
      <c r="AL8" s="41" t="n">
        <f aca="false">'14_PPA'!$C$6*((1-'14_PPA'!$C$8)+'14_PPA'!$C$8*'06_CONSTRUCTION'!AL17)*'15_TARIFF'!AL6*'27_SCENARIOS'!$C$40</f>
        <v>165.797857793233</v>
      </c>
      <c r="AM8" s="41" t="n">
        <f aca="false">'14_PPA'!$C$6*((1-'14_PPA'!$C$8)+'14_PPA'!$C$8*'06_CONSTRUCTION'!AM17)*'15_TARIFF'!AM6*'27_SCENARIOS'!$C$40</f>
        <v>167.993814949098</v>
      </c>
      <c r="AN8" s="41" t="n">
        <f aca="false">'14_PPA'!$C$6*((1-'14_PPA'!$C$8)+'14_PPA'!$C$8*'06_CONSTRUCTION'!AN17)*'15_TARIFF'!AN6*'27_SCENARIOS'!$C$40</f>
        <v>170.23369124808</v>
      </c>
      <c r="AO8" s="41" t="n">
        <f aca="false">'14_PPA'!$C$6*((1-'14_PPA'!$C$8)+'14_PPA'!$C$8*'06_CONSTRUCTION'!AO17)*'15_TARIFF'!AO6*'27_SCENARIOS'!$C$40</f>
        <v>172.518365073041</v>
      </c>
      <c r="AP8" s="41" t="n">
        <f aca="false">'14_PPA'!$C$6*((1-'14_PPA'!$C$8)+'14_PPA'!$C$8*'06_CONSTRUCTION'!AP17)*'15_TARIFF'!AP6*'27_SCENARIOS'!$C$40</f>
        <v>174.848732374502</v>
      </c>
      <c r="AQ8" s="41" t="n">
        <f aca="false">'14_PPA'!$C$6*((1-'14_PPA'!$C$8)+'14_PPA'!$C$8*'06_CONSTRUCTION'!AQ17)*'15_TARIFF'!AQ6*'27_SCENARIOS'!$C$40</f>
        <v>177.225707021992</v>
      </c>
      <c r="AR8" s="41" t="n">
        <f aca="false">'14_PPA'!$C$6*((1-'14_PPA'!$C$8)+'14_PPA'!$C$8*'06_CONSTRUCTION'!AR17)*'15_TARIFF'!AR6*'27_SCENARIOS'!$C$40</f>
        <v>179.650221162432</v>
      </c>
    </row>
    <row r="9" customFormat="false" ht="15" hidden="false" customHeight="true" outlineLevel="0" collapsed="false">
      <c r="A9" s="19" t="s">
        <v>692</v>
      </c>
      <c r="B9" s="23" t="s">
        <v>448</v>
      </c>
      <c r="E9" s="42" t="n">
        <f aca="false">IF('16_REVENUE'!E9&gt;0,'16_REVENUE'!E14/'16_REVENUE'!E9*1000,0)</f>
        <v>0</v>
      </c>
      <c r="F9" s="42" t="n">
        <f aca="false">IF('16_REVENUE'!F9&gt;0,'16_REVENUE'!F14/'16_REVENUE'!F9*1000,0)</f>
        <v>0</v>
      </c>
      <c r="G9" s="42" t="n">
        <f aca="false">IF('16_REVENUE'!G9&gt;0,'16_REVENUE'!G14/'16_REVENUE'!G9*1000,0)</f>
        <v>0</v>
      </c>
      <c r="H9" s="42" t="n">
        <f aca="false">IF('16_REVENUE'!H9&gt;0,'16_REVENUE'!H14/'16_REVENUE'!H9*1000,0)</f>
        <v>116.61620096</v>
      </c>
      <c r="I9" s="42" t="n">
        <f aca="false">IF('16_REVENUE'!I9&gt;0,'16_REVENUE'!I14/'16_REVENUE'!I9*1000,0)</f>
        <v>117.8285249792</v>
      </c>
      <c r="J9" s="42" t="n">
        <f aca="false">IF('16_REVENUE'!J9&gt;0,'16_REVENUE'!J14/'16_REVENUE'!J9*1000,0)</f>
        <v>119.065095478784</v>
      </c>
      <c r="K9" s="42" t="n">
        <f aca="false">IF('16_REVENUE'!K9&gt;0,'16_REVENUE'!K14/'16_REVENUE'!K9*1000,0)</f>
        <v>120.32639738836</v>
      </c>
      <c r="L9" s="42" t="n">
        <f aca="false">IF('16_REVENUE'!L9&gt;0,'16_REVENUE'!L14/'16_REVENUE'!L9*1000,0)</f>
        <v>121.612925336127</v>
      </c>
      <c r="M9" s="42" t="n">
        <f aca="false">IF('16_REVENUE'!M9&gt;0,'16_REVENUE'!M14/'16_REVENUE'!M9*1000,0)</f>
        <v>122.925183842849</v>
      </c>
      <c r="N9" s="42" t="n">
        <f aca="false">IF('16_REVENUE'!N9&gt;0,'16_REVENUE'!N14/'16_REVENUE'!N9*1000,0)</f>
        <v>124.263687519706</v>
      </c>
      <c r="O9" s="42" t="n">
        <f aca="false">IF('16_REVENUE'!O9&gt;0,'16_REVENUE'!O14/'16_REVENUE'!O9*1000,0)</f>
        <v>125.628961270101</v>
      </c>
      <c r="P9" s="42" t="n">
        <f aca="false">IF('16_REVENUE'!P9&gt;0,'16_REVENUE'!P14/'16_REVENUE'!P9*1000,0)</f>
        <v>127.021540495503</v>
      </c>
      <c r="Q9" s="42" t="n">
        <f aca="false">IF('16_REVENUE'!Q9&gt;0,'16_REVENUE'!Q14/'16_REVENUE'!Q9*1000,0)</f>
        <v>128.441971305413</v>
      </c>
      <c r="R9" s="42" t="n">
        <f aca="false">IF('16_REVENUE'!R9&gt;0,'16_REVENUE'!R14/'16_REVENUE'!R9*1000,0)</f>
        <v>129.890810731521</v>
      </c>
      <c r="S9" s="42" t="n">
        <f aca="false">IF('16_REVENUE'!S9&gt;0,'16_REVENUE'!S14/'16_REVENUE'!S9*1000,0)</f>
        <v>131.368626946151</v>
      </c>
      <c r="T9" s="42" t="n">
        <f aca="false">IF('16_REVENUE'!T9&gt;0,'16_REVENUE'!T14/'16_REVENUE'!T9*1000,0)</f>
        <v>132.875999485074</v>
      </c>
      <c r="U9" s="42" t="n">
        <f aca="false">IF('16_REVENUE'!U9&gt;0,'16_REVENUE'!U14/'16_REVENUE'!U9*1000,0)</f>
        <v>134.413519474776</v>
      </c>
      <c r="V9" s="42" t="n">
        <f aca="false">IF('16_REVENUE'!V9&gt;0,'16_REVENUE'!V14/'16_REVENUE'!V9*1000,0)</f>
        <v>135.981789864271</v>
      </c>
      <c r="W9" s="42" t="n">
        <f aca="false">IF('16_REVENUE'!W9&gt;0,'16_REVENUE'!W14/'16_REVENUE'!W9*1000,0)</f>
        <v>137.581425661557</v>
      </c>
      <c r="X9" s="42" t="n">
        <f aca="false">IF('16_REVENUE'!X9&gt;0,'16_REVENUE'!X14/'16_REVENUE'!X9*1000,0)</f>
        <v>139.213054174788</v>
      </c>
      <c r="Y9" s="42" t="n">
        <f aca="false">IF('16_REVENUE'!Y9&gt;0,'16_REVENUE'!Y14/'16_REVENUE'!Y9*1000,0)</f>
        <v>140.877315258284</v>
      </c>
      <c r="Z9" s="42" t="n">
        <f aca="false">IF('16_REVENUE'!Z9&gt;0,'16_REVENUE'!Z14/'16_REVENUE'!Z9*1000,0)</f>
        <v>142.574861563449</v>
      </c>
      <c r="AA9" s="42" t="n">
        <f aca="false">IF('16_REVENUE'!AA9&gt;0,'16_REVENUE'!AA14/'16_REVENUE'!AA9*1000,0)</f>
        <v>144.306358794718</v>
      </c>
      <c r="AB9" s="42" t="n">
        <f aca="false">IF('16_REVENUE'!AB9&gt;0,'16_REVENUE'!AB14/'16_REVENUE'!AB9*1000,0)</f>
        <v>146.072485970613</v>
      </c>
      <c r="AC9" s="42" t="n">
        <f aca="false">IF('16_REVENUE'!AC9&gt;0,'16_REVENUE'!AC14/'16_REVENUE'!AC9*1000,0)</f>
        <v>147.873935690025</v>
      </c>
      <c r="AD9" s="42" t="n">
        <f aca="false">IF('16_REVENUE'!AD9&gt;0,'16_REVENUE'!AD14/'16_REVENUE'!AD9*1000,0)</f>
        <v>149.711414403825</v>
      </c>
      <c r="AE9" s="42" t="n">
        <f aca="false">IF('16_REVENUE'!AE9&gt;0,'16_REVENUE'!AE14/'16_REVENUE'!AE9*1000,0)</f>
        <v>151.585642691902</v>
      </c>
      <c r="AF9" s="42" t="n">
        <f aca="false">IF('16_REVENUE'!AF9&gt;0,'16_REVENUE'!AF14/'16_REVENUE'!AF9*1000,0)</f>
        <v>153.49735554574</v>
      </c>
      <c r="AG9" s="42" t="n">
        <f aca="false">IF('16_REVENUE'!AG9&gt;0,'16_REVENUE'!AG14/'16_REVENUE'!AG9*1000,0)</f>
        <v>0</v>
      </c>
      <c r="AH9" s="42" t="n">
        <f aca="false">IF('16_REVENUE'!AH9&gt;0,'16_REVENUE'!AH14/'16_REVENUE'!AH9*1000,0)</f>
        <v>0</v>
      </c>
      <c r="AI9" s="42" t="n">
        <f aca="false">IF('16_REVENUE'!AI9&gt;0,'16_REVENUE'!AI14/'16_REVENUE'!AI9*1000,0)</f>
        <v>0</v>
      </c>
      <c r="AJ9" s="42" t="n">
        <f aca="false">IF('16_REVENUE'!AJ9&gt;0,'16_REVENUE'!AJ14/'16_REVENUE'!AJ9*1000,0)</f>
        <v>0</v>
      </c>
      <c r="AK9" s="42" t="n">
        <f aca="false">IF('16_REVENUE'!AK9&gt;0,'16_REVENUE'!AK14/'16_REVENUE'!AK9*1000,0)</f>
        <v>0</v>
      </c>
      <c r="AL9" s="42" t="n">
        <f aca="false">IF('16_REVENUE'!AL9&gt;0,'16_REVENUE'!AL14/'16_REVENUE'!AL9*1000,0)</f>
        <v>0</v>
      </c>
      <c r="AM9" s="42" t="n">
        <f aca="false">IF('16_REVENUE'!AM9&gt;0,'16_REVENUE'!AM14/'16_REVENUE'!AM9*1000,0)</f>
        <v>0</v>
      </c>
      <c r="AN9" s="42" t="n">
        <f aca="false">IF('16_REVENUE'!AN9&gt;0,'16_REVENUE'!AN14/'16_REVENUE'!AN9*1000,0)</f>
        <v>0</v>
      </c>
      <c r="AO9" s="42" t="n">
        <f aca="false">IF('16_REVENUE'!AO9&gt;0,'16_REVENUE'!AO14/'16_REVENUE'!AO9*1000,0)</f>
        <v>0</v>
      </c>
      <c r="AP9" s="42" t="n">
        <f aca="false">IF('16_REVENUE'!AP9&gt;0,'16_REVENUE'!AP14/'16_REVENUE'!AP9*1000,0)</f>
        <v>0</v>
      </c>
      <c r="AQ9" s="42" t="n">
        <f aca="false">IF('16_REVENUE'!AQ9&gt;0,'16_REVENUE'!AQ14/'16_REVENUE'!AQ9*1000,0)</f>
        <v>0</v>
      </c>
      <c r="AR9" s="42" t="n">
        <f aca="false">IF('16_REVENUE'!AR9&gt;0,'16_REVENUE'!AR14/'16_REVENUE'!AR9*1000,0)</f>
        <v>0</v>
      </c>
    </row>
    <row r="10" customFormat="false" ht="15" hidden="false" customHeight="true" outlineLevel="0" collapsed="false">
      <c r="A10" s="23" t="s">
        <v>693</v>
      </c>
      <c r="B10" s="23" t="s">
        <v>448</v>
      </c>
      <c r="E10" s="41" t="n">
        <f aca="false">'06_CONSTRUCTION'!E14*'17_PROJECT_FINANCE'!$C$35</f>
        <v>0</v>
      </c>
      <c r="F10" s="41" t="n">
        <f aca="false">'06_CONSTRUCTION'!F14*'17_PROJECT_FINANCE'!$C$35</f>
        <v>0</v>
      </c>
      <c r="G10" s="41" t="n">
        <f aca="false">'06_CONSTRUCTION'!G14*'17_PROJECT_FINANCE'!$C$35</f>
        <v>0</v>
      </c>
      <c r="H10" s="41" t="n">
        <f aca="false">'06_CONSTRUCTION'!H14*'17_PROJECT_FINANCE'!$C$35</f>
        <v>105.948882101081</v>
      </c>
      <c r="I10" s="41" t="n">
        <f aca="false">'06_CONSTRUCTION'!I14*'17_PROJECT_FINANCE'!$C$35</f>
        <v>105.948882101081</v>
      </c>
      <c r="J10" s="41" t="n">
        <f aca="false">'06_CONSTRUCTION'!J14*'17_PROJECT_FINANCE'!$C$35</f>
        <v>105.948882101081</v>
      </c>
      <c r="K10" s="41" t="n">
        <f aca="false">'06_CONSTRUCTION'!K14*'17_PROJECT_FINANCE'!$C$35</f>
        <v>105.948882101081</v>
      </c>
      <c r="L10" s="41" t="n">
        <f aca="false">'06_CONSTRUCTION'!L14*'17_PROJECT_FINANCE'!$C$35</f>
        <v>105.948882101081</v>
      </c>
      <c r="M10" s="41" t="n">
        <f aca="false">'06_CONSTRUCTION'!M14*'17_PROJECT_FINANCE'!$C$35</f>
        <v>105.948882101081</v>
      </c>
      <c r="N10" s="41" t="n">
        <f aca="false">'06_CONSTRUCTION'!N14*'17_PROJECT_FINANCE'!$C$35</f>
        <v>105.948882101081</v>
      </c>
      <c r="O10" s="41" t="n">
        <f aca="false">'06_CONSTRUCTION'!O14*'17_PROJECT_FINANCE'!$C$35</f>
        <v>105.948882101081</v>
      </c>
      <c r="P10" s="41" t="n">
        <f aca="false">'06_CONSTRUCTION'!P14*'17_PROJECT_FINANCE'!$C$35</f>
        <v>105.948882101081</v>
      </c>
      <c r="Q10" s="41" t="n">
        <f aca="false">'06_CONSTRUCTION'!Q14*'17_PROJECT_FINANCE'!$C$35</f>
        <v>105.948882101081</v>
      </c>
      <c r="R10" s="41" t="n">
        <f aca="false">'06_CONSTRUCTION'!R14*'17_PROJECT_FINANCE'!$C$35</f>
        <v>105.948882101081</v>
      </c>
      <c r="S10" s="41" t="n">
        <f aca="false">'06_CONSTRUCTION'!S14*'17_PROJECT_FINANCE'!$C$35</f>
        <v>105.948882101081</v>
      </c>
      <c r="T10" s="41" t="n">
        <f aca="false">'06_CONSTRUCTION'!T14*'17_PROJECT_FINANCE'!$C$35</f>
        <v>105.948882101081</v>
      </c>
      <c r="U10" s="41" t="n">
        <f aca="false">'06_CONSTRUCTION'!U14*'17_PROJECT_FINANCE'!$C$35</f>
        <v>105.948882101081</v>
      </c>
      <c r="V10" s="41" t="n">
        <f aca="false">'06_CONSTRUCTION'!V14*'17_PROJECT_FINANCE'!$C$35</f>
        <v>105.948882101081</v>
      </c>
      <c r="W10" s="41" t="n">
        <f aca="false">'06_CONSTRUCTION'!W14*'17_PROJECT_FINANCE'!$C$35</f>
        <v>105.948882101081</v>
      </c>
      <c r="X10" s="41" t="n">
        <f aca="false">'06_CONSTRUCTION'!X14*'17_PROJECT_FINANCE'!$C$35</f>
        <v>105.948882101081</v>
      </c>
      <c r="Y10" s="41" t="n">
        <f aca="false">'06_CONSTRUCTION'!Y14*'17_PROJECT_FINANCE'!$C$35</f>
        <v>105.948882101081</v>
      </c>
      <c r="Z10" s="41" t="n">
        <f aca="false">'06_CONSTRUCTION'!Z14*'17_PROJECT_FINANCE'!$C$35</f>
        <v>105.948882101081</v>
      </c>
      <c r="AA10" s="41" t="n">
        <f aca="false">'06_CONSTRUCTION'!AA14*'17_PROJECT_FINANCE'!$C$35</f>
        <v>105.948882101081</v>
      </c>
      <c r="AB10" s="41" t="n">
        <f aca="false">'06_CONSTRUCTION'!AB14*'17_PROJECT_FINANCE'!$C$35</f>
        <v>105.948882101081</v>
      </c>
      <c r="AC10" s="41" t="n">
        <f aca="false">'06_CONSTRUCTION'!AC14*'17_PROJECT_FINANCE'!$C$35</f>
        <v>105.948882101081</v>
      </c>
      <c r="AD10" s="41" t="n">
        <f aca="false">'06_CONSTRUCTION'!AD14*'17_PROJECT_FINANCE'!$C$35</f>
        <v>105.948882101081</v>
      </c>
      <c r="AE10" s="41" t="n">
        <f aca="false">'06_CONSTRUCTION'!AE14*'17_PROJECT_FINANCE'!$C$35</f>
        <v>105.948882101081</v>
      </c>
      <c r="AF10" s="41" t="n">
        <f aca="false">'06_CONSTRUCTION'!AF14*'17_PROJECT_FINANCE'!$C$35</f>
        <v>105.948882101081</v>
      </c>
      <c r="AG10" s="41" t="n">
        <f aca="false">'06_CONSTRUCTION'!AG14*'17_PROJECT_FINANCE'!$C$35</f>
        <v>0</v>
      </c>
      <c r="AH10" s="41" t="n">
        <f aca="false">'06_CONSTRUCTION'!AH14*'17_PROJECT_FINANCE'!$C$35</f>
        <v>0</v>
      </c>
      <c r="AI10" s="41" t="n">
        <f aca="false">'06_CONSTRUCTION'!AI14*'17_PROJECT_FINANCE'!$C$35</f>
        <v>0</v>
      </c>
      <c r="AJ10" s="41" t="n">
        <f aca="false">'06_CONSTRUCTION'!AJ14*'17_PROJECT_FINANCE'!$C$35</f>
        <v>0</v>
      </c>
      <c r="AK10" s="41" t="n">
        <f aca="false">'06_CONSTRUCTION'!AK14*'17_PROJECT_FINANCE'!$C$35</f>
        <v>0</v>
      </c>
      <c r="AL10" s="41" t="n">
        <f aca="false">'06_CONSTRUCTION'!AL14*'17_PROJECT_FINANCE'!$C$35</f>
        <v>0</v>
      </c>
      <c r="AM10" s="41" t="n">
        <f aca="false">'06_CONSTRUCTION'!AM14*'17_PROJECT_FINANCE'!$C$35</f>
        <v>0</v>
      </c>
      <c r="AN10" s="41" t="n">
        <f aca="false">'06_CONSTRUCTION'!AN14*'17_PROJECT_FINANCE'!$C$35</f>
        <v>0</v>
      </c>
      <c r="AO10" s="41" t="n">
        <f aca="false">'06_CONSTRUCTION'!AO14*'17_PROJECT_FINANCE'!$C$35</f>
        <v>0</v>
      </c>
      <c r="AP10" s="41" t="n">
        <f aca="false">'06_CONSTRUCTION'!AP14*'17_PROJECT_FINANCE'!$C$35</f>
        <v>0</v>
      </c>
      <c r="AQ10" s="41" t="n">
        <f aca="false">'06_CONSTRUCTION'!AQ14*'17_PROJECT_FINANCE'!$C$35</f>
        <v>0</v>
      </c>
      <c r="AR10" s="41" t="n">
        <f aca="false">'06_CONSTRUCTION'!AR14*'17_PROJECT_FINANCE'!$C$35</f>
        <v>0</v>
      </c>
    </row>
    <row r="11" customFormat="false" ht="15" hidden="false" customHeight="true" outlineLevel="0" collapsed="false">
      <c r="A11" s="23" t="s">
        <v>694</v>
      </c>
      <c r="B11" s="23" t="s">
        <v>448</v>
      </c>
      <c r="E11" s="81" t="n">
        <f aca="false">'12_UTILITY'!E32</f>
        <v>137.547169811321</v>
      </c>
      <c r="F11" s="81" t="n">
        <f aca="false">'12_UTILITY'!F32</f>
        <v>140.142399430402</v>
      </c>
      <c r="G11" s="81" t="n">
        <f aca="false">'12_UTILITY'!G32</f>
        <v>142.78659564607</v>
      </c>
      <c r="H11" s="81" t="n">
        <f aca="false">'12_UTILITY'!H32</f>
        <v>145.480682356373</v>
      </c>
      <c r="I11" s="81" t="n">
        <f aca="false">'12_UTILITY'!I32</f>
        <v>148.225600891399</v>
      </c>
      <c r="J11" s="81" t="n">
        <f aca="false">'12_UTILITY'!J32</f>
        <v>151.022310342181</v>
      </c>
      <c r="K11" s="81" t="n">
        <f aca="false">'12_UTILITY'!K32</f>
        <v>153.871787895807</v>
      </c>
      <c r="L11" s="81" t="n">
        <f aca="false">'12_UTILITY'!L32</f>
        <v>156.77502917686</v>
      </c>
      <c r="M11" s="81" t="n">
        <f aca="false">'12_UTILITY'!M32</f>
        <v>159.733048595291</v>
      </c>
      <c r="N11" s="81" t="n">
        <f aca="false">'12_UTILITY'!N32</f>
        <v>162.746879700862</v>
      </c>
      <c r="O11" s="81" t="n">
        <f aca="false">'12_UTILITY'!O32</f>
        <v>165.817575544275</v>
      </c>
      <c r="P11" s="81" t="n">
        <f aca="false">'12_UTILITY'!P32</f>
        <v>168.94620904511</v>
      </c>
      <c r="Q11" s="81" t="n">
        <f aca="false">'12_UTILITY'!Q32</f>
        <v>172.133873366716</v>
      </c>
      <c r="R11" s="81" t="n">
        <f aca="false">'12_UTILITY'!R32</f>
        <v>175.381682298164</v>
      </c>
      <c r="S11" s="81" t="n">
        <f aca="false">'12_UTILITY'!S32</f>
        <v>178.690770643412</v>
      </c>
      <c r="T11" s="81" t="n">
        <f aca="false">'12_UTILITY'!T32</f>
        <v>182.062294617816</v>
      </c>
      <c r="U11" s="81" t="n">
        <f aca="false">'12_UTILITY'!U32</f>
        <v>185.497432252114</v>
      </c>
      <c r="V11" s="81" t="n">
        <f aca="false">'12_UTILITY'!V32</f>
        <v>188.997383804041</v>
      </c>
      <c r="W11" s="81" t="n">
        <f aca="false">'12_UTILITY'!W32</f>
        <v>192.563372177702</v>
      </c>
      <c r="X11" s="81" t="n">
        <f aca="false">'12_UTILITY'!X32</f>
        <v>196.196643350866</v>
      </c>
      <c r="Y11" s="81" t="n">
        <f aca="false">'12_UTILITY'!Y32</f>
        <v>199.898466810317</v>
      </c>
      <c r="Z11" s="81" t="n">
        <f aca="false">'12_UTILITY'!Z32</f>
        <v>203.670135995417</v>
      </c>
      <c r="AA11" s="81" t="n">
        <f aca="false">'12_UTILITY'!AA32</f>
        <v>207.512968750048</v>
      </c>
      <c r="AB11" s="81" t="n">
        <f aca="false">'12_UTILITY'!AB32</f>
        <v>211.428307783067</v>
      </c>
      <c r="AC11" s="81" t="n">
        <f aca="false">'12_UTILITY'!AC32</f>
        <v>215.417521137465</v>
      </c>
      <c r="AD11" s="81" t="n">
        <f aca="false">'12_UTILITY'!AD32</f>
        <v>219.48200266836</v>
      </c>
      <c r="AE11" s="81" t="n">
        <f aca="false">'12_UTILITY'!AE32</f>
        <v>223.623172530028</v>
      </c>
      <c r="AF11" s="81" t="n">
        <f aca="false">'12_UTILITY'!AF32</f>
        <v>227.842477672104</v>
      </c>
      <c r="AG11" s="81" t="n">
        <f aca="false">'12_UTILITY'!AG32</f>
        <v>232.141392345162</v>
      </c>
      <c r="AH11" s="81" t="n">
        <f aca="false">'12_UTILITY'!AH32</f>
        <v>236.521418615826</v>
      </c>
      <c r="AI11" s="81" t="n">
        <f aca="false">'12_UTILITY'!AI32</f>
        <v>240.984086891596</v>
      </c>
      <c r="AJ11" s="81" t="n">
        <f aca="false">'12_UTILITY'!AJ32</f>
        <v>245.530956455588</v>
      </c>
      <c r="AK11" s="81" t="n">
        <f aca="false">'12_UTILITY'!AK32</f>
        <v>250.163616011354</v>
      </c>
      <c r="AL11" s="81" t="n">
        <f aca="false">'12_UTILITY'!AL32</f>
        <v>254.883684237983</v>
      </c>
      <c r="AM11" s="81" t="n">
        <f aca="false">'12_UTILITY'!AM32</f>
        <v>259.692810355681</v>
      </c>
      <c r="AN11" s="81" t="n">
        <f aca="false">'12_UTILITY'!AN32</f>
        <v>264.592674702015</v>
      </c>
      <c r="AO11" s="81" t="n">
        <f aca="false">'12_UTILITY'!AO32</f>
        <v>269.584989319034</v>
      </c>
      <c r="AP11" s="81" t="n">
        <f aca="false">'12_UTILITY'!AP32</f>
        <v>274.671498551469</v>
      </c>
      <c r="AQ11" s="81" t="n">
        <f aca="false">'12_UTILITY'!AQ32</f>
        <v>279.853979656213</v>
      </c>
      <c r="AR11" s="81" t="n">
        <f aca="false">'12_UTILITY'!AR32</f>
        <v>285.134243423312</v>
      </c>
    </row>
    <row r="12" customFormat="false" ht="15" hidden="false" customHeight="true" outlineLevel="0" collapsed="false">
      <c r="A12" s="23" t="s">
        <v>695</v>
      </c>
      <c r="B12" s="23" t="s">
        <v>448</v>
      </c>
      <c r="E12" s="81" t="n">
        <f aca="false">'12_UTILITY'!E62</f>
        <v>94.4123773584906</v>
      </c>
      <c r="F12" s="81" t="n">
        <f aca="false">'12_UTILITY'!F62</f>
        <v>96.1937429690282</v>
      </c>
      <c r="G12" s="81" t="n">
        <f aca="false">'12_UTILITY'!G62</f>
        <v>98.0087192514626</v>
      </c>
      <c r="H12" s="81" t="n">
        <f aca="false">'12_UTILITY'!H62</f>
        <v>99.8579403694147</v>
      </c>
      <c r="I12" s="81" t="n">
        <f aca="false">'12_UTILITY'!I62</f>
        <v>101.742052451857</v>
      </c>
      <c r="J12" s="81" t="n">
        <f aca="false">'12_UTILITY'!J62</f>
        <v>103.661713818873</v>
      </c>
      <c r="K12" s="81" t="n">
        <f aca="false">'12_UTILITY'!K62</f>
        <v>105.617595211682</v>
      </c>
      <c r="L12" s="81" t="n">
        <f aca="false">'12_UTILITY'!L62</f>
        <v>107.610380026996</v>
      </c>
      <c r="M12" s="81" t="n">
        <f aca="false">'12_UTILITY'!M62</f>
        <v>109.640764555808</v>
      </c>
      <c r="N12" s="81" t="n">
        <f aca="false">'12_UTILITY'!N62</f>
        <v>111.709458226672</v>
      </c>
      <c r="O12" s="81" t="n">
        <f aca="false">'12_UTILITY'!O62</f>
        <v>113.81718385359</v>
      </c>
      <c r="P12" s="81" t="n">
        <f aca="false">'12_UTILITY'!P62</f>
        <v>115.964677888564</v>
      </c>
      <c r="Q12" s="81" t="n">
        <f aca="false">'12_UTILITY'!Q62</f>
        <v>118.152690678914</v>
      </c>
      <c r="R12" s="81" t="n">
        <f aca="false">'12_UTILITY'!R62</f>
        <v>120.381986729459</v>
      </c>
      <c r="S12" s="81" t="n">
        <f aca="false">'12_UTILITY'!S62</f>
        <v>122.653344969638</v>
      </c>
      <c r="T12" s="81" t="n">
        <f aca="false">'12_UTILITY'!T62</f>
        <v>124.967559025669</v>
      </c>
      <c r="U12" s="81" t="n">
        <f aca="false">'12_UTILITY'!U62</f>
        <v>127.325437497851</v>
      </c>
      <c r="V12" s="81" t="n">
        <f aca="false">'12_UTILITY'!V62</f>
        <v>129.727804243094</v>
      </c>
      <c r="W12" s="81" t="n">
        <f aca="false">'12_UTILITY'!W62</f>
        <v>132.175498662775</v>
      </c>
      <c r="X12" s="81" t="n">
        <f aca="false">'12_UTILITY'!X62</f>
        <v>134.669375996035</v>
      </c>
      <c r="Y12" s="81" t="n">
        <f aca="false">'12_UTILITY'!Y62</f>
        <v>137.210307618601</v>
      </c>
      <c r="Z12" s="81" t="n">
        <f aca="false">'12_UTILITY'!Z62</f>
        <v>139.799181347254</v>
      </c>
      <c r="AA12" s="81" t="n">
        <f aca="false">'12_UTILITY'!AA62</f>
        <v>142.436901750033</v>
      </c>
      <c r="AB12" s="81" t="n">
        <f aca="false">'12_UTILITY'!AB62</f>
        <v>145.124390462297</v>
      </c>
      <c r="AC12" s="81" t="n">
        <f aca="false">'12_UTILITY'!AC62</f>
        <v>147.862586508756</v>
      </c>
      <c r="AD12" s="81" t="n">
        <f aca="false">'12_UTILITY'!AD62</f>
        <v>150.652446631563</v>
      </c>
      <c r="AE12" s="81" t="n">
        <f aca="false">'12_UTILITY'!AE62</f>
        <v>153.494945624611</v>
      </c>
      <c r="AF12" s="81" t="n">
        <f aca="false">'12_UTILITY'!AF62</f>
        <v>156.391076674132</v>
      </c>
      <c r="AG12" s="81" t="n">
        <f aca="false">'12_UTILITY'!AG62</f>
        <v>159.341851705719</v>
      </c>
      <c r="AH12" s="81" t="n">
        <f aca="false">'12_UTILITY'!AH62</f>
        <v>162.348301737903</v>
      </c>
      <c r="AI12" s="81" t="n">
        <f aca="false">'12_UTILITY'!AI62</f>
        <v>165.411477242391</v>
      </c>
      <c r="AJ12" s="81" t="n">
        <f aca="false">'12_UTILITY'!AJ62</f>
        <v>168.532448511116</v>
      </c>
      <c r="AK12" s="81" t="n">
        <f aca="false">'12_UTILITY'!AK62</f>
        <v>171.712306030194</v>
      </c>
      <c r="AL12" s="81" t="n">
        <f aca="false">'12_UTILITY'!AL62</f>
        <v>174.952160860952</v>
      </c>
      <c r="AM12" s="81" t="n">
        <f aca="false">'12_UTILITY'!AM62</f>
        <v>178.25314502814</v>
      </c>
      <c r="AN12" s="81" t="n">
        <f aca="false">'12_UTILITY'!AN62</f>
        <v>181.616411915463</v>
      </c>
      <c r="AO12" s="81" t="n">
        <f aca="false">'12_UTILITY'!AO62</f>
        <v>185.043136668585</v>
      </c>
      <c r="AP12" s="81" t="n">
        <f aca="false">'12_UTILITY'!AP62</f>
        <v>188.534516605728</v>
      </c>
      <c r="AQ12" s="81" t="n">
        <f aca="false">'12_UTILITY'!AQ62</f>
        <v>192.091771636025</v>
      </c>
      <c r="AR12" s="81" t="n">
        <f aca="false">'12_UTILITY'!AR62</f>
        <v>195.716144685761</v>
      </c>
    </row>
    <row r="13" customFormat="false" ht="15" hidden="false" customHeight="true" outlineLevel="0" collapsed="false">
      <c r="A13" s="23" t="s">
        <v>696</v>
      </c>
      <c r="B13" s="23" t="s">
        <v>448</v>
      </c>
      <c r="E13" s="41" t="n">
        <f aca="false">'06_CONSTRUCTION'!E14*('15_TARIFF'!E12-'15_TARIFF'!E9)</f>
        <v>0</v>
      </c>
      <c r="F13" s="41" t="n">
        <f aca="false">'06_CONSTRUCTION'!F14*('15_TARIFF'!F12-'15_TARIFF'!F9)</f>
        <v>0</v>
      </c>
      <c r="G13" s="41" t="n">
        <f aca="false">'06_CONSTRUCTION'!G14*('15_TARIFF'!G12-'15_TARIFF'!G9)</f>
        <v>0</v>
      </c>
      <c r="H13" s="41" t="n">
        <f aca="false">'06_CONSTRUCTION'!H14*('15_TARIFF'!H12-'15_TARIFF'!H9)</f>
        <v>-16.7582605905852</v>
      </c>
      <c r="I13" s="41" t="n">
        <f aca="false">'06_CONSTRUCTION'!I14*('15_TARIFF'!I12-'15_TARIFF'!I9)</f>
        <v>-16.0864725273435</v>
      </c>
      <c r="J13" s="41" t="n">
        <f aca="false">'06_CONSTRUCTION'!J14*('15_TARIFF'!J12-'15_TARIFF'!J9)</f>
        <v>-15.4033816599113</v>
      </c>
      <c r="K13" s="41" t="n">
        <f aca="false">'06_CONSTRUCTION'!K14*('15_TARIFF'!K12-'15_TARIFF'!K9)</f>
        <v>-14.708802176678</v>
      </c>
      <c r="L13" s="41" t="n">
        <f aca="false">'06_CONSTRUCTION'!L14*('15_TARIFF'!L12-'15_TARIFF'!L9)</f>
        <v>-14.0025453091305</v>
      </c>
      <c r="M13" s="41" t="n">
        <f aca="false">'06_CONSTRUCTION'!M14*('15_TARIFF'!M12-'15_TARIFF'!M9)</f>
        <v>-13.2844192870418</v>
      </c>
      <c r="N13" s="41" t="n">
        <f aca="false">'06_CONSTRUCTION'!N14*('15_TARIFF'!N12-'15_TARIFF'!N9)</f>
        <v>-12.5542292930345</v>
      </c>
      <c r="O13" s="41" t="n">
        <f aca="false">'06_CONSTRUCTION'!O14*('15_TARIFF'!O12-'15_TARIFF'!O9)</f>
        <v>-11.8117774165103</v>
      </c>
      <c r="P13" s="41" t="n">
        <f aca="false">'06_CONSTRUCTION'!P14*('15_TARIFF'!P12-'15_TARIFF'!P9)</f>
        <v>-11.0568626069388</v>
      </c>
      <c r="Q13" s="41" t="n">
        <f aca="false">'06_CONSTRUCTION'!Q14*('15_TARIFF'!Q12-'15_TARIFF'!Q9)</f>
        <v>-10.2892806264986</v>
      </c>
      <c r="R13" s="41" t="n">
        <f aca="false">'06_CONSTRUCTION'!R14*('15_TARIFF'!R12-'15_TARIFF'!R9)</f>
        <v>-9.5088240020614</v>
      </c>
      <c r="S13" s="41" t="n">
        <f aca="false">'06_CONSTRUCTION'!S14*('15_TARIFF'!S12-'15_TARIFF'!S9)</f>
        <v>-8.71528197651328</v>
      </c>
      <c r="T13" s="41" t="n">
        <f aca="false">'06_CONSTRUCTION'!T14*('15_TARIFF'!T12-'15_TARIFF'!T9)</f>
        <v>-7.90844045940538</v>
      </c>
      <c r="U13" s="41" t="n">
        <f aca="false">'06_CONSTRUCTION'!U14*('15_TARIFF'!U12-'15_TARIFF'!U9)</f>
        <v>-7.08808197692444</v>
      </c>
      <c r="V13" s="41" t="n">
        <f aca="false">'06_CONSTRUCTION'!V14*('15_TARIFF'!V12-'15_TARIFF'!V9)</f>
        <v>-6.25398562117749</v>
      </c>
      <c r="W13" s="41" t="n">
        <f aca="false">'06_CONSTRUCTION'!W14*('15_TARIFF'!W12-'15_TARIFF'!W9)</f>
        <v>-5.40592699878189</v>
      </c>
      <c r="X13" s="41" t="n">
        <f aca="false">'06_CONSTRUCTION'!X14*('15_TARIFF'!X12-'15_TARIFF'!X9)</f>
        <v>-4.54367817875317</v>
      </c>
      <c r="Y13" s="41" t="n">
        <f aca="false">'06_CONSTRUCTION'!Y14*('15_TARIFF'!Y12-'15_TARIFF'!Y9)</f>
        <v>-3.66700763968223</v>
      </c>
      <c r="Z13" s="41" t="n">
        <f aca="false">'06_CONSTRUCTION'!Z14*('15_TARIFF'!Z12-'15_TARIFF'!Z9)</f>
        <v>-2.77568021619501</v>
      </c>
      <c r="AA13" s="41" t="n">
        <f aca="false">'06_CONSTRUCTION'!AA14*('15_TARIFF'!AA12-'15_TARIFF'!AA9)</f>
        <v>-1.86945704468559</v>
      </c>
      <c r="AB13" s="41" t="n">
        <f aca="false">'06_CONSTRUCTION'!AB14*('15_TARIFF'!AB12-'15_TARIFF'!AB9)</f>
        <v>-0.94809550831522</v>
      </c>
      <c r="AC13" s="41" t="n">
        <f aca="false">'06_CONSTRUCTION'!AC14*('15_TARIFF'!AC12-'15_TARIFF'!AC9)</f>
        <v>-0.0113491812689972</v>
      </c>
      <c r="AD13" s="41" t="n">
        <f aca="false">'06_CONSTRUCTION'!AD14*('15_TARIFF'!AD12-'15_TARIFF'!AD9)</f>
        <v>0.941032227737196</v>
      </c>
      <c r="AE13" s="41" t="n">
        <f aca="false">'06_CONSTRUCTION'!AE14*('15_TARIFF'!AE12-'15_TARIFF'!AE9)</f>
        <v>1.90930293270907</v>
      </c>
      <c r="AF13" s="41" t="n">
        <f aca="false">'06_CONSTRUCTION'!AF14*('15_TARIFF'!AF12-'15_TARIFF'!AF9)</f>
        <v>2.89372112839195</v>
      </c>
      <c r="AG13" s="41" t="n">
        <f aca="false">'06_CONSTRUCTION'!AG14*('15_TARIFF'!AG12-'15_TARIFF'!AG9)</f>
        <v>0</v>
      </c>
      <c r="AH13" s="41" t="n">
        <f aca="false">'06_CONSTRUCTION'!AH14*('15_TARIFF'!AH12-'15_TARIFF'!AH9)</f>
        <v>0</v>
      </c>
      <c r="AI13" s="41" t="n">
        <f aca="false">'06_CONSTRUCTION'!AI14*('15_TARIFF'!AI12-'15_TARIFF'!AI9)</f>
        <v>0</v>
      </c>
      <c r="AJ13" s="41" t="n">
        <f aca="false">'06_CONSTRUCTION'!AJ14*('15_TARIFF'!AJ12-'15_TARIFF'!AJ9)</f>
        <v>0</v>
      </c>
      <c r="AK13" s="41" t="n">
        <f aca="false">'06_CONSTRUCTION'!AK14*('15_TARIFF'!AK12-'15_TARIFF'!AK9)</f>
        <v>0</v>
      </c>
      <c r="AL13" s="41" t="n">
        <f aca="false">'06_CONSTRUCTION'!AL14*('15_TARIFF'!AL12-'15_TARIFF'!AL9)</f>
        <v>0</v>
      </c>
      <c r="AM13" s="41" t="n">
        <f aca="false">'06_CONSTRUCTION'!AM14*('15_TARIFF'!AM12-'15_TARIFF'!AM9)</f>
        <v>0</v>
      </c>
      <c r="AN13" s="41" t="n">
        <f aca="false">'06_CONSTRUCTION'!AN14*('15_TARIFF'!AN12-'15_TARIFF'!AN9)</f>
        <v>0</v>
      </c>
      <c r="AO13" s="41" t="n">
        <f aca="false">'06_CONSTRUCTION'!AO14*('15_TARIFF'!AO12-'15_TARIFF'!AO9)</f>
        <v>0</v>
      </c>
      <c r="AP13" s="41" t="n">
        <f aca="false">'06_CONSTRUCTION'!AP14*('15_TARIFF'!AP12-'15_TARIFF'!AP9)</f>
        <v>0</v>
      </c>
      <c r="AQ13" s="41" t="n">
        <f aca="false">'06_CONSTRUCTION'!AQ14*('15_TARIFF'!AQ12-'15_TARIFF'!AQ9)</f>
        <v>0</v>
      </c>
      <c r="AR13" s="41" t="n">
        <f aca="false">'06_CONSTRUCTION'!AR14*('15_TARIFF'!AR12-'15_TARIFF'!AR9)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AR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697</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1" t="s">
        <v>698</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ustomFormat="false" ht="15" hidden="false" customHeight="true" outlineLevel="0" collapsed="false">
      <c r="A7" s="23" t="s">
        <v>699</v>
      </c>
      <c r="B7" s="23" t="s">
        <v>299</v>
      </c>
      <c r="C7" s="56" t="n">
        <f aca="false">SUM('16_REVENUE'!$E$7:$AR$7)</f>
        <v>0</v>
      </c>
      <c r="E7" s="56" t="n">
        <f aca="false">'14_PPA'!$C$11*('04_GENERATION'!E19+'04_GENERATION'!E21)</f>
        <v>0</v>
      </c>
      <c r="F7" s="56" t="n">
        <f aca="false">'14_PPA'!$C$11*('04_GENERATION'!F19+'04_GENERATION'!F21)</f>
        <v>0</v>
      </c>
      <c r="G7" s="56" t="n">
        <f aca="false">'14_PPA'!$C$11*('04_GENERATION'!G19+'04_GENERATION'!G21)</f>
        <v>0</v>
      </c>
      <c r="H7" s="56" t="n">
        <f aca="false">'14_PPA'!$C$11*('04_GENERATION'!H19+'04_GENERATION'!H21)</f>
        <v>0</v>
      </c>
      <c r="I7" s="56" t="n">
        <f aca="false">'14_PPA'!$C$11*('04_GENERATION'!I19+'04_GENERATION'!I21)</f>
        <v>0</v>
      </c>
      <c r="J7" s="56" t="n">
        <f aca="false">'14_PPA'!$C$11*('04_GENERATION'!J19+'04_GENERATION'!J21)</f>
        <v>0</v>
      </c>
      <c r="K7" s="56" t="n">
        <f aca="false">'14_PPA'!$C$11*('04_GENERATION'!K19+'04_GENERATION'!K21)</f>
        <v>0</v>
      </c>
      <c r="L7" s="56" t="n">
        <f aca="false">'14_PPA'!$C$11*('04_GENERATION'!L19+'04_GENERATION'!L21)</f>
        <v>0</v>
      </c>
      <c r="M7" s="56" t="n">
        <f aca="false">'14_PPA'!$C$11*('04_GENERATION'!M19+'04_GENERATION'!M21)</f>
        <v>0</v>
      </c>
      <c r="N7" s="56" t="n">
        <f aca="false">'14_PPA'!$C$11*('04_GENERATION'!N19+'04_GENERATION'!N21)</f>
        <v>0</v>
      </c>
      <c r="O7" s="56" t="n">
        <f aca="false">'14_PPA'!$C$11*('04_GENERATION'!O19+'04_GENERATION'!O21)</f>
        <v>0</v>
      </c>
      <c r="P7" s="56" t="n">
        <f aca="false">'14_PPA'!$C$11*('04_GENERATION'!P19+'04_GENERATION'!P21)</f>
        <v>0</v>
      </c>
      <c r="Q7" s="56" t="n">
        <f aca="false">'14_PPA'!$C$11*('04_GENERATION'!Q19+'04_GENERATION'!Q21)</f>
        <v>0</v>
      </c>
      <c r="R7" s="56" t="n">
        <f aca="false">'14_PPA'!$C$11*('04_GENERATION'!R19+'04_GENERATION'!R21)</f>
        <v>0</v>
      </c>
      <c r="S7" s="56" t="n">
        <f aca="false">'14_PPA'!$C$11*('04_GENERATION'!S19+'04_GENERATION'!S21)</f>
        <v>0</v>
      </c>
      <c r="T7" s="56" t="n">
        <f aca="false">'14_PPA'!$C$11*('04_GENERATION'!T19+'04_GENERATION'!T21)</f>
        <v>0</v>
      </c>
      <c r="U7" s="56" t="n">
        <f aca="false">'14_PPA'!$C$11*('04_GENERATION'!U19+'04_GENERATION'!U21)</f>
        <v>0</v>
      </c>
      <c r="V7" s="56" t="n">
        <f aca="false">'14_PPA'!$C$11*('04_GENERATION'!V19+'04_GENERATION'!V21)</f>
        <v>0</v>
      </c>
      <c r="W7" s="56" t="n">
        <f aca="false">'14_PPA'!$C$11*('04_GENERATION'!W19+'04_GENERATION'!W21)</f>
        <v>0</v>
      </c>
      <c r="X7" s="56" t="n">
        <f aca="false">'14_PPA'!$C$11*('04_GENERATION'!X19+'04_GENERATION'!X21)</f>
        <v>0</v>
      </c>
      <c r="Y7" s="56" t="n">
        <f aca="false">'14_PPA'!$C$11*('04_GENERATION'!Y19+'04_GENERATION'!Y21)</f>
        <v>0</v>
      </c>
      <c r="Z7" s="56" t="n">
        <f aca="false">'14_PPA'!$C$11*('04_GENERATION'!Z19+'04_GENERATION'!Z21)</f>
        <v>0</v>
      </c>
      <c r="AA7" s="56" t="n">
        <f aca="false">'14_PPA'!$C$11*('04_GENERATION'!AA19+'04_GENERATION'!AA21)</f>
        <v>0</v>
      </c>
      <c r="AB7" s="56" t="n">
        <f aca="false">'14_PPA'!$C$11*('04_GENERATION'!AB19+'04_GENERATION'!AB21)</f>
        <v>0</v>
      </c>
      <c r="AC7" s="56" t="n">
        <f aca="false">'14_PPA'!$C$11*('04_GENERATION'!AC19+'04_GENERATION'!AC21)</f>
        <v>0</v>
      </c>
      <c r="AD7" s="56" t="n">
        <f aca="false">'14_PPA'!$C$11*('04_GENERATION'!AD19+'04_GENERATION'!AD21)</f>
        <v>0</v>
      </c>
      <c r="AE7" s="56" t="n">
        <f aca="false">'14_PPA'!$C$11*('04_GENERATION'!AE19+'04_GENERATION'!AE21)</f>
        <v>0</v>
      </c>
      <c r="AF7" s="56" t="n">
        <f aca="false">'14_PPA'!$C$11*('04_GENERATION'!AF19+'04_GENERATION'!AF21)</f>
        <v>0</v>
      </c>
      <c r="AG7" s="56" t="n">
        <f aca="false">'14_PPA'!$C$11*('04_GENERATION'!AG19+'04_GENERATION'!AG21)</f>
        <v>0</v>
      </c>
      <c r="AH7" s="56" t="n">
        <f aca="false">'14_PPA'!$C$11*('04_GENERATION'!AH19+'04_GENERATION'!AH21)</f>
        <v>0</v>
      </c>
      <c r="AI7" s="56" t="n">
        <f aca="false">'14_PPA'!$C$11*('04_GENERATION'!AI19+'04_GENERATION'!AI21)</f>
        <v>0</v>
      </c>
      <c r="AJ7" s="56" t="n">
        <f aca="false">'14_PPA'!$C$11*('04_GENERATION'!AJ19+'04_GENERATION'!AJ21)</f>
        <v>0</v>
      </c>
      <c r="AK7" s="56" t="n">
        <f aca="false">'14_PPA'!$C$11*('04_GENERATION'!AK19+'04_GENERATION'!AK21)</f>
        <v>0</v>
      </c>
      <c r="AL7" s="56" t="n">
        <f aca="false">'14_PPA'!$C$11*('04_GENERATION'!AL19+'04_GENERATION'!AL21)</f>
        <v>0</v>
      </c>
      <c r="AM7" s="56" t="n">
        <f aca="false">'14_PPA'!$C$11*('04_GENERATION'!AM19+'04_GENERATION'!AM21)</f>
        <v>0</v>
      </c>
      <c r="AN7" s="56" t="n">
        <f aca="false">'14_PPA'!$C$11*('04_GENERATION'!AN19+'04_GENERATION'!AN21)</f>
        <v>0</v>
      </c>
      <c r="AO7" s="56" t="n">
        <f aca="false">'14_PPA'!$C$11*('04_GENERATION'!AO19+'04_GENERATION'!AO21)</f>
        <v>0</v>
      </c>
      <c r="AP7" s="56" t="n">
        <f aca="false">'14_PPA'!$C$11*('04_GENERATION'!AP19+'04_GENERATION'!AP21)</f>
        <v>0</v>
      </c>
      <c r="AQ7" s="56" t="n">
        <f aca="false">'14_PPA'!$C$11*('04_GENERATION'!AQ19+'04_GENERATION'!AQ21)</f>
        <v>0</v>
      </c>
      <c r="AR7" s="56" t="n">
        <f aca="false">'14_PPA'!$C$11*('04_GENERATION'!AR19+'04_GENERATION'!AR21)</f>
        <v>0</v>
      </c>
    </row>
    <row r="8" customFormat="false" ht="15" hidden="false" customHeight="true" outlineLevel="0" collapsed="false">
      <c r="A8" s="23" t="s">
        <v>700</v>
      </c>
      <c r="B8" s="23" t="s">
        <v>299</v>
      </c>
      <c r="C8" s="56" t="n">
        <f aca="false">SUM('16_REVENUE'!$E$8:$AR$8)</f>
        <v>0</v>
      </c>
      <c r="E8" s="56" t="n">
        <f aca="false">MAX(0,'14_PPA'!$C$12*'04_GENERATION'!E22-'04_GENERATION'!E20-'16_REVENUE'!E7)</f>
        <v>0</v>
      </c>
      <c r="F8" s="56" t="n">
        <f aca="false">MAX(0,'14_PPA'!$C$12*'04_GENERATION'!F22-'04_GENERATION'!F20-'16_REVENUE'!F7)</f>
        <v>0</v>
      </c>
      <c r="G8" s="56" t="n">
        <f aca="false">MAX(0,'14_PPA'!$C$12*'04_GENERATION'!G22-'04_GENERATION'!G20-'16_REVENUE'!G7)</f>
        <v>0</v>
      </c>
      <c r="H8" s="56" t="n">
        <f aca="false">MAX(0,'14_PPA'!$C$12*'04_GENERATION'!H22-'04_GENERATION'!H20-'16_REVENUE'!H7)</f>
        <v>0</v>
      </c>
      <c r="I8" s="56" t="n">
        <f aca="false">MAX(0,'14_PPA'!$C$12*'04_GENERATION'!I22-'04_GENERATION'!I20-'16_REVENUE'!I7)</f>
        <v>0</v>
      </c>
      <c r="J8" s="56" t="n">
        <f aca="false">MAX(0,'14_PPA'!$C$12*'04_GENERATION'!J22-'04_GENERATION'!J20-'16_REVENUE'!J7)</f>
        <v>0</v>
      </c>
      <c r="K8" s="56" t="n">
        <f aca="false">MAX(0,'14_PPA'!$C$12*'04_GENERATION'!K22-'04_GENERATION'!K20-'16_REVENUE'!K7)</f>
        <v>0</v>
      </c>
      <c r="L8" s="56" t="n">
        <f aca="false">MAX(0,'14_PPA'!$C$12*'04_GENERATION'!L22-'04_GENERATION'!L20-'16_REVENUE'!L7)</f>
        <v>0</v>
      </c>
      <c r="M8" s="56" t="n">
        <f aca="false">MAX(0,'14_PPA'!$C$12*'04_GENERATION'!M22-'04_GENERATION'!M20-'16_REVENUE'!M7)</f>
        <v>0</v>
      </c>
      <c r="N8" s="56" t="n">
        <f aca="false">MAX(0,'14_PPA'!$C$12*'04_GENERATION'!N22-'04_GENERATION'!N20-'16_REVENUE'!N7)</f>
        <v>0</v>
      </c>
      <c r="O8" s="56" t="n">
        <f aca="false">MAX(0,'14_PPA'!$C$12*'04_GENERATION'!O22-'04_GENERATION'!O20-'16_REVENUE'!O7)</f>
        <v>0</v>
      </c>
      <c r="P8" s="56" t="n">
        <f aca="false">MAX(0,'14_PPA'!$C$12*'04_GENERATION'!P22-'04_GENERATION'!P20-'16_REVENUE'!P7)</f>
        <v>0</v>
      </c>
      <c r="Q8" s="56" t="n">
        <f aca="false">MAX(0,'14_PPA'!$C$12*'04_GENERATION'!Q22-'04_GENERATION'!Q20-'16_REVENUE'!Q7)</f>
        <v>0</v>
      </c>
      <c r="R8" s="56" t="n">
        <f aca="false">MAX(0,'14_PPA'!$C$12*'04_GENERATION'!R22-'04_GENERATION'!R20-'16_REVENUE'!R7)</f>
        <v>0</v>
      </c>
      <c r="S8" s="56" t="n">
        <f aca="false">MAX(0,'14_PPA'!$C$12*'04_GENERATION'!S22-'04_GENERATION'!S20-'16_REVENUE'!S7)</f>
        <v>0</v>
      </c>
      <c r="T8" s="56" t="n">
        <f aca="false">MAX(0,'14_PPA'!$C$12*'04_GENERATION'!T22-'04_GENERATION'!T20-'16_REVENUE'!T7)</f>
        <v>0</v>
      </c>
      <c r="U8" s="56" t="n">
        <f aca="false">MAX(0,'14_PPA'!$C$12*'04_GENERATION'!U22-'04_GENERATION'!U20-'16_REVENUE'!U7)</f>
        <v>0</v>
      </c>
      <c r="V8" s="56" t="n">
        <f aca="false">MAX(0,'14_PPA'!$C$12*'04_GENERATION'!V22-'04_GENERATION'!V20-'16_REVENUE'!V7)</f>
        <v>0</v>
      </c>
      <c r="W8" s="56" t="n">
        <f aca="false">MAX(0,'14_PPA'!$C$12*'04_GENERATION'!W22-'04_GENERATION'!W20-'16_REVENUE'!W7)</f>
        <v>0</v>
      </c>
      <c r="X8" s="56" t="n">
        <f aca="false">MAX(0,'14_PPA'!$C$12*'04_GENERATION'!X22-'04_GENERATION'!X20-'16_REVENUE'!X7)</f>
        <v>0</v>
      </c>
      <c r="Y8" s="56" t="n">
        <f aca="false">MAX(0,'14_PPA'!$C$12*'04_GENERATION'!Y22-'04_GENERATION'!Y20-'16_REVENUE'!Y7)</f>
        <v>0</v>
      </c>
      <c r="Z8" s="56" t="n">
        <f aca="false">MAX(0,'14_PPA'!$C$12*'04_GENERATION'!Z22-'04_GENERATION'!Z20-'16_REVENUE'!Z7)</f>
        <v>0</v>
      </c>
      <c r="AA8" s="56" t="n">
        <f aca="false">MAX(0,'14_PPA'!$C$12*'04_GENERATION'!AA22-'04_GENERATION'!AA20-'16_REVENUE'!AA7)</f>
        <v>0</v>
      </c>
      <c r="AB8" s="56" t="n">
        <f aca="false">MAX(0,'14_PPA'!$C$12*'04_GENERATION'!AB22-'04_GENERATION'!AB20-'16_REVENUE'!AB7)</f>
        <v>0</v>
      </c>
      <c r="AC8" s="56" t="n">
        <f aca="false">MAX(0,'14_PPA'!$C$12*'04_GENERATION'!AC22-'04_GENERATION'!AC20-'16_REVENUE'!AC7)</f>
        <v>0</v>
      </c>
      <c r="AD8" s="56" t="n">
        <f aca="false">MAX(0,'14_PPA'!$C$12*'04_GENERATION'!AD22-'04_GENERATION'!AD20-'16_REVENUE'!AD7)</f>
        <v>0</v>
      </c>
      <c r="AE8" s="56" t="n">
        <f aca="false">MAX(0,'14_PPA'!$C$12*'04_GENERATION'!AE22-'04_GENERATION'!AE20-'16_REVENUE'!AE7)</f>
        <v>0</v>
      </c>
      <c r="AF8" s="56" t="n">
        <f aca="false">MAX(0,'14_PPA'!$C$12*'04_GENERATION'!AF22-'04_GENERATION'!AF20-'16_REVENUE'!AF7)</f>
        <v>0</v>
      </c>
      <c r="AG8" s="56" t="n">
        <f aca="false">MAX(0,'14_PPA'!$C$12*'04_GENERATION'!AG22-'04_GENERATION'!AG20-'16_REVENUE'!AG7)</f>
        <v>0</v>
      </c>
      <c r="AH8" s="56" t="n">
        <f aca="false">MAX(0,'14_PPA'!$C$12*'04_GENERATION'!AH22-'04_GENERATION'!AH20-'16_REVENUE'!AH7)</f>
        <v>0</v>
      </c>
      <c r="AI8" s="56" t="n">
        <f aca="false">MAX(0,'14_PPA'!$C$12*'04_GENERATION'!AI22-'04_GENERATION'!AI20-'16_REVENUE'!AI7)</f>
        <v>0</v>
      </c>
      <c r="AJ8" s="56" t="n">
        <f aca="false">MAX(0,'14_PPA'!$C$12*'04_GENERATION'!AJ22-'04_GENERATION'!AJ20-'16_REVENUE'!AJ7)</f>
        <v>0</v>
      </c>
      <c r="AK8" s="56" t="n">
        <f aca="false">MAX(0,'14_PPA'!$C$12*'04_GENERATION'!AK22-'04_GENERATION'!AK20-'16_REVENUE'!AK7)</f>
        <v>0</v>
      </c>
      <c r="AL8" s="56" t="n">
        <f aca="false">MAX(0,'14_PPA'!$C$12*'04_GENERATION'!AL22-'04_GENERATION'!AL20-'16_REVENUE'!AL7)</f>
        <v>0</v>
      </c>
      <c r="AM8" s="56" t="n">
        <f aca="false">MAX(0,'14_PPA'!$C$12*'04_GENERATION'!AM22-'04_GENERATION'!AM20-'16_REVENUE'!AM7)</f>
        <v>0</v>
      </c>
      <c r="AN8" s="56" t="n">
        <f aca="false">MAX(0,'14_PPA'!$C$12*'04_GENERATION'!AN22-'04_GENERATION'!AN20-'16_REVENUE'!AN7)</f>
        <v>0</v>
      </c>
      <c r="AO8" s="56" t="n">
        <f aca="false">MAX(0,'14_PPA'!$C$12*'04_GENERATION'!AO22-'04_GENERATION'!AO20-'16_REVENUE'!AO7)</f>
        <v>0</v>
      </c>
      <c r="AP8" s="56" t="n">
        <f aca="false">MAX(0,'14_PPA'!$C$12*'04_GENERATION'!AP22-'04_GENERATION'!AP20-'16_REVENUE'!AP7)</f>
        <v>0</v>
      </c>
      <c r="AQ8" s="56" t="n">
        <f aca="false">MAX(0,'14_PPA'!$C$12*'04_GENERATION'!AQ22-'04_GENERATION'!AQ20-'16_REVENUE'!AQ7)</f>
        <v>0</v>
      </c>
      <c r="AR8" s="56" t="n">
        <f aca="false">MAX(0,'14_PPA'!$C$12*'04_GENERATION'!AR22-'04_GENERATION'!AR20-'16_REVENUE'!AR7)</f>
        <v>0</v>
      </c>
    </row>
    <row r="9" customFormat="false" ht="15" hidden="false" customHeight="true" outlineLevel="0" collapsed="false">
      <c r="A9" s="23" t="s">
        <v>701</v>
      </c>
      <c r="B9" s="23" t="s">
        <v>299</v>
      </c>
      <c r="C9" s="56" t="n">
        <f aca="false">SUM('16_REVENUE'!$E$9:$AR$9)</f>
        <v>7268.16224423197</v>
      </c>
      <c r="E9" s="56" t="n">
        <f aca="false">'04_GENERATION'!E20+'16_REVENUE'!E7+'16_REVENUE'!E8</f>
        <v>0</v>
      </c>
      <c r="F9" s="56" t="n">
        <f aca="false">'04_GENERATION'!F20+'16_REVENUE'!F7+'16_REVENUE'!F8</f>
        <v>0</v>
      </c>
      <c r="G9" s="56" t="n">
        <f aca="false">'04_GENERATION'!G20+'16_REVENUE'!G7+'16_REVENUE'!G8</f>
        <v>0</v>
      </c>
      <c r="H9" s="56" t="n">
        <f aca="false">'04_GENERATION'!H20+'16_REVENUE'!H7+'16_REVENUE'!H8</f>
        <v>248.609171331878</v>
      </c>
      <c r="I9" s="56" t="n">
        <f aca="false">'04_GENERATION'!I20+'16_REVENUE'!I7+'16_REVENUE'!I8</f>
        <v>292.481378037504</v>
      </c>
      <c r="J9" s="56" t="n">
        <f aca="false">'04_GENERATION'!J20+'16_REVENUE'!J7+'16_REVENUE'!J8</f>
        <v>292.481378037504</v>
      </c>
      <c r="K9" s="56" t="n">
        <f aca="false">'04_GENERATION'!K20+'16_REVENUE'!K7+'16_REVENUE'!K8</f>
        <v>292.481378037504</v>
      </c>
      <c r="L9" s="56" t="n">
        <f aca="false">'04_GENERATION'!L20+'16_REVENUE'!L7+'16_REVENUE'!L8</f>
        <v>292.481378037504</v>
      </c>
      <c r="M9" s="56" t="n">
        <f aca="false">'04_GENERATION'!M20+'16_REVENUE'!M7+'16_REVENUE'!M8</f>
        <v>292.481378037504</v>
      </c>
      <c r="N9" s="56" t="n">
        <f aca="false">'04_GENERATION'!N20+'16_REVENUE'!N7+'16_REVENUE'!N8</f>
        <v>292.481378037504</v>
      </c>
      <c r="O9" s="56" t="n">
        <f aca="false">'04_GENERATION'!O20+'16_REVENUE'!O7+'16_REVENUE'!O8</f>
        <v>292.481378037504</v>
      </c>
      <c r="P9" s="56" t="n">
        <f aca="false">'04_GENERATION'!P20+'16_REVENUE'!P7+'16_REVENUE'!P8</f>
        <v>292.481378037504</v>
      </c>
      <c r="Q9" s="56" t="n">
        <f aca="false">'04_GENERATION'!Q20+'16_REVENUE'!Q7+'16_REVENUE'!Q8</f>
        <v>292.481378037504</v>
      </c>
      <c r="R9" s="56" t="n">
        <f aca="false">'04_GENERATION'!R20+'16_REVENUE'!R7+'16_REVENUE'!R8</f>
        <v>292.481378037504</v>
      </c>
      <c r="S9" s="56" t="n">
        <f aca="false">'04_GENERATION'!S20+'16_REVENUE'!S7+'16_REVENUE'!S8</f>
        <v>292.481378037504</v>
      </c>
      <c r="T9" s="56" t="n">
        <f aca="false">'04_GENERATION'!T20+'16_REVENUE'!T7+'16_REVENUE'!T8</f>
        <v>292.481378037504</v>
      </c>
      <c r="U9" s="56" t="n">
        <f aca="false">'04_GENERATION'!U20+'16_REVENUE'!U7+'16_REVENUE'!U8</f>
        <v>292.481378037504</v>
      </c>
      <c r="V9" s="56" t="n">
        <f aca="false">'04_GENERATION'!V20+'16_REVENUE'!V7+'16_REVENUE'!V8</f>
        <v>292.481378037504</v>
      </c>
      <c r="W9" s="56" t="n">
        <f aca="false">'04_GENERATION'!W20+'16_REVENUE'!W7+'16_REVENUE'!W8</f>
        <v>292.481378037504</v>
      </c>
      <c r="X9" s="56" t="n">
        <f aca="false">'04_GENERATION'!X20+'16_REVENUE'!X7+'16_REVENUE'!X8</f>
        <v>292.481378037504</v>
      </c>
      <c r="Y9" s="56" t="n">
        <f aca="false">'04_GENERATION'!Y20+'16_REVENUE'!Y7+'16_REVENUE'!Y8</f>
        <v>292.481378037504</v>
      </c>
      <c r="Z9" s="56" t="n">
        <f aca="false">'04_GENERATION'!Z20+'16_REVENUE'!Z7+'16_REVENUE'!Z8</f>
        <v>292.481378037504</v>
      </c>
      <c r="AA9" s="56" t="n">
        <f aca="false">'04_GENERATION'!AA20+'16_REVENUE'!AA7+'16_REVENUE'!AA8</f>
        <v>292.481378037504</v>
      </c>
      <c r="AB9" s="56" t="n">
        <f aca="false">'04_GENERATION'!AB20+'16_REVENUE'!AB7+'16_REVENUE'!AB8</f>
        <v>292.481378037504</v>
      </c>
      <c r="AC9" s="56" t="n">
        <f aca="false">'04_GENERATION'!AC20+'16_REVENUE'!AC7+'16_REVENUE'!AC8</f>
        <v>292.481378037504</v>
      </c>
      <c r="AD9" s="56" t="n">
        <f aca="false">'04_GENERATION'!AD20+'16_REVENUE'!AD7+'16_REVENUE'!AD8</f>
        <v>292.481378037504</v>
      </c>
      <c r="AE9" s="56" t="n">
        <f aca="false">'04_GENERATION'!AE20+'16_REVENUE'!AE7+'16_REVENUE'!AE8</f>
        <v>292.481378037504</v>
      </c>
      <c r="AF9" s="56" t="n">
        <f aca="false">'04_GENERATION'!AF20+'16_REVENUE'!AF7+'16_REVENUE'!AF8</f>
        <v>292.481378037504</v>
      </c>
      <c r="AG9" s="56" t="n">
        <f aca="false">'04_GENERATION'!AG20+'16_REVENUE'!AG7+'16_REVENUE'!AG8</f>
        <v>0</v>
      </c>
      <c r="AH9" s="56" t="n">
        <f aca="false">'04_GENERATION'!AH20+'16_REVENUE'!AH7+'16_REVENUE'!AH8</f>
        <v>0</v>
      </c>
      <c r="AI9" s="56" t="n">
        <f aca="false">'04_GENERATION'!AI20+'16_REVENUE'!AI7+'16_REVENUE'!AI8</f>
        <v>0</v>
      </c>
      <c r="AJ9" s="56" t="n">
        <f aca="false">'04_GENERATION'!AJ20+'16_REVENUE'!AJ7+'16_REVENUE'!AJ8</f>
        <v>0</v>
      </c>
      <c r="AK9" s="56" t="n">
        <f aca="false">'04_GENERATION'!AK20+'16_REVENUE'!AK7+'16_REVENUE'!AK8</f>
        <v>0</v>
      </c>
      <c r="AL9" s="56" t="n">
        <f aca="false">'04_GENERATION'!AL20+'16_REVENUE'!AL7+'16_REVENUE'!AL8</f>
        <v>0</v>
      </c>
      <c r="AM9" s="56" t="n">
        <f aca="false">'04_GENERATION'!AM20+'16_REVENUE'!AM7+'16_REVENUE'!AM8</f>
        <v>0</v>
      </c>
      <c r="AN9" s="56" t="n">
        <f aca="false">'04_GENERATION'!AN20+'16_REVENUE'!AN7+'16_REVENUE'!AN8</f>
        <v>0</v>
      </c>
      <c r="AO9" s="56" t="n">
        <f aca="false">'04_GENERATION'!AO20+'16_REVENUE'!AO7+'16_REVENUE'!AO8</f>
        <v>0</v>
      </c>
      <c r="AP9" s="56" t="n">
        <f aca="false">'04_GENERATION'!AP20+'16_REVENUE'!AP7+'16_REVENUE'!AP8</f>
        <v>0</v>
      </c>
      <c r="AQ9" s="56" t="n">
        <f aca="false">'04_GENERATION'!AQ20+'16_REVENUE'!AQ7+'16_REVENUE'!AQ8</f>
        <v>0</v>
      </c>
      <c r="AR9" s="56" t="n">
        <f aca="false">'04_GENERATION'!AR20+'16_REVENUE'!AR7+'16_REVENUE'!AR8</f>
        <v>0</v>
      </c>
    </row>
    <row r="10" customFormat="false" ht="15" hidden="false" customHeight="true" outlineLevel="0" collapsed="false">
      <c r="A10" s="21" t="s">
        <v>702</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row>
    <row r="11" customFormat="false" ht="15" hidden="false" customHeight="true" outlineLevel="0" collapsed="false">
      <c r="A11" s="23" t="s">
        <v>703</v>
      </c>
      <c r="B11" s="23" t="s">
        <v>121</v>
      </c>
      <c r="C11" s="58" t="n">
        <f aca="false">SUM('16_REVENUE'!$E$11:$AR$11)</f>
        <v>0</v>
      </c>
      <c r="E11" s="58" t="n">
        <f aca="false">'06_CONSTRUCTION'!E14*'15_TARIFF'!E7*'02_PROJECT_INPUTS'!$C$15*12/1000*'14_PPA'!$C$13*'04_GENERATION'!E14</f>
        <v>0</v>
      </c>
      <c r="F11" s="58" t="n">
        <f aca="false">'06_CONSTRUCTION'!F14*'15_TARIFF'!F7*'02_PROJECT_INPUTS'!$C$15*12/1000*'14_PPA'!$C$13*'04_GENERATION'!F14</f>
        <v>0</v>
      </c>
      <c r="G11" s="58" t="n">
        <f aca="false">'06_CONSTRUCTION'!G14*'15_TARIFF'!G7*'02_PROJECT_INPUTS'!$C$15*12/1000*'14_PPA'!$C$13*'04_GENERATION'!G14</f>
        <v>0</v>
      </c>
      <c r="H11" s="58" t="n">
        <f aca="false">'06_CONSTRUCTION'!H14*'15_TARIFF'!H7*'02_PROJECT_INPUTS'!$C$15*12/1000*'14_PPA'!$C$13*'04_GENERATION'!H14</f>
        <v>0</v>
      </c>
      <c r="I11" s="58" t="n">
        <f aca="false">'06_CONSTRUCTION'!I14*'15_TARIFF'!I7*'02_PROJECT_INPUTS'!$C$15*12/1000*'14_PPA'!$C$13*'04_GENERATION'!I14</f>
        <v>0</v>
      </c>
      <c r="J11" s="58" t="n">
        <f aca="false">'06_CONSTRUCTION'!J14*'15_TARIFF'!J7*'02_PROJECT_INPUTS'!$C$15*12/1000*'14_PPA'!$C$13*'04_GENERATION'!J14</f>
        <v>0</v>
      </c>
      <c r="K11" s="58" t="n">
        <f aca="false">'06_CONSTRUCTION'!K14*'15_TARIFF'!K7*'02_PROJECT_INPUTS'!$C$15*12/1000*'14_PPA'!$C$13*'04_GENERATION'!K14</f>
        <v>0</v>
      </c>
      <c r="L11" s="58" t="n">
        <f aca="false">'06_CONSTRUCTION'!L14*'15_TARIFF'!L7*'02_PROJECT_INPUTS'!$C$15*12/1000*'14_PPA'!$C$13*'04_GENERATION'!L14</f>
        <v>0</v>
      </c>
      <c r="M11" s="58" t="n">
        <f aca="false">'06_CONSTRUCTION'!M14*'15_TARIFF'!M7*'02_PROJECT_INPUTS'!$C$15*12/1000*'14_PPA'!$C$13*'04_GENERATION'!M14</f>
        <v>0</v>
      </c>
      <c r="N11" s="58" t="n">
        <f aca="false">'06_CONSTRUCTION'!N14*'15_TARIFF'!N7*'02_PROJECT_INPUTS'!$C$15*12/1000*'14_PPA'!$C$13*'04_GENERATION'!N14</f>
        <v>0</v>
      </c>
      <c r="O11" s="58" t="n">
        <f aca="false">'06_CONSTRUCTION'!O14*'15_TARIFF'!O7*'02_PROJECT_INPUTS'!$C$15*12/1000*'14_PPA'!$C$13*'04_GENERATION'!O14</f>
        <v>0</v>
      </c>
      <c r="P11" s="58" t="n">
        <f aca="false">'06_CONSTRUCTION'!P14*'15_TARIFF'!P7*'02_PROJECT_INPUTS'!$C$15*12/1000*'14_PPA'!$C$13*'04_GENERATION'!P14</f>
        <v>0</v>
      </c>
      <c r="Q11" s="58" t="n">
        <f aca="false">'06_CONSTRUCTION'!Q14*'15_TARIFF'!Q7*'02_PROJECT_INPUTS'!$C$15*12/1000*'14_PPA'!$C$13*'04_GENERATION'!Q14</f>
        <v>0</v>
      </c>
      <c r="R11" s="58" t="n">
        <f aca="false">'06_CONSTRUCTION'!R14*'15_TARIFF'!R7*'02_PROJECT_INPUTS'!$C$15*12/1000*'14_PPA'!$C$13*'04_GENERATION'!R14</f>
        <v>0</v>
      </c>
      <c r="S11" s="58" t="n">
        <f aca="false">'06_CONSTRUCTION'!S14*'15_TARIFF'!S7*'02_PROJECT_INPUTS'!$C$15*12/1000*'14_PPA'!$C$13*'04_GENERATION'!S14</f>
        <v>0</v>
      </c>
      <c r="T11" s="58" t="n">
        <f aca="false">'06_CONSTRUCTION'!T14*'15_TARIFF'!T7*'02_PROJECT_INPUTS'!$C$15*12/1000*'14_PPA'!$C$13*'04_GENERATION'!T14</f>
        <v>0</v>
      </c>
      <c r="U11" s="58" t="n">
        <f aca="false">'06_CONSTRUCTION'!U14*'15_TARIFF'!U7*'02_PROJECT_INPUTS'!$C$15*12/1000*'14_PPA'!$C$13*'04_GENERATION'!U14</f>
        <v>0</v>
      </c>
      <c r="V11" s="58" t="n">
        <f aca="false">'06_CONSTRUCTION'!V14*'15_TARIFF'!V7*'02_PROJECT_INPUTS'!$C$15*12/1000*'14_PPA'!$C$13*'04_GENERATION'!V14</f>
        <v>0</v>
      </c>
      <c r="W11" s="58" t="n">
        <f aca="false">'06_CONSTRUCTION'!W14*'15_TARIFF'!W7*'02_PROJECT_INPUTS'!$C$15*12/1000*'14_PPA'!$C$13*'04_GENERATION'!W14</f>
        <v>0</v>
      </c>
      <c r="X11" s="58" t="n">
        <f aca="false">'06_CONSTRUCTION'!X14*'15_TARIFF'!X7*'02_PROJECT_INPUTS'!$C$15*12/1000*'14_PPA'!$C$13*'04_GENERATION'!X14</f>
        <v>0</v>
      </c>
      <c r="Y11" s="58" t="n">
        <f aca="false">'06_CONSTRUCTION'!Y14*'15_TARIFF'!Y7*'02_PROJECT_INPUTS'!$C$15*12/1000*'14_PPA'!$C$13*'04_GENERATION'!Y14</f>
        <v>0</v>
      </c>
      <c r="Z11" s="58" t="n">
        <f aca="false">'06_CONSTRUCTION'!Z14*'15_TARIFF'!Z7*'02_PROJECT_INPUTS'!$C$15*12/1000*'14_PPA'!$C$13*'04_GENERATION'!Z14</f>
        <v>0</v>
      </c>
      <c r="AA11" s="58" t="n">
        <f aca="false">'06_CONSTRUCTION'!AA14*'15_TARIFF'!AA7*'02_PROJECT_INPUTS'!$C$15*12/1000*'14_PPA'!$C$13*'04_GENERATION'!AA14</f>
        <v>0</v>
      </c>
      <c r="AB11" s="58" t="n">
        <f aca="false">'06_CONSTRUCTION'!AB14*'15_TARIFF'!AB7*'02_PROJECT_INPUTS'!$C$15*12/1000*'14_PPA'!$C$13*'04_GENERATION'!AB14</f>
        <v>0</v>
      </c>
      <c r="AC11" s="58" t="n">
        <f aca="false">'06_CONSTRUCTION'!AC14*'15_TARIFF'!AC7*'02_PROJECT_INPUTS'!$C$15*12/1000*'14_PPA'!$C$13*'04_GENERATION'!AC14</f>
        <v>0</v>
      </c>
      <c r="AD11" s="58" t="n">
        <f aca="false">'06_CONSTRUCTION'!AD14*'15_TARIFF'!AD7*'02_PROJECT_INPUTS'!$C$15*12/1000*'14_PPA'!$C$13*'04_GENERATION'!AD14</f>
        <v>0</v>
      </c>
      <c r="AE11" s="58" t="n">
        <f aca="false">'06_CONSTRUCTION'!AE14*'15_TARIFF'!AE7*'02_PROJECT_INPUTS'!$C$15*12/1000*'14_PPA'!$C$13*'04_GENERATION'!AE14</f>
        <v>0</v>
      </c>
      <c r="AF11" s="58" t="n">
        <f aca="false">'06_CONSTRUCTION'!AF14*'15_TARIFF'!AF7*'02_PROJECT_INPUTS'!$C$15*12/1000*'14_PPA'!$C$13*'04_GENERATION'!AF14</f>
        <v>0</v>
      </c>
      <c r="AG11" s="58" t="n">
        <f aca="false">'06_CONSTRUCTION'!AG14*'15_TARIFF'!AG7*'02_PROJECT_INPUTS'!$C$15*12/1000*'14_PPA'!$C$13*'04_GENERATION'!AG14</f>
        <v>0</v>
      </c>
      <c r="AH11" s="58" t="n">
        <f aca="false">'06_CONSTRUCTION'!AH14*'15_TARIFF'!AH7*'02_PROJECT_INPUTS'!$C$15*12/1000*'14_PPA'!$C$13*'04_GENERATION'!AH14</f>
        <v>0</v>
      </c>
      <c r="AI11" s="58" t="n">
        <f aca="false">'06_CONSTRUCTION'!AI14*'15_TARIFF'!AI7*'02_PROJECT_INPUTS'!$C$15*12/1000*'14_PPA'!$C$13*'04_GENERATION'!AI14</f>
        <v>0</v>
      </c>
      <c r="AJ11" s="58" t="n">
        <f aca="false">'06_CONSTRUCTION'!AJ14*'15_TARIFF'!AJ7*'02_PROJECT_INPUTS'!$C$15*12/1000*'14_PPA'!$C$13*'04_GENERATION'!AJ14</f>
        <v>0</v>
      </c>
      <c r="AK11" s="58" t="n">
        <f aca="false">'06_CONSTRUCTION'!AK14*'15_TARIFF'!AK7*'02_PROJECT_INPUTS'!$C$15*12/1000*'14_PPA'!$C$13*'04_GENERATION'!AK14</f>
        <v>0</v>
      </c>
      <c r="AL11" s="58" t="n">
        <f aca="false">'06_CONSTRUCTION'!AL14*'15_TARIFF'!AL7*'02_PROJECT_INPUTS'!$C$15*12/1000*'14_PPA'!$C$13*'04_GENERATION'!AL14</f>
        <v>0</v>
      </c>
      <c r="AM11" s="58" t="n">
        <f aca="false">'06_CONSTRUCTION'!AM14*'15_TARIFF'!AM7*'02_PROJECT_INPUTS'!$C$15*12/1000*'14_PPA'!$C$13*'04_GENERATION'!AM14</f>
        <v>0</v>
      </c>
      <c r="AN11" s="58" t="n">
        <f aca="false">'06_CONSTRUCTION'!AN14*'15_TARIFF'!AN7*'02_PROJECT_INPUTS'!$C$15*12/1000*'14_PPA'!$C$13*'04_GENERATION'!AN14</f>
        <v>0</v>
      </c>
      <c r="AO11" s="58" t="n">
        <f aca="false">'06_CONSTRUCTION'!AO14*'15_TARIFF'!AO7*'02_PROJECT_INPUTS'!$C$15*12/1000*'14_PPA'!$C$13*'04_GENERATION'!AO14</f>
        <v>0</v>
      </c>
      <c r="AP11" s="58" t="n">
        <f aca="false">'06_CONSTRUCTION'!AP14*'15_TARIFF'!AP7*'02_PROJECT_INPUTS'!$C$15*12/1000*'14_PPA'!$C$13*'04_GENERATION'!AP14</f>
        <v>0</v>
      </c>
      <c r="AQ11" s="58" t="n">
        <f aca="false">'06_CONSTRUCTION'!AQ14*'15_TARIFF'!AQ7*'02_PROJECT_INPUTS'!$C$15*12/1000*'14_PPA'!$C$13*'04_GENERATION'!AQ14</f>
        <v>0</v>
      </c>
      <c r="AR11" s="58" t="n">
        <f aca="false">'06_CONSTRUCTION'!AR14*'15_TARIFF'!AR7*'02_PROJECT_INPUTS'!$C$15*12/1000*'14_PPA'!$C$13*'04_GENERATION'!AR14</f>
        <v>0</v>
      </c>
    </row>
    <row r="12" customFormat="false" ht="15" hidden="false" customHeight="true" outlineLevel="0" collapsed="false">
      <c r="A12" s="23" t="s">
        <v>704</v>
      </c>
      <c r="B12" s="23" t="s">
        <v>121</v>
      </c>
      <c r="C12" s="58" t="n">
        <f aca="false">SUM('16_REVENUE'!$E$12:$AR$12)</f>
        <v>972.226425926365</v>
      </c>
      <c r="E12" s="58" t="n">
        <f aca="false">'15_TARIFF'!E8*'04_GENERATION'!E20/1000</f>
        <v>0</v>
      </c>
      <c r="F12" s="58" t="n">
        <f aca="false">'15_TARIFF'!F8*'04_GENERATION'!F20/1000</f>
        <v>0</v>
      </c>
      <c r="G12" s="58" t="n">
        <f aca="false">'15_TARIFF'!G8*'04_GENERATION'!G20/1000</f>
        <v>0</v>
      </c>
      <c r="H12" s="58" t="n">
        <f aca="false">'15_TARIFF'!H8*'04_GENERATION'!H20/1000</f>
        <v>28.9918570845374</v>
      </c>
      <c r="I12" s="58" t="n">
        <f aca="false">'15_TARIFF'!I8*'04_GENERATION'!I20/1000</f>
        <v>34.4626493580429</v>
      </c>
      <c r="J12" s="58" t="n">
        <f aca="false">'15_TARIFF'!J8*'04_GENERATION'!J20/1000</f>
        <v>34.8243232018017</v>
      </c>
      <c r="K12" s="58" t="n">
        <f aca="false">'15_TARIFF'!K8*'04_GENERATION'!K20/1000</f>
        <v>35.1932305224358</v>
      </c>
      <c r="L12" s="58" t="n">
        <f aca="false">'15_TARIFF'!L8*'04_GENERATION'!L20/1000</f>
        <v>35.5695159894825</v>
      </c>
      <c r="M12" s="58" t="n">
        <f aca="false">'15_TARIFF'!M8*'04_GENERATION'!M20/1000</f>
        <v>35.9533271658701</v>
      </c>
      <c r="N12" s="58" t="n">
        <f aca="false">'15_TARIFF'!N8*'04_GENERATION'!N20/1000</f>
        <v>36.3448145657855</v>
      </c>
      <c r="O12" s="58" t="n">
        <f aca="false">'15_TARIFF'!O8*'04_GENERATION'!O20/1000</f>
        <v>36.7441317136992</v>
      </c>
      <c r="P12" s="58" t="n">
        <f aca="false">'15_TARIFF'!P8*'04_GENERATION'!P20/1000</f>
        <v>37.1514352045712</v>
      </c>
      <c r="Q12" s="58" t="n">
        <f aca="false">'15_TARIFF'!Q8*'04_GENERATION'!Q20/1000</f>
        <v>37.5668847652606</v>
      </c>
      <c r="R12" s="58" t="n">
        <f aca="false">'15_TARIFF'!R8*'04_GENERATION'!R20/1000</f>
        <v>37.9906433171638</v>
      </c>
      <c r="S12" s="58" t="n">
        <f aca="false">'15_TARIFF'!S8*'04_GENERATION'!S20/1000</f>
        <v>38.4228770401051</v>
      </c>
      <c r="T12" s="58" t="n">
        <f aca="false">'15_TARIFF'!T8*'04_GENERATION'!T20/1000</f>
        <v>38.8637554375052</v>
      </c>
      <c r="U12" s="58" t="n">
        <f aca="false">'15_TARIFF'!U8*'04_GENERATION'!U20/1000</f>
        <v>39.3134514028533</v>
      </c>
      <c r="V12" s="58" t="n">
        <f aca="false">'15_TARIFF'!V8*'04_GENERATION'!V20/1000</f>
        <v>39.7721412875084</v>
      </c>
      <c r="W12" s="58" t="n">
        <f aca="false">'15_TARIFF'!W8*'04_GENERATION'!W20/1000</f>
        <v>40.2400049698565</v>
      </c>
      <c r="X12" s="58" t="n">
        <f aca="false">'15_TARIFF'!X8*'04_GENERATION'!X20/1000</f>
        <v>40.7172259258517</v>
      </c>
      <c r="Y12" s="58" t="n">
        <f aca="false">'15_TARIFF'!Y8*'04_GENERATION'!Y20/1000</f>
        <v>41.2039913009667</v>
      </c>
      <c r="Z12" s="58" t="n">
        <f aca="false">'15_TARIFF'!Z8*'04_GENERATION'!Z20/1000</f>
        <v>41.700491983584</v>
      </c>
      <c r="AA12" s="58" t="n">
        <f aca="false">'15_TARIFF'!AA8*'04_GENERATION'!AA20/1000</f>
        <v>42.2069226798537</v>
      </c>
      <c r="AB12" s="58" t="n">
        <f aca="false">'15_TARIFF'!AB8*'04_GENERATION'!AB20/1000</f>
        <v>42.7234819900488</v>
      </c>
      <c r="AC12" s="58" t="n">
        <f aca="false">'15_TARIFF'!AC8*'04_GENERATION'!AC20/1000</f>
        <v>43.2503724864477</v>
      </c>
      <c r="AD12" s="58" t="n">
        <f aca="false">'15_TARIFF'!AD8*'04_GENERATION'!AD20/1000</f>
        <v>43.7878007927747</v>
      </c>
      <c r="AE12" s="58" t="n">
        <f aca="false">'15_TARIFF'!AE8*'04_GENERATION'!AE20/1000</f>
        <v>44.3359776652282</v>
      </c>
      <c r="AF12" s="58" t="n">
        <f aca="false">'15_TARIFF'!AF8*'04_GENERATION'!AF20/1000</f>
        <v>44.8951180751307</v>
      </c>
      <c r="AG12" s="58" t="n">
        <f aca="false">'15_TARIFF'!AG8*'04_GENERATION'!AG20/1000</f>
        <v>0</v>
      </c>
      <c r="AH12" s="58" t="n">
        <f aca="false">'15_TARIFF'!AH8*'04_GENERATION'!AH20/1000</f>
        <v>0</v>
      </c>
      <c r="AI12" s="58" t="n">
        <f aca="false">'15_TARIFF'!AI8*'04_GENERATION'!AI20/1000</f>
        <v>0</v>
      </c>
      <c r="AJ12" s="58" t="n">
        <f aca="false">'15_TARIFF'!AJ8*'04_GENERATION'!AJ20/1000</f>
        <v>0</v>
      </c>
      <c r="AK12" s="58" t="n">
        <f aca="false">'15_TARIFF'!AK8*'04_GENERATION'!AK20/1000</f>
        <v>0</v>
      </c>
      <c r="AL12" s="58" t="n">
        <f aca="false">'15_TARIFF'!AL8*'04_GENERATION'!AL20/1000</f>
        <v>0</v>
      </c>
      <c r="AM12" s="58" t="n">
        <f aca="false">'15_TARIFF'!AM8*'04_GENERATION'!AM20/1000</f>
        <v>0</v>
      </c>
      <c r="AN12" s="58" t="n">
        <f aca="false">'15_TARIFF'!AN8*'04_GENERATION'!AN20/1000</f>
        <v>0</v>
      </c>
      <c r="AO12" s="58" t="n">
        <f aca="false">'15_TARIFF'!AO8*'04_GENERATION'!AO20/1000</f>
        <v>0</v>
      </c>
      <c r="AP12" s="58" t="n">
        <f aca="false">'15_TARIFF'!AP8*'04_GENERATION'!AP20/1000</f>
        <v>0</v>
      </c>
      <c r="AQ12" s="58" t="n">
        <f aca="false">'15_TARIFF'!AQ8*'04_GENERATION'!AQ20/1000</f>
        <v>0</v>
      </c>
      <c r="AR12" s="58" t="n">
        <f aca="false">'15_TARIFF'!AR8*'04_GENERATION'!AR20/1000</f>
        <v>0</v>
      </c>
    </row>
    <row r="13" customFormat="false" ht="15" hidden="false" customHeight="true" outlineLevel="0" collapsed="false">
      <c r="A13" s="23" t="s">
        <v>705</v>
      </c>
      <c r="B13" s="23" t="s">
        <v>121</v>
      </c>
      <c r="C13" s="58" t="n">
        <f aca="false">SUM('16_REVENUE'!$E$13:$AR$13)</f>
        <v>0</v>
      </c>
      <c r="E13" s="58" t="n">
        <f aca="false">'15_TARIFF'!E8*('16_REVENUE'!E7+'16_REVENUE'!E8)/1000</f>
        <v>0</v>
      </c>
      <c r="F13" s="58" t="n">
        <f aca="false">'15_TARIFF'!F8*('16_REVENUE'!F7+'16_REVENUE'!F8)/1000</f>
        <v>0</v>
      </c>
      <c r="G13" s="58" t="n">
        <f aca="false">'15_TARIFF'!G8*('16_REVENUE'!G7+'16_REVENUE'!G8)/1000</f>
        <v>0</v>
      </c>
      <c r="H13" s="58" t="n">
        <f aca="false">'15_TARIFF'!H8*('16_REVENUE'!H7+'16_REVENUE'!H8)/1000</f>
        <v>0</v>
      </c>
      <c r="I13" s="58" t="n">
        <f aca="false">'15_TARIFF'!I8*('16_REVENUE'!I7+'16_REVENUE'!I8)/1000</f>
        <v>0</v>
      </c>
      <c r="J13" s="58" t="n">
        <f aca="false">'15_TARIFF'!J8*('16_REVENUE'!J7+'16_REVENUE'!J8)/1000</f>
        <v>0</v>
      </c>
      <c r="K13" s="58" t="n">
        <f aca="false">'15_TARIFF'!K8*('16_REVENUE'!K7+'16_REVENUE'!K8)/1000</f>
        <v>0</v>
      </c>
      <c r="L13" s="58" t="n">
        <f aca="false">'15_TARIFF'!L8*('16_REVENUE'!L7+'16_REVENUE'!L8)/1000</f>
        <v>0</v>
      </c>
      <c r="M13" s="58" t="n">
        <f aca="false">'15_TARIFF'!M8*('16_REVENUE'!M7+'16_REVENUE'!M8)/1000</f>
        <v>0</v>
      </c>
      <c r="N13" s="58" t="n">
        <f aca="false">'15_TARIFF'!N8*('16_REVENUE'!N7+'16_REVENUE'!N8)/1000</f>
        <v>0</v>
      </c>
      <c r="O13" s="58" t="n">
        <f aca="false">'15_TARIFF'!O8*('16_REVENUE'!O7+'16_REVENUE'!O8)/1000</f>
        <v>0</v>
      </c>
      <c r="P13" s="58" t="n">
        <f aca="false">'15_TARIFF'!P8*('16_REVENUE'!P7+'16_REVENUE'!P8)/1000</f>
        <v>0</v>
      </c>
      <c r="Q13" s="58" t="n">
        <f aca="false">'15_TARIFF'!Q8*('16_REVENUE'!Q7+'16_REVENUE'!Q8)/1000</f>
        <v>0</v>
      </c>
      <c r="R13" s="58" t="n">
        <f aca="false">'15_TARIFF'!R8*('16_REVENUE'!R7+'16_REVENUE'!R8)/1000</f>
        <v>0</v>
      </c>
      <c r="S13" s="58" t="n">
        <f aca="false">'15_TARIFF'!S8*('16_REVENUE'!S7+'16_REVENUE'!S8)/1000</f>
        <v>0</v>
      </c>
      <c r="T13" s="58" t="n">
        <f aca="false">'15_TARIFF'!T8*('16_REVENUE'!T7+'16_REVENUE'!T8)/1000</f>
        <v>0</v>
      </c>
      <c r="U13" s="58" t="n">
        <f aca="false">'15_TARIFF'!U8*('16_REVENUE'!U7+'16_REVENUE'!U8)/1000</f>
        <v>0</v>
      </c>
      <c r="V13" s="58" t="n">
        <f aca="false">'15_TARIFF'!V8*('16_REVENUE'!V7+'16_REVENUE'!V8)/1000</f>
        <v>0</v>
      </c>
      <c r="W13" s="58" t="n">
        <f aca="false">'15_TARIFF'!W8*('16_REVENUE'!W7+'16_REVENUE'!W8)/1000</f>
        <v>0</v>
      </c>
      <c r="X13" s="58" t="n">
        <f aca="false">'15_TARIFF'!X8*('16_REVENUE'!X7+'16_REVENUE'!X8)/1000</f>
        <v>0</v>
      </c>
      <c r="Y13" s="58" t="n">
        <f aca="false">'15_TARIFF'!Y8*('16_REVENUE'!Y7+'16_REVENUE'!Y8)/1000</f>
        <v>0</v>
      </c>
      <c r="Z13" s="58" t="n">
        <f aca="false">'15_TARIFF'!Z8*('16_REVENUE'!Z7+'16_REVENUE'!Z8)/1000</f>
        <v>0</v>
      </c>
      <c r="AA13" s="58" t="n">
        <f aca="false">'15_TARIFF'!AA8*('16_REVENUE'!AA7+'16_REVENUE'!AA8)/1000</f>
        <v>0</v>
      </c>
      <c r="AB13" s="58" t="n">
        <f aca="false">'15_TARIFF'!AB8*('16_REVENUE'!AB7+'16_REVENUE'!AB8)/1000</f>
        <v>0</v>
      </c>
      <c r="AC13" s="58" t="n">
        <f aca="false">'15_TARIFF'!AC8*('16_REVENUE'!AC7+'16_REVENUE'!AC8)/1000</f>
        <v>0</v>
      </c>
      <c r="AD13" s="58" t="n">
        <f aca="false">'15_TARIFF'!AD8*('16_REVENUE'!AD7+'16_REVENUE'!AD8)/1000</f>
        <v>0</v>
      </c>
      <c r="AE13" s="58" t="n">
        <f aca="false">'15_TARIFF'!AE8*('16_REVENUE'!AE7+'16_REVENUE'!AE8)/1000</f>
        <v>0</v>
      </c>
      <c r="AF13" s="58" t="n">
        <f aca="false">'15_TARIFF'!AF8*('16_REVENUE'!AF7+'16_REVENUE'!AF8)/1000</f>
        <v>0</v>
      </c>
      <c r="AG13" s="58" t="n">
        <f aca="false">'15_TARIFF'!AG8*('16_REVENUE'!AG7+'16_REVENUE'!AG8)/1000</f>
        <v>0</v>
      </c>
      <c r="AH13" s="58" t="n">
        <f aca="false">'15_TARIFF'!AH8*('16_REVENUE'!AH7+'16_REVENUE'!AH8)/1000</f>
        <v>0</v>
      </c>
      <c r="AI13" s="58" t="n">
        <f aca="false">'15_TARIFF'!AI8*('16_REVENUE'!AI7+'16_REVENUE'!AI8)/1000</f>
        <v>0</v>
      </c>
      <c r="AJ13" s="58" t="n">
        <f aca="false">'15_TARIFF'!AJ8*('16_REVENUE'!AJ7+'16_REVENUE'!AJ8)/1000</f>
        <v>0</v>
      </c>
      <c r="AK13" s="58" t="n">
        <f aca="false">'15_TARIFF'!AK8*('16_REVENUE'!AK7+'16_REVENUE'!AK8)/1000</f>
        <v>0</v>
      </c>
      <c r="AL13" s="58" t="n">
        <f aca="false">'15_TARIFF'!AL8*('16_REVENUE'!AL7+'16_REVENUE'!AL8)/1000</f>
        <v>0</v>
      </c>
      <c r="AM13" s="58" t="n">
        <f aca="false">'15_TARIFF'!AM8*('16_REVENUE'!AM7+'16_REVENUE'!AM8)/1000</f>
        <v>0</v>
      </c>
      <c r="AN13" s="58" t="n">
        <f aca="false">'15_TARIFF'!AN8*('16_REVENUE'!AN7+'16_REVENUE'!AN8)/1000</f>
        <v>0</v>
      </c>
      <c r="AO13" s="58" t="n">
        <f aca="false">'15_TARIFF'!AO8*('16_REVENUE'!AO7+'16_REVENUE'!AO8)/1000</f>
        <v>0</v>
      </c>
      <c r="AP13" s="58" t="n">
        <f aca="false">'15_TARIFF'!AP8*('16_REVENUE'!AP7+'16_REVENUE'!AP8)/1000</f>
        <v>0</v>
      </c>
      <c r="AQ13" s="58" t="n">
        <f aca="false">'15_TARIFF'!AQ8*('16_REVENUE'!AQ7+'16_REVENUE'!AQ8)/1000</f>
        <v>0</v>
      </c>
      <c r="AR13" s="58" t="n">
        <f aca="false">'15_TARIFF'!AR8*('16_REVENUE'!AR7+'16_REVENUE'!AR8)/1000</f>
        <v>0</v>
      </c>
    </row>
    <row r="14" customFormat="false" ht="15" hidden="false" customHeight="true" outlineLevel="0" collapsed="false">
      <c r="A14" s="19" t="s">
        <v>706</v>
      </c>
      <c r="B14" s="23" t="s">
        <v>121</v>
      </c>
      <c r="C14" s="58" t="n">
        <f aca="false">SUM('16_REVENUE'!$E$14:$AR$14)</f>
        <v>972.226425926365</v>
      </c>
      <c r="E14" s="72" t="n">
        <f aca="false">'16_REVENUE'!E11+'16_REVENUE'!E12+'16_REVENUE'!E13</f>
        <v>0</v>
      </c>
      <c r="F14" s="72" t="n">
        <f aca="false">'16_REVENUE'!F11+'16_REVENUE'!F12+'16_REVENUE'!F13</f>
        <v>0</v>
      </c>
      <c r="G14" s="72" t="n">
        <f aca="false">'16_REVENUE'!G11+'16_REVENUE'!G12+'16_REVENUE'!G13</f>
        <v>0</v>
      </c>
      <c r="H14" s="72" t="n">
        <f aca="false">'16_REVENUE'!H11+'16_REVENUE'!H12+'16_REVENUE'!H13</f>
        <v>28.9918570845374</v>
      </c>
      <c r="I14" s="72" t="n">
        <f aca="false">'16_REVENUE'!I11+'16_REVENUE'!I12+'16_REVENUE'!I13</f>
        <v>34.4626493580429</v>
      </c>
      <c r="J14" s="72" t="n">
        <f aca="false">'16_REVENUE'!J11+'16_REVENUE'!J12+'16_REVENUE'!J13</f>
        <v>34.8243232018017</v>
      </c>
      <c r="K14" s="72" t="n">
        <f aca="false">'16_REVENUE'!K11+'16_REVENUE'!K12+'16_REVENUE'!K13</f>
        <v>35.1932305224358</v>
      </c>
      <c r="L14" s="72" t="n">
        <f aca="false">'16_REVENUE'!L11+'16_REVENUE'!L12+'16_REVENUE'!L13</f>
        <v>35.5695159894825</v>
      </c>
      <c r="M14" s="72" t="n">
        <f aca="false">'16_REVENUE'!M11+'16_REVENUE'!M12+'16_REVENUE'!M13</f>
        <v>35.9533271658701</v>
      </c>
      <c r="N14" s="72" t="n">
        <f aca="false">'16_REVENUE'!N11+'16_REVENUE'!N12+'16_REVENUE'!N13</f>
        <v>36.3448145657855</v>
      </c>
      <c r="O14" s="72" t="n">
        <f aca="false">'16_REVENUE'!O11+'16_REVENUE'!O12+'16_REVENUE'!O13</f>
        <v>36.7441317136992</v>
      </c>
      <c r="P14" s="72" t="n">
        <f aca="false">'16_REVENUE'!P11+'16_REVENUE'!P12+'16_REVENUE'!P13</f>
        <v>37.1514352045712</v>
      </c>
      <c r="Q14" s="72" t="n">
        <f aca="false">'16_REVENUE'!Q11+'16_REVENUE'!Q12+'16_REVENUE'!Q13</f>
        <v>37.5668847652606</v>
      </c>
      <c r="R14" s="72" t="n">
        <f aca="false">'16_REVENUE'!R11+'16_REVENUE'!R12+'16_REVENUE'!R13</f>
        <v>37.9906433171638</v>
      </c>
      <c r="S14" s="72" t="n">
        <f aca="false">'16_REVENUE'!S11+'16_REVENUE'!S12+'16_REVENUE'!S13</f>
        <v>38.4228770401051</v>
      </c>
      <c r="T14" s="72" t="n">
        <f aca="false">'16_REVENUE'!T11+'16_REVENUE'!T12+'16_REVENUE'!T13</f>
        <v>38.8637554375052</v>
      </c>
      <c r="U14" s="72" t="n">
        <f aca="false">'16_REVENUE'!U11+'16_REVENUE'!U12+'16_REVENUE'!U13</f>
        <v>39.3134514028533</v>
      </c>
      <c r="V14" s="72" t="n">
        <f aca="false">'16_REVENUE'!V11+'16_REVENUE'!V12+'16_REVENUE'!V13</f>
        <v>39.7721412875084</v>
      </c>
      <c r="W14" s="72" t="n">
        <f aca="false">'16_REVENUE'!W11+'16_REVENUE'!W12+'16_REVENUE'!W13</f>
        <v>40.2400049698565</v>
      </c>
      <c r="X14" s="72" t="n">
        <f aca="false">'16_REVENUE'!X11+'16_REVENUE'!X12+'16_REVENUE'!X13</f>
        <v>40.7172259258517</v>
      </c>
      <c r="Y14" s="72" t="n">
        <f aca="false">'16_REVENUE'!Y11+'16_REVENUE'!Y12+'16_REVENUE'!Y13</f>
        <v>41.2039913009667</v>
      </c>
      <c r="Z14" s="72" t="n">
        <f aca="false">'16_REVENUE'!Z11+'16_REVENUE'!Z12+'16_REVENUE'!Z13</f>
        <v>41.700491983584</v>
      </c>
      <c r="AA14" s="72" t="n">
        <f aca="false">'16_REVENUE'!AA11+'16_REVENUE'!AA12+'16_REVENUE'!AA13</f>
        <v>42.2069226798537</v>
      </c>
      <c r="AB14" s="72" t="n">
        <f aca="false">'16_REVENUE'!AB11+'16_REVENUE'!AB12+'16_REVENUE'!AB13</f>
        <v>42.7234819900488</v>
      </c>
      <c r="AC14" s="72" t="n">
        <f aca="false">'16_REVENUE'!AC11+'16_REVENUE'!AC12+'16_REVENUE'!AC13</f>
        <v>43.2503724864477</v>
      </c>
      <c r="AD14" s="72" t="n">
        <f aca="false">'16_REVENUE'!AD11+'16_REVENUE'!AD12+'16_REVENUE'!AD13</f>
        <v>43.7878007927747</v>
      </c>
      <c r="AE14" s="72" t="n">
        <f aca="false">'16_REVENUE'!AE11+'16_REVENUE'!AE12+'16_REVENUE'!AE13</f>
        <v>44.3359776652282</v>
      </c>
      <c r="AF14" s="72" t="n">
        <f aca="false">'16_REVENUE'!AF11+'16_REVENUE'!AF12+'16_REVENUE'!AF13</f>
        <v>44.8951180751307</v>
      </c>
      <c r="AG14" s="72" t="n">
        <f aca="false">'16_REVENUE'!AG11+'16_REVENUE'!AG12+'16_REVENUE'!AG13</f>
        <v>0</v>
      </c>
      <c r="AH14" s="72" t="n">
        <f aca="false">'16_REVENUE'!AH11+'16_REVENUE'!AH12+'16_REVENUE'!AH13</f>
        <v>0</v>
      </c>
      <c r="AI14" s="72" t="n">
        <f aca="false">'16_REVENUE'!AI11+'16_REVENUE'!AI12+'16_REVENUE'!AI13</f>
        <v>0</v>
      </c>
      <c r="AJ14" s="72" t="n">
        <f aca="false">'16_REVENUE'!AJ11+'16_REVENUE'!AJ12+'16_REVENUE'!AJ13</f>
        <v>0</v>
      </c>
      <c r="AK14" s="72" t="n">
        <f aca="false">'16_REVENUE'!AK11+'16_REVENUE'!AK12+'16_REVENUE'!AK13</f>
        <v>0</v>
      </c>
      <c r="AL14" s="72" t="n">
        <f aca="false">'16_REVENUE'!AL11+'16_REVENUE'!AL12+'16_REVENUE'!AL13</f>
        <v>0</v>
      </c>
      <c r="AM14" s="72" t="n">
        <f aca="false">'16_REVENUE'!AM11+'16_REVENUE'!AM12+'16_REVENUE'!AM13</f>
        <v>0</v>
      </c>
      <c r="AN14" s="72" t="n">
        <f aca="false">'16_REVENUE'!AN11+'16_REVENUE'!AN12+'16_REVENUE'!AN13</f>
        <v>0</v>
      </c>
      <c r="AO14" s="72" t="n">
        <f aca="false">'16_REVENUE'!AO11+'16_REVENUE'!AO12+'16_REVENUE'!AO13</f>
        <v>0</v>
      </c>
      <c r="AP14" s="72" t="n">
        <f aca="false">'16_REVENUE'!AP11+'16_REVENUE'!AP12+'16_REVENUE'!AP13</f>
        <v>0</v>
      </c>
      <c r="AQ14" s="72" t="n">
        <f aca="false">'16_REVENUE'!AQ11+'16_REVENUE'!AQ12+'16_REVENUE'!AQ13</f>
        <v>0</v>
      </c>
      <c r="AR14" s="72" t="n">
        <f aca="false">'16_REVENUE'!AR11+'16_REVENUE'!AR12+'16_REVENUE'!AR13</f>
        <v>0</v>
      </c>
    </row>
    <row r="15" customFormat="false" ht="15" hidden="false" customHeight="true" outlineLevel="0" collapsed="false">
      <c r="A15" s="23" t="s">
        <v>707</v>
      </c>
      <c r="B15" s="23" t="s">
        <v>121</v>
      </c>
      <c r="C15" s="58" t="n">
        <f aca="false">SUM('16_REVENUE'!$E$15:$AR$15)</f>
        <v>972.226425926365</v>
      </c>
      <c r="E15" s="58" t="n">
        <f aca="false">'16_REVENUE'!E14*'11_OFFTAKER'!$C$6</f>
        <v>0</v>
      </c>
      <c r="F15" s="58" t="n">
        <f aca="false">'16_REVENUE'!F14*'11_OFFTAKER'!$C$6</f>
        <v>0</v>
      </c>
      <c r="G15" s="58" t="n">
        <f aca="false">'16_REVENUE'!G14*'11_OFFTAKER'!$C$6</f>
        <v>0</v>
      </c>
      <c r="H15" s="58" t="n">
        <f aca="false">'16_REVENUE'!H14*'11_OFFTAKER'!$C$6</f>
        <v>28.9918570845374</v>
      </c>
      <c r="I15" s="58" t="n">
        <f aca="false">'16_REVENUE'!I14*'11_OFFTAKER'!$C$6</f>
        <v>34.4626493580429</v>
      </c>
      <c r="J15" s="58" t="n">
        <f aca="false">'16_REVENUE'!J14*'11_OFFTAKER'!$C$6</f>
        <v>34.8243232018017</v>
      </c>
      <c r="K15" s="58" t="n">
        <f aca="false">'16_REVENUE'!K14*'11_OFFTAKER'!$C$6</f>
        <v>35.1932305224358</v>
      </c>
      <c r="L15" s="58" t="n">
        <f aca="false">'16_REVENUE'!L14*'11_OFFTAKER'!$C$6</f>
        <v>35.5695159894825</v>
      </c>
      <c r="M15" s="58" t="n">
        <f aca="false">'16_REVENUE'!M14*'11_OFFTAKER'!$C$6</f>
        <v>35.9533271658701</v>
      </c>
      <c r="N15" s="58" t="n">
        <f aca="false">'16_REVENUE'!N14*'11_OFFTAKER'!$C$6</f>
        <v>36.3448145657855</v>
      </c>
      <c r="O15" s="58" t="n">
        <f aca="false">'16_REVENUE'!O14*'11_OFFTAKER'!$C$6</f>
        <v>36.7441317136992</v>
      </c>
      <c r="P15" s="58" t="n">
        <f aca="false">'16_REVENUE'!P14*'11_OFFTAKER'!$C$6</f>
        <v>37.1514352045712</v>
      </c>
      <c r="Q15" s="58" t="n">
        <f aca="false">'16_REVENUE'!Q14*'11_OFFTAKER'!$C$6</f>
        <v>37.5668847652606</v>
      </c>
      <c r="R15" s="58" t="n">
        <f aca="false">'16_REVENUE'!R14*'11_OFFTAKER'!$C$6</f>
        <v>37.9906433171638</v>
      </c>
      <c r="S15" s="58" t="n">
        <f aca="false">'16_REVENUE'!S14*'11_OFFTAKER'!$C$6</f>
        <v>38.4228770401051</v>
      </c>
      <c r="T15" s="58" t="n">
        <f aca="false">'16_REVENUE'!T14*'11_OFFTAKER'!$C$6</f>
        <v>38.8637554375052</v>
      </c>
      <c r="U15" s="58" t="n">
        <f aca="false">'16_REVENUE'!U14*'11_OFFTAKER'!$C$6</f>
        <v>39.3134514028533</v>
      </c>
      <c r="V15" s="58" t="n">
        <f aca="false">'16_REVENUE'!V14*'11_OFFTAKER'!$C$6</f>
        <v>39.7721412875084</v>
      </c>
      <c r="W15" s="58" t="n">
        <f aca="false">'16_REVENUE'!W14*'11_OFFTAKER'!$C$6</f>
        <v>40.2400049698565</v>
      </c>
      <c r="X15" s="58" t="n">
        <f aca="false">'16_REVENUE'!X14*'11_OFFTAKER'!$C$6</f>
        <v>40.7172259258517</v>
      </c>
      <c r="Y15" s="58" t="n">
        <f aca="false">'16_REVENUE'!Y14*'11_OFFTAKER'!$C$6</f>
        <v>41.2039913009667</v>
      </c>
      <c r="Z15" s="58" t="n">
        <f aca="false">'16_REVENUE'!Z14*'11_OFFTAKER'!$C$6</f>
        <v>41.700491983584</v>
      </c>
      <c r="AA15" s="58" t="n">
        <f aca="false">'16_REVENUE'!AA14*'11_OFFTAKER'!$C$6</f>
        <v>42.2069226798537</v>
      </c>
      <c r="AB15" s="58" t="n">
        <f aca="false">'16_REVENUE'!AB14*'11_OFFTAKER'!$C$6</f>
        <v>42.7234819900488</v>
      </c>
      <c r="AC15" s="58" t="n">
        <f aca="false">'16_REVENUE'!AC14*'11_OFFTAKER'!$C$6</f>
        <v>43.2503724864477</v>
      </c>
      <c r="AD15" s="58" t="n">
        <f aca="false">'16_REVENUE'!AD14*'11_OFFTAKER'!$C$6</f>
        <v>43.7878007927747</v>
      </c>
      <c r="AE15" s="58" t="n">
        <f aca="false">'16_REVENUE'!AE14*'11_OFFTAKER'!$C$6</f>
        <v>44.3359776652282</v>
      </c>
      <c r="AF15" s="58" t="n">
        <f aca="false">'16_REVENUE'!AF14*'11_OFFTAKER'!$C$6</f>
        <v>44.8951180751307</v>
      </c>
      <c r="AG15" s="58" t="n">
        <f aca="false">'16_REVENUE'!AG14*'11_OFFTAKER'!$C$6</f>
        <v>0</v>
      </c>
      <c r="AH15" s="58" t="n">
        <f aca="false">'16_REVENUE'!AH14*'11_OFFTAKER'!$C$6</f>
        <v>0</v>
      </c>
      <c r="AI15" s="58" t="n">
        <f aca="false">'16_REVENUE'!AI14*'11_OFFTAKER'!$C$6</f>
        <v>0</v>
      </c>
      <c r="AJ15" s="58" t="n">
        <f aca="false">'16_REVENUE'!AJ14*'11_OFFTAKER'!$C$6</f>
        <v>0</v>
      </c>
      <c r="AK15" s="58" t="n">
        <f aca="false">'16_REVENUE'!AK14*'11_OFFTAKER'!$C$6</f>
        <v>0</v>
      </c>
      <c r="AL15" s="58" t="n">
        <f aca="false">'16_REVENUE'!AL14*'11_OFFTAKER'!$C$6</f>
        <v>0</v>
      </c>
      <c r="AM15" s="58" t="n">
        <f aca="false">'16_REVENUE'!AM14*'11_OFFTAKER'!$C$6</f>
        <v>0</v>
      </c>
      <c r="AN15" s="58" t="n">
        <f aca="false">'16_REVENUE'!AN14*'11_OFFTAKER'!$C$6</f>
        <v>0</v>
      </c>
      <c r="AO15" s="58" t="n">
        <f aca="false">'16_REVENUE'!AO14*'11_OFFTAKER'!$C$6</f>
        <v>0</v>
      </c>
      <c r="AP15" s="58" t="n">
        <f aca="false">'16_REVENUE'!AP14*'11_OFFTAKER'!$C$6</f>
        <v>0</v>
      </c>
      <c r="AQ15" s="58" t="n">
        <f aca="false">'16_REVENUE'!AQ14*'11_OFFTAKER'!$C$6</f>
        <v>0</v>
      </c>
      <c r="AR15" s="58" t="n">
        <f aca="false">'16_REVENUE'!AR14*'11_OFFTAKER'!$C$6</f>
        <v>0</v>
      </c>
    </row>
    <row r="16" customFormat="false" ht="15" hidden="false" customHeight="true" outlineLevel="0" collapsed="false">
      <c r="A16" s="23" t="s">
        <v>708</v>
      </c>
      <c r="B16" s="23" t="s">
        <v>121</v>
      </c>
      <c r="C16" s="58" t="n">
        <f aca="false">SUM('16_REVENUE'!$E$16:$AR$16)</f>
        <v>34.4626493580429</v>
      </c>
      <c r="E16" s="58" t="n">
        <f aca="false">IF('06_CONSTRUCTION'!E5=2,'16_REVENUE'!E15,0)</f>
        <v>0</v>
      </c>
      <c r="F16" s="58" t="n">
        <f aca="false">IF('06_CONSTRUCTION'!F5=2,'16_REVENUE'!F15,0)</f>
        <v>0</v>
      </c>
      <c r="G16" s="58" t="n">
        <f aca="false">IF('06_CONSTRUCTION'!G5=2,'16_REVENUE'!G15,0)</f>
        <v>0</v>
      </c>
      <c r="H16" s="58" t="n">
        <f aca="false">IF('06_CONSTRUCTION'!H5=2,'16_REVENUE'!H15,0)</f>
        <v>0</v>
      </c>
      <c r="I16" s="58" t="n">
        <f aca="false">IF('06_CONSTRUCTION'!I5=2,'16_REVENUE'!I15,0)</f>
        <v>34.4626493580429</v>
      </c>
      <c r="J16" s="58" t="n">
        <f aca="false">IF('06_CONSTRUCTION'!J5=2,'16_REVENUE'!J15,0)</f>
        <v>0</v>
      </c>
      <c r="K16" s="58" t="n">
        <f aca="false">IF('06_CONSTRUCTION'!K5=2,'16_REVENUE'!K15,0)</f>
        <v>0</v>
      </c>
      <c r="L16" s="58" t="n">
        <f aca="false">IF('06_CONSTRUCTION'!L5=2,'16_REVENUE'!L15,0)</f>
        <v>0</v>
      </c>
      <c r="M16" s="58" t="n">
        <f aca="false">IF('06_CONSTRUCTION'!M5=2,'16_REVENUE'!M15,0)</f>
        <v>0</v>
      </c>
      <c r="N16" s="58" t="n">
        <f aca="false">IF('06_CONSTRUCTION'!N5=2,'16_REVENUE'!N15,0)</f>
        <v>0</v>
      </c>
      <c r="O16" s="58" t="n">
        <f aca="false">IF('06_CONSTRUCTION'!O5=2,'16_REVENUE'!O15,0)</f>
        <v>0</v>
      </c>
      <c r="P16" s="58" t="n">
        <f aca="false">IF('06_CONSTRUCTION'!P5=2,'16_REVENUE'!P15,0)</f>
        <v>0</v>
      </c>
      <c r="Q16" s="58" t="n">
        <f aca="false">IF('06_CONSTRUCTION'!Q5=2,'16_REVENUE'!Q15,0)</f>
        <v>0</v>
      </c>
      <c r="R16" s="58" t="n">
        <f aca="false">IF('06_CONSTRUCTION'!R5=2,'16_REVENUE'!R15,0)</f>
        <v>0</v>
      </c>
      <c r="S16" s="58" t="n">
        <f aca="false">IF('06_CONSTRUCTION'!S5=2,'16_REVENUE'!S15,0)</f>
        <v>0</v>
      </c>
      <c r="T16" s="58" t="n">
        <f aca="false">IF('06_CONSTRUCTION'!T5=2,'16_REVENUE'!T15,0)</f>
        <v>0</v>
      </c>
      <c r="U16" s="58" t="n">
        <f aca="false">IF('06_CONSTRUCTION'!U5=2,'16_REVENUE'!U15,0)</f>
        <v>0</v>
      </c>
      <c r="V16" s="58" t="n">
        <f aca="false">IF('06_CONSTRUCTION'!V5=2,'16_REVENUE'!V15,0)</f>
        <v>0</v>
      </c>
      <c r="W16" s="58" t="n">
        <f aca="false">IF('06_CONSTRUCTION'!W5=2,'16_REVENUE'!W15,0)</f>
        <v>0</v>
      </c>
      <c r="X16" s="58" t="n">
        <f aca="false">IF('06_CONSTRUCTION'!X5=2,'16_REVENUE'!X15,0)</f>
        <v>0</v>
      </c>
      <c r="Y16" s="58" t="n">
        <f aca="false">IF('06_CONSTRUCTION'!Y5=2,'16_REVENUE'!Y15,0)</f>
        <v>0</v>
      </c>
      <c r="Z16" s="58" t="n">
        <f aca="false">IF('06_CONSTRUCTION'!Z5=2,'16_REVENUE'!Z15,0)</f>
        <v>0</v>
      </c>
      <c r="AA16" s="58" t="n">
        <f aca="false">IF('06_CONSTRUCTION'!AA5=2,'16_REVENUE'!AA15,0)</f>
        <v>0</v>
      </c>
      <c r="AB16" s="58" t="n">
        <f aca="false">IF('06_CONSTRUCTION'!AB5=2,'16_REVENUE'!AB15,0)</f>
        <v>0</v>
      </c>
      <c r="AC16" s="58" t="n">
        <f aca="false">IF('06_CONSTRUCTION'!AC5=2,'16_REVENUE'!AC15,0)</f>
        <v>0</v>
      </c>
      <c r="AD16" s="58" t="n">
        <f aca="false">IF('06_CONSTRUCTION'!AD5=2,'16_REVENUE'!AD15,0)</f>
        <v>0</v>
      </c>
      <c r="AE16" s="58" t="n">
        <f aca="false">IF('06_CONSTRUCTION'!AE5=2,'16_REVENUE'!AE15,0)</f>
        <v>0</v>
      </c>
      <c r="AF16" s="58" t="n">
        <f aca="false">IF('06_CONSTRUCTION'!AF5=2,'16_REVENUE'!AF15,0)</f>
        <v>0</v>
      </c>
      <c r="AG16" s="58" t="n">
        <f aca="false">IF('06_CONSTRUCTION'!AG5=2,'16_REVENUE'!AG15,0)</f>
        <v>0</v>
      </c>
      <c r="AH16" s="58" t="n">
        <f aca="false">IF('06_CONSTRUCTION'!AH5=2,'16_REVENUE'!AH15,0)</f>
        <v>0</v>
      </c>
      <c r="AI16" s="58" t="n">
        <f aca="false">IF('06_CONSTRUCTION'!AI5=2,'16_REVENUE'!AI15,0)</f>
        <v>0</v>
      </c>
      <c r="AJ16" s="58" t="n">
        <f aca="false">IF('06_CONSTRUCTION'!AJ5=2,'16_REVENUE'!AJ15,0)</f>
        <v>0</v>
      </c>
      <c r="AK16" s="58" t="n">
        <f aca="false">IF('06_CONSTRUCTION'!AK5=2,'16_REVENUE'!AK15,0)</f>
        <v>0</v>
      </c>
      <c r="AL16" s="58" t="n">
        <f aca="false">IF('06_CONSTRUCTION'!AL5=2,'16_REVENUE'!AL15,0)</f>
        <v>0</v>
      </c>
      <c r="AM16" s="58" t="n">
        <f aca="false">IF('06_CONSTRUCTION'!AM5=2,'16_REVENUE'!AM15,0)</f>
        <v>0</v>
      </c>
      <c r="AN16" s="58" t="n">
        <f aca="false">IF('06_CONSTRUCTION'!AN5=2,'16_REVENUE'!AN15,0)</f>
        <v>0</v>
      </c>
      <c r="AO16" s="58" t="n">
        <f aca="false">IF('06_CONSTRUCTION'!AO5=2,'16_REVENUE'!AO15,0)</f>
        <v>0</v>
      </c>
      <c r="AP16" s="58" t="n">
        <f aca="false">IF('06_CONSTRUCTION'!AP5=2,'16_REVENUE'!AP15,0)</f>
        <v>0</v>
      </c>
      <c r="AQ16" s="58" t="n">
        <f aca="false">IF('06_CONSTRUCTION'!AQ5=2,'16_REVENUE'!AQ15,0)</f>
        <v>0</v>
      </c>
      <c r="AR16" s="58" t="n">
        <f aca="false">IF('06_CONSTRUCTION'!AR5=2,'16_REVENUE'!AR15,0)</f>
        <v>0</v>
      </c>
    </row>
    <row r="17" customFormat="false" ht="15" hidden="false" customHeight="true" outlineLevel="0" collapsed="false">
      <c r="A17" s="23" t="s">
        <v>709</v>
      </c>
      <c r="B17" s="23" t="s">
        <v>121</v>
      </c>
      <c r="C17" s="58" t="n">
        <f aca="false">SUM('16_REVENUE'!$E$17:$AR$17)</f>
        <v>0</v>
      </c>
      <c r="E17" s="58" t="n">
        <f aca="false">'16_REVENUE'!E14-'16_REVENUE'!E15</f>
        <v>0</v>
      </c>
      <c r="F17" s="58" t="n">
        <f aca="false">'16_REVENUE'!F14-'16_REVENUE'!F15</f>
        <v>0</v>
      </c>
      <c r="G17" s="58" t="n">
        <f aca="false">'16_REVENUE'!G14-'16_REVENUE'!G15</f>
        <v>0</v>
      </c>
      <c r="H17" s="58" t="n">
        <f aca="false">'16_REVENUE'!H14-'16_REVENUE'!H15</f>
        <v>0</v>
      </c>
      <c r="I17" s="58" t="n">
        <f aca="false">'16_REVENUE'!I14-'16_REVENUE'!I15</f>
        <v>0</v>
      </c>
      <c r="J17" s="58" t="n">
        <f aca="false">'16_REVENUE'!J14-'16_REVENUE'!J15</f>
        <v>0</v>
      </c>
      <c r="K17" s="58" t="n">
        <f aca="false">'16_REVENUE'!K14-'16_REVENUE'!K15</f>
        <v>0</v>
      </c>
      <c r="L17" s="58" t="n">
        <f aca="false">'16_REVENUE'!L14-'16_REVENUE'!L15</f>
        <v>0</v>
      </c>
      <c r="M17" s="58" t="n">
        <f aca="false">'16_REVENUE'!M14-'16_REVENUE'!M15</f>
        <v>0</v>
      </c>
      <c r="N17" s="58" t="n">
        <f aca="false">'16_REVENUE'!N14-'16_REVENUE'!N15</f>
        <v>0</v>
      </c>
      <c r="O17" s="58" t="n">
        <f aca="false">'16_REVENUE'!O14-'16_REVENUE'!O15</f>
        <v>0</v>
      </c>
      <c r="P17" s="58" t="n">
        <f aca="false">'16_REVENUE'!P14-'16_REVENUE'!P15</f>
        <v>0</v>
      </c>
      <c r="Q17" s="58" t="n">
        <f aca="false">'16_REVENUE'!Q14-'16_REVENUE'!Q15</f>
        <v>0</v>
      </c>
      <c r="R17" s="58" t="n">
        <f aca="false">'16_REVENUE'!R14-'16_REVENUE'!R15</f>
        <v>0</v>
      </c>
      <c r="S17" s="58" t="n">
        <f aca="false">'16_REVENUE'!S14-'16_REVENUE'!S15</f>
        <v>0</v>
      </c>
      <c r="T17" s="58" t="n">
        <f aca="false">'16_REVENUE'!T14-'16_REVENUE'!T15</f>
        <v>0</v>
      </c>
      <c r="U17" s="58" t="n">
        <f aca="false">'16_REVENUE'!U14-'16_REVENUE'!U15</f>
        <v>0</v>
      </c>
      <c r="V17" s="58" t="n">
        <f aca="false">'16_REVENUE'!V14-'16_REVENUE'!V15</f>
        <v>0</v>
      </c>
      <c r="W17" s="58" t="n">
        <f aca="false">'16_REVENUE'!W14-'16_REVENUE'!W15</f>
        <v>0</v>
      </c>
      <c r="X17" s="58" t="n">
        <f aca="false">'16_REVENUE'!X14-'16_REVENUE'!X15</f>
        <v>0</v>
      </c>
      <c r="Y17" s="58" t="n">
        <f aca="false">'16_REVENUE'!Y14-'16_REVENUE'!Y15</f>
        <v>0</v>
      </c>
      <c r="Z17" s="58" t="n">
        <f aca="false">'16_REVENUE'!Z14-'16_REVENUE'!Z15</f>
        <v>0</v>
      </c>
      <c r="AA17" s="58" t="n">
        <f aca="false">'16_REVENUE'!AA14-'16_REVENUE'!AA15</f>
        <v>0</v>
      </c>
      <c r="AB17" s="58" t="n">
        <f aca="false">'16_REVENUE'!AB14-'16_REVENUE'!AB15</f>
        <v>0</v>
      </c>
      <c r="AC17" s="58" t="n">
        <f aca="false">'16_REVENUE'!AC14-'16_REVENUE'!AC15</f>
        <v>0</v>
      </c>
      <c r="AD17" s="58" t="n">
        <f aca="false">'16_REVENUE'!AD14-'16_REVENUE'!AD15</f>
        <v>0</v>
      </c>
      <c r="AE17" s="58" t="n">
        <f aca="false">'16_REVENUE'!AE14-'16_REVENUE'!AE15</f>
        <v>0</v>
      </c>
      <c r="AF17" s="58" t="n">
        <f aca="false">'16_REVENUE'!AF14-'16_REVENUE'!AF15</f>
        <v>0</v>
      </c>
      <c r="AG17" s="58" t="n">
        <f aca="false">'16_REVENUE'!AG14-'16_REVENUE'!AG15</f>
        <v>0</v>
      </c>
      <c r="AH17" s="58" t="n">
        <f aca="false">'16_REVENUE'!AH14-'16_REVENUE'!AH15</f>
        <v>0</v>
      </c>
      <c r="AI17" s="58" t="n">
        <f aca="false">'16_REVENUE'!AI14-'16_REVENUE'!AI15</f>
        <v>0</v>
      </c>
      <c r="AJ17" s="58" t="n">
        <f aca="false">'16_REVENUE'!AJ14-'16_REVENUE'!AJ15</f>
        <v>0</v>
      </c>
      <c r="AK17" s="58" t="n">
        <f aca="false">'16_REVENUE'!AK14-'16_REVENUE'!AK15</f>
        <v>0</v>
      </c>
      <c r="AL17" s="58" t="n">
        <f aca="false">'16_REVENUE'!AL14-'16_REVENUE'!AL15</f>
        <v>0</v>
      </c>
      <c r="AM17" s="58" t="n">
        <f aca="false">'16_REVENUE'!AM14-'16_REVENUE'!AM15</f>
        <v>0</v>
      </c>
      <c r="AN17" s="58" t="n">
        <f aca="false">'16_REVENUE'!AN14-'16_REVENUE'!AN15</f>
        <v>0</v>
      </c>
      <c r="AO17" s="58" t="n">
        <f aca="false">'16_REVENUE'!AO14-'16_REVENUE'!AO15</f>
        <v>0</v>
      </c>
      <c r="AP17" s="58" t="n">
        <f aca="false">'16_REVENUE'!AP14-'16_REVENUE'!AP15</f>
        <v>0</v>
      </c>
      <c r="AQ17" s="58" t="n">
        <f aca="false">'16_REVENUE'!AQ14-'16_REVENUE'!AQ15</f>
        <v>0</v>
      </c>
      <c r="AR17" s="58" t="n">
        <f aca="false">'16_REVENUE'!AR14-'16_REVENUE'!AR15</f>
        <v>0</v>
      </c>
    </row>
    <row r="18" customFormat="false" ht="15" hidden="false" customHeight="true" outlineLevel="0" collapsed="false">
      <c r="A18" s="21" t="s">
        <v>710</v>
      </c>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row>
    <row r="19" customFormat="false" ht="15" hidden="false" customHeight="true" outlineLevel="0" collapsed="false">
      <c r="A19" s="23" t="s">
        <v>711</v>
      </c>
      <c r="B19" s="23" t="s">
        <v>121</v>
      </c>
      <c r="C19" s="58" t="n">
        <f aca="false">SUM('16_REVENUE'!$E$19:$AR$19)</f>
        <v>0</v>
      </c>
      <c r="E19" s="58" t="n">
        <f aca="false">IF('01_CONTROL_PANEL'!$C$12=1,'12_UTILITY'!E43*'01_CONTROL_PANEL'!$C$13,0)</f>
        <v>0</v>
      </c>
      <c r="F19" s="58" t="n">
        <f aca="false">IF('01_CONTROL_PANEL'!$C$12=1,'12_UTILITY'!F43*'01_CONTROL_PANEL'!$C$13,0)</f>
        <v>0</v>
      </c>
      <c r="G19" s="58" t="n">
        <f aca="false">IF('01_CONTROL_PANEL'!$C$12=1,'12_UTILITY'!G43*'01_CONTROL_PANEL'!$C$13,0)</f>
        <v>0</v>
      </c>
      <c r="H19" s="58" t="n">
        <f aca="false">IF('01_CONTROL_PANEL'!$C$12=1,'12_UTILITY'!H43*'01_CONTROL_PANEL'!$C$13,0)</f>
        <v>0</v>
      </c>
      <c r="I19" s="58" t="n">
        <f aca="false">IF('01_CONTROL_PANEL'!$C$12=1,'12_UTILITY'!I43*'01_CONTROL_PANEL'!$C$13,0)</f>
        <v>0</v>
      </c>
      <c r="J19" s="58" t="n">
        <f aca="false">IF('01_CONTROL_PANEL'!$C$12=1,'12_UTILITY'!J43*'01_CONTROL_PANEL'!$C$13,0)</f>
        <v>0</v>
      </c>
      <c r="K19" s="58" t="n">
        <f aca="false">IF('01_CONTROL_PANEL'!$C$12=1,'12_UTILITY'!K43*'01_CONTROL_PANEL'!$C$13,0)</f>
        <v>0</v>
      </c>
      <c r="L19" s="58" t="n">
        <f aca="false">IF('01_CONTROL_PANEL'!$C$12=1,'12_UTILITY'!L43*'01_CONTROL_PANEL'!$C$13,0)</f>
        <v>0</v>
      </c>
      <c r="M19" s="58" t="n">
        <f aca="false">IF('01_CONTROL_PANEL'!$C$12=1,'12_UTILITY'!M43*'01_CONTROL_PANEL'!$C$13,0)</f>
        <v>0</v>
      </c>
      <c r="N19" s="58" t="n">
        <f aca="false">IF('01_CONTROL_PANEL'!$C$12=1,'12_UTILITY'!N43*'01_CONTROL_PANEL'!$C$13,0)</f>
        <v>0</v>
      </c>
      <c r="O19" s="58" t="n">
        <f aca="false">IF('01_CONTROL_PANEL'!$C$12=1,'12_UTILITY'!O43*'01_CONTROL_PANEL'!$C$13,0)</f>
        <v>0</v>
      </c>
      <c r="P19" s="58" t="n">
        <f aca="false">IF('01_CONTROL_PANEL'!$C$12=1,'12_UTILITY'!P43*'01_CONTROL_PANEL'!$C$13,0)</f>
        <v>0</v>
      </c>
      <c r="Q19" s="58" t="n">
        <f aca="false">IF('01_CONTROL_PANEL'!$C$12=1,'12_UTILITY'!Q43*'01_CONTROL_PANEL'!$C$13,0)</f>
        <v>0</v>
      </c>
      <c r="R19" s="58" t="n">
        <f aca="false">IF('01_CONTROL_PANEL'!$C$12=1,'12_UTILITY'!R43*'01_CONTROL_PANEL'!$C$13,0)</f>
        <v>0</v>
      </c>
      <c r="S19" s="58" t="n">
        <f aca="false">IF('01_CONTROL_PANEL'!$C$12=1,'12_UTILITY'!S43*'01_CONTROL_PANEL'!$C$13,0)</f>
        <v>0</v>
      </c>
      <c r="T19" s="58" t="n">
        <f aca="false">IF('01_CONTROL_PANEL'!$C$12=1,'12_UTILITY'!T43*'01_CONTROL_PANEL'!$C$13,0)</f>
        <v>0</v>
      </c>
      <c r="U19" s="58" t="n">
        <f aca="false">IF('01_CONTROL_PANEL'!$C$12=1,'12_UTILITY'!U43*'01_CONTROL_PANEL'!$C$13,0)</f>
        <v>0</v>
      </c>
      <c r="V19" s="58" t="n">
        <f aca="false">IF('01_CONTROL_PANEL'!$C$12=1,'12_UTILITY'!V43*'01_CONTROL_PANEL'!$C$13,0)</f>
        <v>0</v>
      </c>
      <c r="W19" s="58" t="n">
        <f aca="false">IF('01_CONTROL_PANEL'!$C$12=1,'12_UTILITY'!W43*'01_CONTROL_PANEL'!$C$13,0)</f>
        <v>0</v>
      </c>
      <c r="X19" s="58" t="n">
        <f aca="false">IF('01_CONTROL_PANEL'!$C$12=1,'12_UTILITY'!X43*'01_CONTROL_PANEL'!$C$13,0)</f>
        <v>0</v>
      </c>
      <c r="Y19" s="58" t="n">
        <f aca="false">IF('01_CONTROL_PANEL'!$C$12=1,'12_UTILITY'!Y43*'01_CONTROL_PANEL'!$C$13,0)</f>
        <v>0</v>
      </c>
      <c r="Z19" s="58" t="n">
        <f aca="false">IF('01_CONTROL_PANEL'!$C$12=1,'12_UTILITY'!Z43*'01_CONTROL_PANEL'!$C$13,0)</f>
        <v>0</v>
      </c>
      <c r="AA19" s="58" t="n">
        <f aca="false">IF('01_CONTROL_PANEL'!$C$12=1,'12_UTILITY'!AA43*'01_CONTROL_PANEL'!$C$13,0)</f>
        <v>0</v>
      </c>
      <c r="AB19" s="58" t="n">
        <f aca="false">IF('01_CONTROL_PANEL'!$C$12=1,'12_UTILITY'!AB43*'01_CONTROL_PANEL'!$C$13,0)</f>
        <v>0</v>
      </c>
      <c r="AC19" s="58" t="n">
        <f aca="false">IF('01_CONTROL_PANEL'!$C$12=1,'12_UTILITY'!AC43*'01_CONTROL_PANEL'!$C$13,0)</f>
        <v>0</v>
      </c>
      <c r="AD19" s="58" t="n">
        <f aca="false">IF('01_CONTROL_PANEL'!$C$12=1,'12_UTILITY'!AD43*'01_CONTROL_PANEL'!$C$13,0)</f>
        <v>0</v>
      </c>
      <c r="AE19" s="58" t="n">
        <f aca="false">IF('01_CONTROL_PANEL'!$C$12=1,'12_UTILITY'!AE43*'01_CONTROL_PANEL'!$C$13,0)</f>
        <v>0</v>
      </c>
      <c r="AF19" s="58" t="n">
        <f aca="false">IF('01_CONTROL_PANEL'!$C$12=1,'12_UTILITY'!AF43*'01_CONTROL_PANEL'!$C$13,0)</f>
        <v>0</v>
      </c>
      <c r="AG19" s="58" t="n">
        <f aca="false">IF('01_CONTROL_PANEL'!$C$12=1,'12_UTILITY'!AG43*'01_CONTROL_PANEL'!$C$13,0)</f>
        <v>0</v>
      </c>
      <c r="AH19" s="58" t="n">
        <f aca="false">IF('01_CONTROL_PANEL'!$C$12=1,'12_UTILITY'!AH43*'01_CONTROL_PANEL'!$C$13,0)</f>
        <v>0</v>
      </c>
      <c r="AI19" s="58" t="n">
        <f aca="false">IF('01_CONTROL_PANEL'!$C$12=1,'12_UTILITY'!AI43*'01_CONTROL_PANEL'!$C$13,0)</f>
        <v>0</v>
      </c>
      <c r="AJ19" s="58" t="n">
        <f aca="false">IF('01_CONTROL_PANEL'!$C$12=1,'12_UTILITY'!AJ43*'01_CONTROL_PANEL'!$C$13,0)</f>
        <v>0</v>
      </c>
      <c r="AK19" s="58" t="n">
        <f aca="false">IF('01_CONTROL_PANEL'!$C$12=1,'12_UTILITY'!AK43*'01_CONTROL_PANEL'!$C$13,0)</f>
        <v>0</v>
      </c>
      <c r="AL19" s="58" t="n">
        <f aca="false">IF('01_CONTROL_PANEL'!$C$12=1,'12_UTILITY'!AL43*'01_CONTROL_PANEL'!$C$13,0)</f>
        <v>0</v>
      </c>
      <c r="AM19" s="58" t="n">
        <f aca="false">IF('01_CONTROL_PANEL'!$C$12=1,'12_UTILITY'!AM43*'01_CONTROL_PANEL'!$C$13,0)</f>
        <v>0</v>
      </c>
      <c r="AN19" s="58" t="n">
        <f aca="false">IF('01_CONTROL_PANEL'!$C$12=1,'12_UTILITY'!AN43*'01_CONTROL_PANEL'!$C$13,0)</f>
        <v>0</v>
      </c>
      <c r="AO19" s="58" t="n">
        <f aca="false">IF('01_CONTROL_PANEL'!$C$12=1,'12_UTILITY'!AO43*'01_CONTROL_PANEL'!$C$13,0)</f>
        <v>0</v>
      </c>
      <c r="AP19" s="58" t="n">
        <f aca="false">IF('01_CONTROL_PANEL'!$C$12=1,'12_UTILITY'!AP43*'01_CONTROL_PANEL'!$C$13,0)</f>
        <v>0</v>
      </c>
      <c r="AQ19" s="58" t="n">
        <f aca="false">IF('01_CONTROL_PANEL'!$C$12=1,'12_UTILITY'!AQ43*'01_CONTROL_PANEL'!$C$13,0)</f>
        <v>0</v>
      </c>
      <c r="AR19" s="58" t="n">
        <f aca="false">IF('01_CONTROL_PANEL'!$C$12=1,'12_UTILITY'!AR43*'01_CONTROL_PANEL'!$C$13,0)</f>
        <v>0</v>
      </c>
    </row>
    <row r="20" customFormat="false" ht="15" hidden="false" customHeight="true" outlineLevel="0" collapsed="false">
      <c r="A20" s="23" t="s">
        <v>712</v>
      </c>
      <c r="B20" s="23" t="s">
        <v>121</v>
      </c>
      <c r="E20" s="58" t="n">
        <f aca="false">'17A_STRUCTURES'!$C$14*'23_GUARANTEES'!$C$6/12*'16_REVENUE'!E15</f>
        <v>0</v>
      </c>
      <c r="F20" s="58" t="n">
        <f aca="false">'17A_STRUCTURES'!$C$14*'23_GUARANTEES'!$C$6/12*'16_REVENUE'!F15</f>
        <v>0</v>
      </c>
      <c r="G20" s="58" t="n">
        <f aca="false">'17A_STRUCTURES'!$C$14*'23_GUARANTEES'!$C$6/12*'16_REVENUE'!G15</f>
        <v>0</v>
      </c>
      <c r="H20" s="58" t="n">
        <f aca="false">'17A_STRUCTURES'!$C$14*'23_GUARANTEES'!$C$6/12*'16_REVENUE'!H15</f>
        <v>28.9918570845374</v>
      </c>
      <c r="I20" s="58" t="n">
        <f aca="false">'17A_STRUCTURES'!$C$14*'23_GUARANTEES'!$C$6/12*'16_REVENUE'!I15</f>
        <v>34.4626493580429</v>
      </c>
      <c r="J20" s="58" t="n">
        <f aca="false">'17A_STRUCTURES'!$C$14*'23_GUARANTEES'!$C$6/12*'16_REVENUE'!J15</f>
        <v>34.8243232018017</v>
      </c>
      <c r="K20" s="58" t="n">
        <f aca="false">'17A_STRUCTURES'!$C$14*'23_GUARANTEES'!$C$6/12*'16_REVENUE'!K15</f>
        <v>35.1932305224358</v>
      </c>
      <c r="L20" s="58" t="n">
        <f aca="false">'17A_STRUCTURES'!$C$14*'23_GUARANTEES'!$C$6/12*'16_REVENUE'!L15</f>
        <v>35.5695159894825</v>
      </c>
      <c r="M20" s="58" t="n">
        <f aca="false">'17A_STRUCTURES'!$C$14*'23_GUARANTEES'!$C$6/12*'16_REVENUE'!M15</f>
        <v>35.9533271658701</v>
      </c>
      <c r="N20" s="58" t="n">
        <f aca="false">'17A_STRUCTURES'!$C$14*'23_GUARANTEES'!$C$6/12*'16_REVENUE'!N15</f>
        <v>36.3448145657855</v>
      </c>
      <c r="O20" s="58" t="n">
        <f aca="false">'17A_STRUCTURES'!$C$14*'23_GUARANTEES'!$C$6/12*'16_REVENUE'!O15</f>
        <v>36.7441317136992</v>
      </c>
      <c r="P20" s="58" t="n">
        <f aca="false">'17A_STRUCTURES'!$C$14*'23_GUARANTEES'!$C$6/12*'16_REVENUE'!P15</f>
        <v>37.1514352045712</v>
      </c>
      <c r="Q20" s="58" t="n">
        <f aca="false">'17A_STRUCTURES'!$C$14*'23_GUARANTEES'!$C$6/12*'16_REVENUE'!Q15</f>
        <v>37.5668847652606</v>
      </c>
      <c r="R20" s="58" t="n">
        <f aca="false">'17A_STRUCTURES'!$C$14*'23_GUARANTEES'!$C$6/12*'16_REVENUE'!R15</f>
        <v>37.9906433171638</v>
      </c>
      <c r="S20" s="58" t="n">
        <f aca="false">'17A_STRUCTURES'!$C$14*'23_GUARANTEES'!$C$6/12*'16_REVENUE'!S15</f>
        <v>38.4228770401051</v>
      </c>
      <c r="T20" s="58" t="n">
        <f aca="false">'17A_STRUCTURES'!$C$14*'23_GUARANTEES'!$C$6/12*'16_REVENUE'!T15</f>
        <v>38.8637554375052</v>
      </c>
      <c r="U20" s="58" t="n">
        <f aca="false">'17A_STRUCTURES'!$C$14*'23_GUARANTEES'!$C$6/12*'16_REVENUE'!U15</f>
        <v>39.3134514028533</v>
      </c>
      <c r="V20" s="58" t="n">
        <f aca="false">'17A_STRUCTURES'!$C$14*'23_GUARANTEES'!$C$6/12*'16_REVENUE'!V15</f>
        <v>39.7721412875084</v>
      </c>
      <c r="W20" s="58" t="n">
        <f aca="false">'17A_STRUCTURES'!$C$14*'23_GUARANTEES'!$C$6/12*'16_REVENUE'!W15</f>
        <v>40.2400049698565</v>
      </c>
      <c r="X20" s="58" t="n">
        <f aca="false">'17A_STRUCTURES'!$C$14*'23_GUARANTEES'!$C$6/12*'16_REVENUE'!X15</f>
        <v>40.7172259258517</v>
      </c>
      <c r="Y20" s="58" t="n">
        <f aca="false">'17A_STRUCTURES'!$C$14*'23_GUARANTEES'!$C$6/12*'16_REVENUE'!Y15</f>
        <v>41.2039913009667</v>
      </c>
      <c r="Z20" s="58" t="n">
        <f aca="false">'17A_STRUCTURES'!$C$14*'23_GUARANTEES'!$C$6/12*'16_REVENUE'!Z15</f>
        <v>41.700491983584</v>
      </c>
      <c r="AA20" s="58" t="n">
        <f aca="false">'17A_STRUCTURES'!$C$14*'23_GUARANTEES'!$C$6/12*'16_REVENUE'!AA15</f>
        <v>42.2069226798537</v>
      </c>
      <c r="AB20" s="58" t="n">
        <f aca="false">'17A_STRUCTURES'!$C$14*'23_GUARANTEES'!$C$6/12*'16_REVENUE'!AB15</f>
        <v>42.7234819900488</v>
      </c>
      <c r="AC20" s="58" t="n">
        <f aca="false">'17A_STRUCTURES'!$C$14*'23_GUARANTEES'!$C$6/12*'16_REVENUE'!AC15</f>
        <v>43.2503724864477</v>
      </c>
      <c r="AD20" s="58" t="n">
        <f aca="false">'17A_STRUCTURES'!$C$14*'23_GUARANTEES'!$C$6/12*'16_REVENUE'!AD15</f>
        <v>43.7878007927747</v>
      </c>
      <c r="AE20" s="58" t="n">
        <f aca="false">'17A_STRUCTURES'!$C$14*'23_GUARANTEES'!$C$6/12*'16_REVENUE'!AE15</f>
        <v>44.3359776652282</v>
      </c>
      <c r="AF20" s="58" t="n">
        <f aca="false">'17A_STRUCTURES'!$C$14*'23_GUARANTEES'!$C$6/12*'16_REVENUE'!AF15</f>
        <v>44.8951180751307</v>
      </c>
      <c r="AG20" s="58" t="n">
        <f aca="false">'17A_STRUCTURES'!$C$14*'23_GUARANTEES'!$C$6/12*'16_REVENUE'!AG15</f>
        <v>0</v>
      </c>
      <c r="AH20" s="58" t="n">
        <f aca="false">'17A_STRUCTURES'!$C$14*'23_GUARANTEES'!$C$6/12*'16_REVENUE'!AH15</f>
        <v>0</v>
      </c>
      <c r="AI20" s="58" t="n">
        <f aca="false">'17A_STRUCTURES'!$C$14*'23_GUARANTEES'!$C$6/12*'16_REVENUE'!AI15</f>
        <v>0</v>
      </c>
      <c r="AJ20" s="58" t="n">
        <f aca="false">'17A_STRUCTURES'!$C$14*'23_GUARANTEES'!$C$6/12*'16_REVENUE'!AJ15</f>
        <v>0</v>
      </c>
      <c r="AK20" s="58" t="n">
        <f aca="false">'17A_STRUCTURES'!$C$14*'23_GUARANTEES'!$C$6/12*'16_REVENUE'!AK15</f>
        <v>0</v>
      </c>
      <c r="AL20" s="58" t="n">
        <f aca="false">'17A_STRUCTURES'!$C$14*'23_GUARANTEES'!$C$6/12*'16_REVENUE'!AL15</f>
        <v>0</v>
      </c>
      <c r="AM20" s="58" t="n">
        <f aca="false">'17A_STRUCTURES'!$C$14*'23_GUARANTEES'!$C$6/12*'16_REVENUE'!AM15</f>
        <v>0</v>
      </c>
      <c r="AN20" s="58" t="n">
        <f aca="false">'17A_STRUCTURES'!$C$14*'23_GUARANTEES'!$C$6/12*'16_REVENUE'!AN15</f>
        <v>0</v>
      </c>
      <c r="AO20" s="58" t="n">
        <f aca="false">'17A_STRUCTURES'!$C$14*'23_GUARANTEES'!$C$6/12*'16_REVENUE'!AO15</f>
        <v>0</v>
      </c>
      <c r="AP20" s="58" t="n">
        <f aca="false">'17A_STRUCTURES'!$C$14*'23_GUARANTEES'!$C$6/12*'16_REVENUE'!AP15</f>
        <v>0</v>
      </c>
      <c r="AQ20" s="58" t="n">
        <f aca="false">'17A_STRUCTURES'!$C$14*'23_GUARANTEES'!$C$6/12*'16_REVENUE'!AQ15</f>
        <v>0</v>
      </c>
      <c r="AR20" s="58" t="n">
        <f aca="false">'17A_STRUCTURES'!$C$14*'23_GUARANTEES'!$C$6/12*'16_REVENUE'!AR15</f>
        <v>0</v>
      </c>
    </row>
    <row r="21" customFormat="false" ht="15" hidden="false" customHeight="true" outlineLevel="0" collapsed="false">
      <c r="A21" s="23" t="s">
        <v>713</v>
      </c>
      <c r="B21" s="23" t="s">
        <v>121</v>
      </c>
      <c r="C21" s="58" t="n">
        <f aca="false">SUM('16_REVENUE'!$E$21:$AR$21)</f>
        <v>0</v>
      </c>
      <c r="E21" s="58" t="n">
        <f aca="false">'06_CONSTRUCTION'!E14*MIN('16_REVENUE'!D23,MAX(0,'12_UTILITY'!E41-'12_UTILITY'!E42))</f>
        <v>0</v>
      </c>
      <c r="F21" s="58" t="n">
        <f aca="false">'06_CONSTRUCTION'!F14*MIN('16_REVENUE'!E23,MAX(0,'12_UTILITY'!F41-'12_UTILITY'!F42))</f>
        <v>0</v>
      </c>
      <c r="G21" s="58" t="n">
        <f aca="false">'06_CONSTRUCTION'!G14*MIN('16_REVENUE'!F23,MAX(0,'12_UTILITY'!G41-'12_UTILITY'!G42))</f>
        <v>0</v>
      </c>
      <c r="H21" s="58" t="n">
        <f aca="false">'06_CONSTRUCTION'!H14*MIN('16_REVENUE'!G23,MAX(0,'12_UTILITY'!H41-'12_UTILITY'!H42))</f>
        <v>0</v>
      </c>
      <c r="I21" s="58" t="n">
        <f aca="false">'06_CONSTRUCTION'!I14*MIN('16_REVENUE'!H23,MAX(0,'12_UTILITY'!I41-'12_UTILITY'!I42))</f>
        <v>0</v>
      </c>
      <c r="J21" s="58" t="n">
        <f aca="false">'06_CONSTRUCTION'!J14*MIN('16_REVENUE'!I23,MAX(0,'12_UTILITY'!J41-'12_UTILITY'!J42))</f>
        <v>0</v>
      </c>
      <c r="K21" s="58" t="n">
        <f aca="false">'06_CONSTRUCTION'!K14*MIN('16_REVENUE'!J23,MAX(0,'12_UTILITY'!K41-'12_UTILITY'!K42))</f>
        <v>0</v>
      </c>
      <c r="L21" s="58" t="n">
        <f aca="false">'06_CONSTRUCTION'!L14*MIN('16_REVENUE'!K23,MAX(0,'12_UTILITY'!L41-'12_UTILITY'!L42))</f>
        <v>0</v>
      </c>
      <c r="M21" s="58" t="n">
        <f aca="false">'06_CONSTRUCTION'!M14*MIN('16_REVENUE'!L23,MAX(0,'12_UTILITY'!M41-'12_UTILITY'!M42))</f>
        <v>0</v>
      </c>
      <c r="N21" s="58" t="n">
        <f aca="false">'06_CONSTRUCTION'!N14*MIN('16_REVENUE'!M23,MAX(0,'12_UTILITY'!N41-'12_UTILITY'!N42))</f>
        <v>0</v>
      </c>
      <c r="O21" s="58" t="n">
        <f aca="false">'06_CONSTRUCTION'!O14*MIN('16_REVENUE'!N23,MAX(0,'12_UTILITY'!O41-'12_UTILITY'!O42))</f>
        <v>0</v>
      </c>
      <c r="P21" s="58" t="n">
        <f aca="false">'06_CONSTRUCTION'!P14*MIN('16_REVENUE'!O23,MAX(0,'12_UTILITY'!P41-'12_UTILITY'!P42))</f>
        <v>0</v>
      </c>
      <c r="Q21" s="58" t="n">
        <f aca="false">'06_CONSTRUCTION'!Q14*MIN('16_REVENUE'!P23,MAX(0,'12_UTILITY'!Q41-'12_UTILITY'!Q42))</f>
        <v>0</v>
      </c>
      <c r="R21" s="58" t="n">
        <f aca="false">'06_CONSTRUCTION'!R14*MIN('16_REVENUE'!Q23,MAX(0,'12_UTILITY'!R41-'12_UTILITY'!R42))</f>
        <v>0</v>
      </c>
      <c r="S21" s="58" t="n">
        <f aca="false">'06_CONSTRUCTION'!S14*MIN('16_REVENUE'!R23,MAX(0,'12_UTILITY'!S41-'12_UTILITY'!S42))</f>
        <v>0</v>
      </c>
      <c r="T21" s="58" t="n">
        <f aca="false">'06_CONSTRUCTION'!T14*MIN('16_REVENUE'!S23,MAX(0,'12_UTILITY'!T41-'12_UTILITY'!T42))</f>
        <v>0</v>
      </c>
      <c r="U21" s="58" t="n">
        <f aca="false">'06_CONSTRUCTION'!U14*MIN('16_REVENUE'!T23,MAX(0,'12_UTILITY'!U41-'12_UTILITY'!U42))</f>
        <v>0</v>
      </c>
      <c r="V21" s="58" t="n">
        <f aca="false">'06_CONSTRUCTION'!V14*MIN('16_REVENUE'!U23,MAX(0,'12_UTILITY'!V41-'12_UTILITY'!V42))</f>
        <v>0</v>
      </c>
      <c r="W21" s="58" t="n">
        <f aca="false">'06_CONSTRUCTION'!W14*MIN('16_REVENUE'!V23,MAX(0,'12_UTILITY'!W41-'12_UTILITY'!W42))</f>
        <v>0</v>
      </c>
      <c r="X21" s="58" t="n">
        <f aca="false">'06_CONSTRUCTION'!X14*MIN('16_REVENUE'!W23,MAX(0,'12_UTILITY'!X41-'12_UTILITY'!X42))</f>
        <v>0</v>
      </c>
      <c r="Y21" s="58" t="n">
        <f aca="false">'06_CONSTRUCTION'!Y14*MIN('16_REVENUE'!X23,MAX(0,'12_UTILITY'!Y41-'12_UTILITY'!Y42))</f>
        <v>0</v>
      </c>
      <c r="Z21" s="58" t="n">
        <f aca="false">'06_CONSTRUCTION'!Z14*MIN('16_REVENUE'!Y23,MAX(0,'12_UTILITY'!Z41-'12_UTILITY'!Z42))</f>
        <v>0</v>
      </c>
      <c r="AA21" s="58" t="n">
        <f aca="false">'06_CONSTRUCTION'!AA14*MIN('16_REVENUE'!Z23,MAX(0,'12_UTILITY'!AA41-'12_UTILITY'!AA42))</f>
        <v>0</v>
      </c>
      <c r="AB21" s="58" t="n">
        <f aca="false">'06_CONSTRUCTION'!AB14*MIN('16_REVENUE'!AA23,MAX(0,'12_UTILITY'!AB41-'12_UTILITY'!AB42))</f>
        <v>0</v>
      </c>
      <c r="AC21" s="58" t="n">
        <f aca="false">'06_CONSTRUCTION'!AC14*MIN('16_REVENUE'!AB23,MAX(0,'12_UTILITY'!AC41-'12_UTILITY'!AC42))</f>
        <v>0</v>
      </c>
      <c r="AD21" s="58" t="n">
        <f aca="false">'06_CONSTRUCTION'!AD14*MIN('16_REVENUE'!AC23,MAX(0,'12_UTILITY'!AD41-'12_UTILITY'!AD42))</f>
        <v>0</v>
      </c>
      <c r="AE21" s="58" t="n">
        <f aca="false">'06_CONSTRUCTION'!AE14*MIN('16_REVENUE'!AD23,MAX(0,'12_UTILITY'!AE41-'12_UTILITY'!AE42))</f>
        <v>0</v>
      </c>
      <c r="AF21" s="58" t="n">
        <f aca="false">'06_CONSTRUCTION'!AF14*MIN('16_REVENUE'!AE23,MAX(0,'12_UTILITY'!AF41-'12_UTILITY'!AF42))</f>
        <v>0</v>
      </c>
      <c r="AG21" s="58" t="n">
        <f aca="false">'06_CONSTRUCTION'!AG14*MIN('16_REVENUE'!AF23,MAX(0,'12_UTILITY'!AG41-'12_UTILITY'!AG42))</f>
        <v>0</v>
      </c>
      <c r="AH21" s="58" t="n">
        <f aca="false">'06_CONSTRUCTION'!AH14*MIN('16_REVENUE'!AG23,MAX(0,'12_UTILITY'!AH41-'12_UTILITY'!AH42))</f>
        <v>0</v>
      </c>
      <c r="AI21" s="58" t="n">
        <f aca="false">'06_CONSTRUCTION'!AI14*MIN('16_REVENUE'!AH23,MAX(0,'12_UTILITY'!AI41-'12_UTILITY'!AI42))</f>
        <v>0</v>
      </c>
      <c r="AJ21" s="58" t="n">
        <f aca="false">'06_CONSTRUCTION'!AJ14*MIN('16_REVENUE'!AI23,MAX(0,'12_UTILITY'!AJ41-'12_UTILITY'!AJ42))</f>
        <v>0</v>
      </c>
      <c r="AK21" s="58" t="n">
        <f aca="false">'06_CONSTRUCTION'!AK14*MIN('16_REVENUE'!AJ23,MAX(0,'12_UTILITY'!AK41-'12_UTILITY'!AK42))</f>
        <v>0</v>
      </c>
      <c r="AL21" s="58" t="n">
        <f aca="false">'06_CONSTRUCTION'!AL14*MIN('16_REVENUE'!AK23,MAX(0,'12_UTILITY'!AL41-'12_UTILITY'!AL42))</f>
        <v>0</v>
      </c>
      <c r="AM21" s="58" t="n">
        <f aca="false">'06_CONSTRUCTION'!AM14*MIN('16_REVENUE'!AL23,MAX(0,'12_UTILITY'!AM41-'12_UTILITY'!AM42))</f>
        <v>0</v>
      </c>
      <c r="AN21" s="58" t="n">
        <f aca="false">'06_CONSTRUCTION'!AN14*MIN('16_REVENUE'!AM23,MAX(0,'12_UTILITY'!AN41-'12_UTILITY'!AN42))</f>
        <v>0</v>
      </c>
      <c r="AO21" s="58" t="n">
        <f aca="false">'06_CONSTRUCTION'!AO14*MIN('16_REVENUE'!AN23,MAX(0,'12_UTILITY'!AO41-'12_UTILITY'!AO42))</f>
        <v>0</v>
      </c>
      <c r="AP21" s="58" t="n">
        <f aca="false">'06_CONSTRUCTION'!AP14*MIN('16_REVENUE'!AO23,MAX(0,'12_UTILITY'!AP41-'12_UTILITY'!AP42))</f>
        <v>0</v>
      </c>
      <c r="AQ21" s="58" t="n">
        <f aca="false">'06_CONSTRUCTION'!AQ14*MIN('16_REVENUE'!AP23,MAX(0,'12_UTILITY'!AQ41-'12_UTILITY'!AQ42))</f>
        <v>0</v>
      </c>
      <c r="AR21" s="58" t="n">
        <f aca="false">'06_CONSTRUCTION'!AR14*MIN('16_REVENUE'!AQ23,MAX(0,'12_UTILITY'!AR41-'12_UTILITY'!AR42))</f>
        <v>0</v>
      </c>
    </row>
    <row r="22" customFormat="false" ht="15" hidden="false" customHeight="true" outlineLevel="0" collapsed="false">
      <c r="A22" s="23" t="s">
        <v>714</v>
      </c>
      <c r="B22" s="23" t="s">
        <v>121</v>
      </c>
      <c r="C22" s="58" t="n">
        <f aca="false">SUM('16_REVENUE'!$E$22:$AR$22)</f>
        <v>0</v>
      </c>
      <c r="E22" s="58" t="n">
        <f aca="false">MIN('12_UTILITY'!E43-'16_REVENUE'!E19,MAX(0,'16_REVENUE'!E20-'16_REVENUE'!D23+'16_REVENUE'!E21))</f>
        <v>0</v>
      </c>
      <c r="F22" s="58" t="n">
        <f aca="false">MIN('12_UTILITY'!F43-'16_REVENUE'!F19,MAX(0,'16_REVENUE'!F20-'16_REVENUE'!E23+'16_REVENUE'!F21))</f>
        <v>0</v>
      </c>
      <c r="G22" s="58" t="n">
        <f aca="false">MIN('12_UTILITY'!G43-'16_REVENUE'!G19,MAX(0,'16_REVENUE'!G20-'16_REVENUE'!F23+'16_REVENUE'!G21))</f>
        <v>0</v>
      </c>
      <c r="H22" s="58" t="n">
        <f aca="false">MIN('12_UTILITY'!H43-'16_REVENUE'!H19,MAX(0,'16_REVENUE'!H20-'16_REVENUE'!G23+'16_REVENUE'!H21))</f>
        <v>0</v>
      </c>
      <c r="I22" s="58" t="n">
        <f aca="false">MIN('12_UTILITY'!I43-'16_REVENUE'!I19,MAX(0,'16_REVENUE'!I20-'16_REVENUE'!H23+'16_REVENUE'!I21))</f>
        <v>0</v>
      </c>
      <c r="J22" s="58" t="n">
        <f aca="false">MIN('12_UTILITY'!J43-'16_REVENUE'!J19,MAX(0,'16_REVENUE'!J20-'16_REVENUE'!I23+'16_REVENUE'!J21))</f>
        <v>0</v>
      </c>
      <c r="K22" s="58" t="n">
        <f aca="false">MIN('12_UTILITY'!K43-'16_REVENUE'!K19,MAX(0,'16_REVENUE'!K20-'16_REVENUE'!J23+'16_REVENUE'!K21))</f>
        <v>0</v>
      </c>
      <c r="L22" s="58" t="n">
        <f aca="false">MIN('12_UTILITY'!L43-'16_REVENUE'!L19,MAX(0,'16_REVENUE'!L20-'16_REVENUE'!K23+'16_REVENUE'!L21))</f>
        <v>0</v>
      </c>
      <c r="M22" s="58" t="n">
        <f aca="false">MIN('12_UTILITY'!M43-'16_REVENUE'!M19,MAX(0,'16_REVENUE'!M20-'16_REVENUE'!L23+'16_REVENUE'!M21))</f>
        <v>0</v>
      </c>
      <c r="N22" s="58" t="n">
        <f aca="false">MIN('12_UTILITY'!N43-'16_REVENUE'!N19,MAX(0,'16_REVENUE'!N20-'16_REVENUE'!M23+'16_REVENUE'!N21))</f>
        <v>0</v>
      </c>
      <c r="O22" s="58" t="n">
        <f aca="false">MIN('12_UTILITY'!O43-'16_REVENUE'!O19,MAX(0,'16_REVENUE'!O20-'16_REVENUE'!N23+'16_REVENUE'!O21))</f>
        <v>0</v>
      </c>
      <c r="P22" s="58" t="n">
        <f aca="false">MIN('12_UTILITY'!P43-'16_REVENUE'!P19,MAX(0,'16_REVENUE'!P20-'16_REVENUE'!O23+'16_REVENUE'!P21))</f>
        <v>0</v>
      </c>
      <c r="Q22" s="58" t="n">
        <f aca="false">MIN('12_UTILITY'!Q43-'16_REVENUE'!Q19,MAX(0,'16_REVENUE'!Q20-'16_REVENUE'!P23+'16_REVENUE'!Q21))</f>
        <v>0</v>
      </c>
      <c r="R22" s="58" t="n">
        <f aca="false">MIN('12_UTILITY'!R43-'16_REVENUE'!R19,MAX(0,'16_REVENUE'!R20-'16_REVENUE'!Q23+'16_REVENUE'!R21))</f>
        <v>0</v>
      </c>
      <c r="S22" s="58" t="n">
        <f aca="false">MIN('12_UTILITY'!S43-'16_REVENUE'!S19,MAX(0,'16_REVENUE'!S20-'16_REVENUE'!R23+'16_REVENUE'!S21))</f>
        <v>0</v>
      </c>
      <c r="T22" s="58" t="n">
        <f aca="false">MIN('12_UTILITY'!T43-'16_REVENUE'!T19,MAX(0,'16_REVENUE'!T20-'16_REVENUE'!S23+'16_REVENUE'!T21))</f>
        <v>0</v>
      </c>
      <c r="U22" s="58" t="n">
        <f aca="false">MIN('12_UTILITY'!U43-'16_REVENUE'!U19,MAX(0,'16_REVENUE'!U20-'16_REVENUE'!T23+'16_REVENUE'!U21))</f>
        <v>0</v>
      </c>
      <c r="V22" s="58" t="n">
        <f aca="false">MIN('12_UTILITY'!V43-'16_REVENUE'!V19,MAX(0,'16_REVENUE'!V20-'16_REVENUE'!U23+'16_REVENUE'!V21))</f>
        <v>0</v>
      </c>
      <c r="W22" s="58" t="n">
        <f aca="false">MIN('12_UTILITY'!W43-'16_REVENUE'!W19,MAX(0,'16_REVENUE'!W20-'16_REVENUE'!V23+'16_REVENUE'!W21))</f>
        <v>0</v>
      </c>
      <c r="X22" s="58" t="n">
        <f aca="false">MIN('12_UTILITY'!X43-'16_REVENUE'!X19,MAX(0,'16_REVENUE'!X20-'16_REVENUE'!W23+'16_REVENUE'!X21))</f>
        <v>0</v>
      </c>
      <c r="Y22" s="58" t="n">
        <f aca="false">MIN('12_UTILITY'!Y43-'16_REVENUE'!Y19,MAX(0,'16_REVENUE'!Y20-'16_REVENUE'!X23+'16_REVENUE'!Y21))</f>
        <v>0</v>
      </c>
      <c r="Z22" s="58" t="n">
        <f aca="false">MIN('12_UTILITY'!Z43-'16_REVENUE'!Z19,MAX(0,'16_REVENUE'!Z20-'16_REVENUE'!Y23+'16_REVENUE'!Z21))</f>
        <v>0</v>
      </c>
      <c r="AA22" s="58" t="n">
        <f aca="false">MIN('12_UTILITY'!AA43-'16_REVENUE'!AA19,MAX(0,'16_REVENUE'!AA20-'16_REVENUE'!Z23+'16_REVENUE'!AA21))</f>
        <v>0</v>
      </c>
      <c r="AB22" s="58" t="n">
        <f aca="false">MIN('12_UTILITY'!AB43-'16_REVENUE'!AB19,MAX(0,'16_REVENUE'!AB20-'16_REVENUE'!AA23+'16_REVENUE'!AB21))</f>
        <v>0</v>
      </c>
      <c r="AC22" s="58" t="n">
        <f aca="false">MIN('12_UTILITY'!AC43-'16_REVENUE'!AC19,MAX(0,'16_REVENUE'!AC20-'16_REVENUE'!AB23+'16_REVENUE'!AC21))</f>
        <v>0</v>
      </c>
      <c r="AD22" s="58" t="n">
        <f aca="false">MIN('12_UTILITY'!AD43-'16_REVENUE'!AD19,MAX(0,'16_REVENUE'!AD20-'16_REVENUE'!AC23+'16_REVENUE'!AD21))</f>
        <v>0</v>
      </c>
      <c r="AE22" s="58" t="n">
        <f aca="false">MIN('12_UTILITY'!AE43-'16_REVENUE'!AE19,MAX(0,'16_REVENUE'!AE20-'16_REVENUE'!AD23+'16_REVENUE'!AE21))</f>
        <v>0</v>
      </c>
      <c r="AF22" s="58" t="n">
        <f aca="false">MIN('12_UTILITY'!AF43-'16_REVENUE'!AF19,MAX(0,'16_REVENUE'!AF20-'16_REVENUE'!AE23+'16_REVENUE'!AF21))</f>
        <v>0</v>
      </c>
      <c r="AG22" s="58" t="n">
        <f aca="false">MIN('12_UTILITY'!AG43-'16_REVENUE'!AG19,MAX(0,'16_REVENUE'!AG20-'16_REVENUE'!AF23+'16_REVENUE'!AG21))</f>
        <v>0</v>
      </c>
      <c r="AH22" s="58" t="n">
        <f aca="false">MIN('12_UTILITY'!AH43-'16_REVENUE'!AH19,MAX(0,'16_REVENUE'!AH20-'16_REVENUE'!AG23+'16_REVENUE'!AH21))</f>
        <v>0</v>
      </c>
      <c r="AI22" s="58" t="n">
        <f aca="false">MIN('12_UTILITY'!AI43-'16_REVENUE'!AI19,MAX(0,'16_REVENUE'!AI20-'16_REVENUE'!AH23+'16_REVENUE'!AI21))</f>
        <v>0</v>
      </c>
      <c r="AJ22" s="58" t="n">
        <f aca="false">MIN('12_UTILITY'!AJ43-'16_REVENUE'!AJ19,MAX(0,'16_REVENUE'!AJ20-'16_REVENUE'!AI23+'16_REVENUE'!AJ21))</f>
        <v>0</v>
      </c>
      <c r="AK22" s="58" t="n">
        <f aca="false">MIN('12_UTILITY'!AK43-'16_REVENUE'!AK19,MAX(0,'16_REVENUE'!AK20-'16_REVENUE'!AJ23+'16_REVENUE'!AK21))</f>
        <v>0</v>
      </c>
      <c r="AL22" s="58" t="n">
        <f aca="false">MIN('12_UTILITY'!AL43-'16_REVENUE'!AL19,MAX(0,'16_REVENUE'!AL20-'16_REVENUE'!AK23+'16_REVENUE'!AL21))</f>
        <v>0</v>
      </c>
      <c r="AM22" s="58" t="n">
        <f aca="false">MIN('12_UTILITY'!AM43-'16_REVENUE'!AM19,MAX(0,'16_REVENUE'!AM20-'16_REVENUE'!AL23+'16_REVENUE'!AM21))</f>
        <v>0</v>
      </c>
      <c r="AN22" s="58" t="n">
        <f aca="false">MIN('12_UTILITY'!AN43-'16_REVENUE'!AN19,MAX(0,'16_REVENUE'!AN20-'16_REVENUE'!AM23+'16_REVENUE'!AN21))</f>
        <v>0</v>
      </c>
      <c r="AO22" s="58" t="n">
        <f aca="false">MIN('12_UTILITY'!AO43-'16_REVENUE'!AO19,MAX(0,'16_REVENUE'!AO20-'16_REVENUE'!AN23+'16_REVENUE'!AO21))</f>
        <v>0</v>
      </c>
      <c r="AP22" s="58" t="n">
        <f aca="false">MIN('12_UTILITY'!AP43-'16_REVENUE'!AP19,MAX(0,'16_REVENUE'!AP20-'16_REVENUE'!AO23+'16_REVENUE'!AP21))</f>
        <v>0</v>
      </c>
      <c r="AQ22" s="58" t="n">
        <f aca="false">MIN('12_UTILITY'!AQ43-'16_REVENUE'!AQ19,MAX(0,'16_REVENUE'!AQ20-'16_REVENUE'!AP23+'16_REVENUE'!AQ21))</f>
        <v>0</v>
      </c>
      <c r="AR22" s="58" t="n">
        <f aca="false">MIN('12_UTILITY'!AR43-'16_REVENUE'!AR19,MAX(0,'16_REVENUE'!AR20-'16_REVENUE'!AQ23+'16_REVENUE'!AR21))</f>
        <v>0</v>
      </c>
    </row>
    <row r="23" customFormat="false" ht="15" hidden="false" customHeight="true" outlineLevel="0" collapsed="false">
      <c r="A23" s="23" t="s">
        <v>715</v>
      </c>
      <c r="B23" s="23" t="s">
        <v>121</v>
      </c>
      <c r="E23" s="58" t="n">
        <f aca="false">'16_REVENUE'!D23+'16_REVENUE'!E22-'16_REVENUE'!E21</f>
        <v>0</v>
      </c>
      <c r="F23" s="58" t="n">
        <f aca="false">'16_REVENUE'!E23+'16_REVENUE'!F22-'16_REVENUE'!F21</f>
        <v>0</v>
      </c>
      <c r="G23" s="58" t="n">
        <f aca="false">'16_REVENUE'!F23+'16_REVENUE'!G22-'16_REVENUE'!G21</f>
        <v>0</v>
      </c>
      <c r="H23" s="58" t="n">
        <f aca="false">'16_REVENUE'!G23+'16_REVENUE'!H22-'16_REVENUE'!H21</f>
        <v>0</v>
      </c>
      <c r="I23" s="58" t="n">
        <f aca="false">'16_REVENUE'!H23+'16_REVENUE'!I22-'16_REVENUE'!I21</f>
        <v>0</v>
      </c>
      <c r="J23" s="58" t="n">
        <f aca="false">'16_REVENUE'!I23+'16_REVENUE'!J22-'16_REVENUE'!J21</f>
        <v>0</v>
      </c>
      <c r="K23" s="58" t="n">
        <f aca="false">'16_REVENUE'!J23+'16_REVENUE'!K22-'16_REVENUE'!K21</f>
        <v>0</v>
      </c>
      <c r="L23" s="58" t="n">
        <f aca="false">'16_REVENUE'!K23+'16_REVENUE'!L22-'16_REVENUE'!L21</f>
        <v>0</v>
      </c>
      <c r="M23" s="58" t="n">
        <f aca="false">'16_REVENUE'!L23+'16_REVENUE'!M22-'16_REVENUE'!M21</f>
        <v>0</v>
      </c>
      <c r="N23" s="58" t="n">
        <f aca="false">'16_REVENUE'!M23+'16_REVENUE'!N22-'16_REVENUE'!N21</f>
        <v>0</v>
      </c>
      <c r="O23" s="58" t="n">
        <f aca="false">'16_REVENUE'!N23+'16_REVENUE'!O22-'16_REVENUE'!O21</f>
        <v>0</v>
      </c>
      <c r="P23" s="58" t="n">
        <f aca="false">'16_REVENUE'!O23+'16_REVENUE'!P22-'16_REVENUE'!P21</f>
        <v>0</v>
      </c>
      <c r="Q23" s="58" t="n">
        <f aca="false">'16_REVENUE'!P23+'16_REVENUE'!Q22-'16_REVENUE'!Q21</f>
        <v>0</v>
      </c>
      <c r="R23" s="58" t="n">
        <f aca="false">'16_REVENUE'!Q23+'16_REVENUE'!R22-'16_REVENUE'!R21</f>
        <v>0</v>
      </c>
      <c r="S23" s="58" t="n">
        <f aca="false">'16_REVENUE'!R23+'16_REVENUE'!S22-'16_REVENUE'!S21</f>
        <v>0</v>
      </c>
      <c r="T23" s="58" t="n">
        <f aca="false">'16_REVENUE'!S23+'16_REVENUE'!T22-'16_REVENUE'!T21</f>
        <v>0</v>
      </c>
      <c r="U23" s="58" t="n">
        <f aca="false">'16_REVENUE'!T23+'16_REVENUE'!U22-'16_REVENUE'!U21</f>
        <v>0</v>
      </c>
      <c r="V23" s="58" t="n">
        <f aca="false">'16_REVENUE'!U23+'16_REVENUE'!V22-'16_REVENUE'!V21</f>
        <v>0</v>
      </c>
      <c r="W23" s="58" t="n">
        <f aca="false">'16_REVENUE'!V23+'16_REVENUE'!W22-'16_REVENUE'!W21</f>
        <v>0</v>
      </c>
      <c r="X23" s="58" t="n">
        <f aca="false">'16_REVENUE'!W23+'16_REVENUE'!X22-'16_REVENUE'!X21</f>
        <v>0</v>
      </c>
      <c r="Y23" s="58" t="n">
        <f aca="false">'16_REVENUE'!X23+'16_REVENUE'!Y22-'16_REVENUE'!Y21</f>
        <v>0</v>
      </c>
      <c r="Z23" s="58" t="n">
        <f aca="false">'16_REVENUE'!Y23+'16_REVENUE'!Z22-'16_REVENUE'!Z21</f>
        <v>0</v>
      </c>
      <c r="AA23" s="58" t="n">
        <f aca="false">'16_REVENUE'!Z23+'16_REVENUE'!AA22-'16_REVENUE'!AA21</f>
        <v>0</v>
      </c>
      <c r="AB23" s="58" t="n">
        <f aca="false">'16_REVENUE'!AA23+'16_REVENUE'!AB22-'16_REVENUE'!AB21</f>
        <v>0</v>
      </c>
      <c r="AC23" s="58" t="n">
        <f aca="false">'16_REVENUE'!AB23+'16_REVENUE'!AC22-'16_REVENUE'!AC21</f>
        <v>0</v>
      </c>
      <c r="AD23" s="58" t="n">
        <f aca="false">'16_REVENUE'!AC23+'16_REVENUE'!AD22-'16_REVENUE'!AD21</f>
        <v>0</v>
      </c>
      <c r="AE23" s="58" t="n">
        <f aca="false">'16_REVENUE'!AD23+'16_REVENUE'!AE22-'16_REVENUE'!AE21</f>
        <v>0</v>
      </c>
      <c r="AF23" s="58" t="n">
        <f aca="false">'16_REVENUE'!AE23+'16_REVENUE'!AF22-'16_REVENUE'!AF21</f>
        <v>0</v>
      </c>
      <c r="AG23" s="58" t="n">
        <f aca="false">'16_REVENUE'!AF23+'16_REVENUE'!AG22-'16_REVENUE'!AG21</f>
        <v>0</v>
      </c>
      <c r="AH23" s="58" t="n">
        <f aca="false">'16_REVENUE'!AG23+'16_REVENUE'!AH22-'16_REVENUE'!AH21</f>
        <v>0</v>
      </c>
      <c r="AI23" s="58" t="n">
        <f aca="false">'16_REVENUE'!AH23+'16_REVENUE'!AI22-'16_REVENUE'!AI21</f>
        <v>0</v>
      </c>
      <c r="AJ23" s="58" t="n">
        <f aca="false">'16_REVENUE'!AI23+'16_REVENUE'!AJ22-'16_REVENUE'!AJ21</f>
        <v>0</v>
      </c>
      <c r="AK23" s="58" t="n">
        <f aca="false">'16_REVENUE'!AJ23+'16_REVENUE'!AK22-'16_REVENUE'!AK21</f>
        <v>0</v>
      </c>
      <c r="AL23" s="58" t="n">
        <f aca="false">'16_REVENUE'!AK23+'16_REVENUE'!AL22-'16_REVENUE'!AL21</f>
        <v>0</v>
      </c>
      <c r="AM23" s="58" t="n">
        <f aca="false">'16_REVENUE'!AL23+'16_REVENUE'!AM22-'16_REVENUE'!AM21</f>
        <v>0</v>
      </c>
      <c r="AN23" s="58" t="n">
        <f aca="false">'16_REVENUE'!AM23+'16_REVENUE'!AN22-'16_REVENUE'!AN21</f>
        <v>0</v>
      </c>
      <c r="AO23" s="58" t="n">
        <f aca="false">'16_REVENUE'!AN23+'16_REVENUE'!AO22-'16_REVENUE'!AO21</f>
        <v>0</v>
      </c>
      <c r="AP23" s="58" t="n">
        <f aca="false">'16_REVENUE'!AO23+'16_REVENUE'!AP22-'16_REVENUE'!AP21</f>
        <v>0</v>
      </c>
      <c r="AQ23" s="58" t="n">
        <f aca="false">'16_REVENUE'!AP23+'16_REVENUE'!AQ22-'16_REVENUE'!AQ21</f>
        <v>0</v>
      </c>
      <c r="AR23" s="58" t="n">
        <f aca="false">'16_REVENUE'!AQ23+'16_REVENUE'!AR22-'16_REVENUE'!AR21</f>
        <v>0</v>
      </c>
    </row>
    <row r="24" customFormat="false" ht="15" hidden="false" customHeight="true" outlineLevel="0" collapsed="false">
      <c r="A24" s="19" t="s">
        <v>716</v>
      </c>
      <c r="B24" s="23" t="s">
        <v>121</v>
      </c>
      <c r="C24" s="58" t="n">
        <f aca="false">SUM('16_REVENUE'!$E$24:$AR$24)</f>
        <v>0</v>
      </c>
      <c r="E24" s="72" t="n">
        <f aca="false">'12_UTILITY'!E43-'16_REVENUE'!E19-'16_REVENUE'!E22</f>
        <v>0</v>
      </c>
      <c r="F24" s="72" t="n">
        <f aca="false">'12_UTILITY'!F43-'16_REVENUE'!F19-'16_REVENUE'!F22</f>
        <v>0</v>
      </c>
      <c r="G24" s="72" t="n">
        <f aca="false">'12_UTILITY'!G43-'16_REVENUE'!G19-'16_REVENUE'!G22</f>
        <v>0</v>
      </c>
      <c r="H24" s="72" t="n">
        <f aca="false">'12_UTILITY'!H43-'16_REVENUE'!H19-'16_REVENUE'!H22</f>
        <v>0</v>
      </c>
      <c r="I24" s="72" t="n">
        <f aca="false">'12_UTILITY'!I43-'16_REVENUE'!I19-'16_REVENUE'!I22</f>
        <v>0</v>
      </c>
      <c r="J24" s="72" t="n">
        <f aca="false">'12_UTILITY'!J43-'16_REVENUE'!J19-'16_REVENUE'!J22</f>
        <v>0</v>
      </c>
      <c r="K24" s="72" t="n">
        <f aca="false">'12_UTILITY'!K43-'16_REVENUE'!K19-'16_REVENUE'!K22</f>
        <v>0</v>
      </c>
      <c r="L24" s="72" t="n">
        <f aca="false">'12_UTILITY'!L43-'16_REVENUE'!L19-'16_REVENUE'!L22</f>
        <v>0</v>
      </c>
      <c r="M24" s="72" t="n">
        <f aca="false">'12_UTILITY'!M43-'16_REVENUE'!M19-'16_REVENUE'!M22</f>
        <v>0</v>
      </c>
      <c r="N24" s="72" t="n">
        <f aca="false">'12_UTILITY'!N43-'16_REVENUE'!N19-'16_REVENUE'!N22</f>
        <v>0</v>
      </c>
      <c r="O24" s="72" t="n">
        <f aca="false">'12_UTILITY'!O43-'16_REVENUE'!O19-'16_REVENUE'!O22</f>
        <v>0</v>
      </c>
      <c r="P24" s="72" t="n">
        <f aca="false">'12_UTILITY'!P43-'16_REVENUE'!P19-'16_REVENUE'!P22</f>
        <v>0</v>
      </c>
      <c r="Q24" s="72" t="n">
        <f aca="false">'12_UTILITY'!Q43-'16_REVENUE'!Q19-'16_REVENUE'!Q22</f>
        <v>0</v>
      </c>
      <c r="R24" s="72" t="n">
        <f aca="false">'12_UTILITY'!R43-'16_REVENUE'!R19-'16_REVENUE'!R22</f>
        <v>0</v>
      </c>
      <c r="S24" s="72" t="n">
        <f aca="false">'12_UTILITY'!S43-'16_REVENUE'!S19-'16_REVENUE'!S22</f>
        <v>0</v>
      </c>
      <c r="T24" s="72" t="n">
        <f aca="false">'12_UTILITY'!T43-'16_REVENUE'!T19-'16_REVENUE'!T22</f>
        <v>0</v>
      </c>
      <c r="U24" s="72" t="n">
        <f aca="false">'12_UTILITY'!U43-'16_REVENUE'!U19-'16_REVENUE'!U22</f>
        <v>0</v>
      </c>
      <c r="V24" s="72" t="n">
        <f aca="false">'12_UTILITY'!V43-'16_REVENUE'!V19-'16_REVENUE'!V22</f>
        <v>0</v>
      </c>
      <c r="W24" s="72" t="n">
        <f aca="false">'12_UTILITY'!W43-'16_REVENUE'!W19-'16_REVENUE'!W22</f>
        <v>0</v>
      </c>
      <c r="X24" s="72" t="n">
        <f aca="false">'12_UTILITY'!X43-'16_REVENUE'!X19-'16_REVENUE'!X22</f>
        <v>0</v>
      </c>
      <c r="Y24" s="72" t="n">
        <f aca="false">'12_UTILITY'!Y43-'16_REVENUE'!Y19-'16_REVENUE'!Y22</f>
        <v>0</v>
      </c>
      <c r="Z24" s="72" t="n">
        <f aca="false">'12_UTILITY'!Z43-'16_REVENUE'!Z19-'16_REVENUE'!Z22</f>
        <v>0</v>
      </c>
      <c r="AA24" s="72" t="n">
        <f aca="false">'12_UTILITY'!AA43-'16_REVENUE'!AA19-'16_REVENUE'!AA22</f>
        <v>0</v>
      </c>
      <c r="AB24" s="72" t="n">
        <f aca="false">'12_UTILITY'!AB43-'16_REVENUE'!AB19-'16_REVENUE'!AB22</f>
        <v>0</v>
      </c>
      <c r="AC24" s="72" t="n">
        <f aca="false">'12_UTILITY'!AC43-'16_REVENUE'!AC19-'16_REVENUE'!AC22</f>
        <v>0</v>
      </c>
      <c r="AD24" s="72" t="n">
        <f aca="false">'12_UTILITY'!AD43-'16_REVENUE'!AD19-'16_REVENUE'!AD22</f>
        <v>0</v>
      </c>
      <c r="AE24" s="72" t="n">
        <f aca="false">'12_UTILITY'!AE43-'16_REVENUE'!AE19-'16_REVENUE'!AE22</f>
        <v>0</v>
      </c>
      <c r="AF24" s="72" t="n">
        <f aca="false">'12_UTILITY'!AF43-'16_REVENUE'!AF19-'16_REVENUE'!AF22</f>
        <v>0</v>
      </c>
      <c r="AG24" s="72" t="n">
        <f aca="false">'12_UTILITY'!AG43-'16_REVENUE'!AG19-'16_REVENUE'!AG22</f>
        <v>0</v>
      </c>
      <c r="AH24" s="72" t="n">
        <f aca="false">'12_UTILITY'!AH43-'16_REVENUE'!AH19-'16_REVENUE'!AH22</f>
        <v>0</v>
      </c>
      <c r="AI24" s="72" t="n">
        <f aca="false">'12_UTILITY'!AI43-'16_REVENUE'!AI19-'16_REVENUE'!AI22</f>
        <v>0</v>
      </c>
      <c r="AJ24" s="72" t="n">
        <f aca="false">'12_UTILITY'!AJ43-'16_REVENUE'!AJ19-'16_REVENUE'!AJ22</f>
        <v>0</v>
      </c>
      <c r="AK24" s="72" t="n">
        <f aca="false">'12_UTILITY'!AK43-'16_REVENUE'!AK19-'16_REVENUE'!AK22</f>
        <v>0</v>
      </c>
      <c r="AL24" s="72" t="n">
        <f aca="false">'12_UTILITY'!AL43-'16_REVENUE'!AL19-'16_REVENUE'!AL22</f>
        <v>0</v>
      </c>
      <c r="AM24" s="72" t="n">
        <f aca="false">'12_UTILITY'!AM43-'16_REVENUE'!AM19-'16_REVENUE'!AM22</f>
        <v>0</v>
      </c>
      <c r="AN24" s="72" t="n">
        <f aca="false">'12_UTILITY'!AN43-'16_REVENUE'!AN19-'16_REVENUE'!AN22</f>
        <v>0</v>
      </c>
      <c r="AO24" s="72" t="n">
        <f aca="false">'12_UTILITY'!AO43-'16_REVENUE'!AO19-'16_REVENUE'!AO22</f>
        <v>0</v>
      </c>
      <c r="AP24" s="72" t="n">
        <f aca="false">'12_UTILITY'!AP43-'16_REVENUE'!AP19-'16_REVENUE'!AP22</f>
        <v>0</v>
      </c>
      <c r="AQ24" s="72" t="n">
        <f aca="false">'12_UTILITY'!AQ43-'16_REVENUE'!AQ19-'16_REVENUE'!AQ22</f>
        <v>0</v>
      </c>
      <c r="AR24" s="72" t="n">
        <f aca="false">'12_UTILITY'!AR43-'16_REVENUE'!AR19-'16_REVENUE'!AR22</f>
        <v>0</v>
      </c>
    </row>
    <row r="25" customFormat="false" ht="15" hidden="false" customHeight="true" outlineLevel="0" collapsed="false">
      <c r="A25" s="19" t="s">
        <v>717</v>
      </c>
      <c r="B25" s="23" t="s">
        <v>121</v>
      </c>
      <c r="C25" s="58" t="n">
        <f aca="false">SUM('16_REVENUE'!$E$25:$AR$25)</f>
        <v>972.226425926365</v>
      </c>
      <c r="E25" s="72" t="n">
        <f aca="false">'16_REVENUE'!E14-'16_REVENUE'!E24</f>
        <v>0</v>
      </c>
      <c r="F25" s="72" t="n">
        <f aca="false">'16_REVENUE'!F14-'16_REVENUE'!F24</f>
        <v>0</v>
      </c>
      <c r="G25" s="72" t="n">
        <f aca="false">'16_REVENUE'!G14-'16_REVENUE'!G24</f>
        <v>0</v>
      </c>
      <c r="H25" s="72" t="n">
        <f aca="false">'16_REVENUE'!H14-'16_REVENUE'!H24</f>
        <v>28.9918570845374</v>
      </c>
      <c r="I25" s="72" t="n">
        <f aca="false">'16_REVENUE'!I14-'16_REVENUE'!I24</f>
        <v>34.4626493580429</v>
      </c>
      <c r="J25" s="72" t="n">
        <f aca="false">'16_REVENUE'!J14-'16_REVENUE'!J24</f>
        <v>34.8243232018017</v>
      </c>
      <c r="K25" s="72" t="n">
        <f aca="false">'16_REVENUE'!K14-'16_REVENUE'!K24</f>
        <v>35.1932305224358</v>
      </c>
      <c r="L25" s="72" t="n">
        <f aca="false">'16_REVENUE'!L14-'16_REVENUE'!L24</f>
        <v>35.5695159894825</v>
      </c>
      <c r="M25" s="72" t="n">
        <f aca="false">'16_REVENUE'!M14-'16_REVENUE'!M24</f>
        <v>35.9533271658701</v>
      </c>
      <c r="N25" s="72" t="n">
        <f aca="false">'16_REVENUE'!N14-'16_REVENUE'!N24</f>
        <v>36.3448145657855</v>
      </c>
      <c r="O25" s="72" t="n">
        <f aca="false">'16_REVENUE'!O14-'16_REVENUE'!O24</f>
        <v>36.7441317136992</v>
      </c>
      <c r="P25" s="72" t="n">
        <f aca="false">'16_REVENUE'!P14-'16_REVENUE'!P24</f>
        <v>37.1514352045712</v>
      </c>
      <c r="Q25" s="72" t="n">
        <f aca="false">'16_REVENUE'!Q14-'16_REVENUE'!Q24</f>
        <v>37.5668847652606</v>
      </c>
      <c r="R25" s="72" t="n">
        <f aca="false">'16_REVENUE'!R14-'16_REVENUE'!R24</f>
        <v>37.9906433171638</v>
      </c>
      <c r="S25" s="72" t="n">
        <f aca="false">'16_REVENUE'!S14-'16_REVENUE'!S24</f>
        <v>38.4228770401051</v>
      </c>
      <c r="T25" s="72" t="n">
        <f aca="false">'16_REVENUE'!T14-'16_REVENUE'!T24</f>
        <v>38.8637554375052</v>
      </c>
      <c r="U25" s="72" t="n">
        <f aca="false">'16_REVENUE'!U14-'16_REVENUE'!U24</f>
        <v>39.3134514028533</v>
      </c>
      <c r="V25" s="72" t="n">
        <f aca="false">'16_REVENUE'!V14-'16_REVENUE'!V24</f>
        <v>39.7721412875084</v>
      </c>
      <c r="W25" s="72" t="n">
        <f aca="false">'16_REVENUE'!W14-'16_REVENUE'!W24</f>
        <v>40.2400049698565</v>
      </c>
      <c r="X25" s="72" t="n">
        <f aca="false">'16_REVENUE'!X14-'16_REVENUE'!X24</f>
        <v>40.7172259258517</v>
      </c>
      <c r="Y25" s="72" t="n">
        <f aca="false">'16_REVENUE'!Y14-'16_REVENUE'!Y24</f>
        <v>41.2039913009667</v>
      </c>
      <c r="Z25" s="72" t="n">
        <f aca="false">'16_REVENUE'!Z14-'16_REVENUE'!Z24</f>
        <v>41.700491983584</v>
      </c>
      <c r="AA25" s="72" t="n">
        <f aca="false">'16_REVENUE'!AA14-'16_REVENUE'!AA24</f>
        <v>42.2069226798537</v>
      </c>
      <c r="AB25" s="72" t="n">
        <f aca="false">'16_REVENUE'!AB14-'16_REVENUE'!AB24</f>
        <v>42.7234819900488</v>
      </c>
      <c r="AC25" s="72" t="n">
        <f aca="false">'16_REVENUE'!AC14-'16_REVENUE'!AC24</f>
        <v>43.2503724864477</v>
      </c>
      <c r="AD25" s="72" t="n">
        <f aca="false">'16_REVENUE'!AD14-'16_REVENUE'!AD24</f>
        <v>43.7878007927747</v>
      </c>
      <c r="AE25" s="72" t="n">
        <f aca="false">'16_REVENUE'!AE14-'16_REVENUE'!AE24</f>
        <v>44.3359776652282</v>
      </c>
      <c r="AF25" s="72" t="n">
        <f aca="false">'16_REVENUE'!AF14-'16_REVENUE'!AF24</f>
        <v>44.8951180751307</v>
      </c>
      <c r="AG25" s="72" t="n">
        <f aca="false">'16_REVENUE'!AG14-'16_REVENUE'!AG24</f>
        <v>0</v>
      </c>
      <c r="AH25" s="72" t="n">
        <f aca="false">'16_REVENUE'!AH14-'16_REVENUE'!AH24</f>
        <v>0</v>
      </c>
      <c r="AI25" s="72" t="n">
        <f aca="false">'16_REVENUE'!AI14-'16_REVENUE'!AI24</f>
        <v>0</v>
      </c>
      <c r="AJ25" s="72" t="n">
        <f aca="false">'16_REVENUE'!AJ14-'16_REVENUE'!AJ24</f>
        <v>0</v>
      </c>
      <c r="AK25" s="72" t="n">
        <f aca="false">'16_REVENUE'!AK14-'16_REVENUE'!AK24</f>
        <v>0</v>
      </c>
      <c r="AL25" s="72" t="n">
        <f aca="false">'16_REVENUE'!AL14-'16_REVENUE'!AL24</f>
        <v>0</v>
      </c>
      <c r="AM25" s="72" t="n">
        <f aca="false">'16_REVENUE'!AM14-'16_REVENUE'!AM24</f>
        <v>0</v>
      </c>
      <c r="AN25" s="72" t="n">
        <f aca="false">'16_REVENUE'!AN14-'16_REVENUE'!AN24</f>
        <v>0</v>
      </c>
      <c r="AO25" s="72" t="n">
        <f aca="false">'16_REVENUE'!AO14-'16_REVENUE'!AO24</f>
        <v>0</v>
      </c>
      <c r="AP25" s="72" t="n">
        <f aca="false">'16_REVENUE'!AP14-'16_REVENUE'!AP24</f>
        <v>0</v>
      </c>
      <c r="AQ25" s="72" t="n">
        <f aca="false">'16_REVENUE'!AQ14-'16_REVENUE'!AQ24</f>
        <v>0</v>
      </c>
      <c r="AR25" s="72" t="n">
        <f aca="false">'16_REVENUE'!AR14-'16_REVENUE'!AR24</f>
        <v>0</v>
      </c>
    </row>
    <row r="26" customFormat="false" ht="15" hidden="false" customHeight="true" outlineLevel="0" collapsed="false">
      <c r="A26" s="21" t="s">
        <v>718</v>
      </c>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row>
    <row r="27" customFormat="false" ht="15" hidden="false" customHeight="true" outlineLevel="0" collapsed="false">
      <c r="A27" s="23" t="s">
        <v>719</v>
      </c>
      <c r="B27" s="23" t="s">
        <v>121</v>
      </c>
      <c r="C27" s="58" t="n">
        <f aca="false">SUM('16_REVENUE'!$E$27:$AR$27)</f>
        <v>891.682306961555</v>
      </c>
      <c r="E27" s="58" t="n">
        <f aca="false">'16_REVENUE'!E11+'15_TARIFF'!E8*IF('14_PPA'!$C$11=1,'04_GENERATION'!E23,MIN('04_GENERATION'!E23*'09_GRID'!E17,'10_DEMAND'!E33))/1000</f>
        <v>0</v>
      </c>
      <c r="F27" s="58" t="n">
        <f aca="false">'16_REVENUE'!F11+'15_TARIFF'!F8*IF('14_PPA'!$C$11=1,'04_GENERATION'!F23,MIN('04_GENERATION'!F23*'09_GRID'!F17,'10_DEMAND'!F33))/1000</f>
        <v>0</v>
      </c>
      <c r="G27" s="58" t="n">
        <f aca="false">'16_REVENUE'!G11+'15_TARIFF'!G8*IF('14_PPA'!$C$11=1,'04_GENERATION'!G23,MIN('04_GENERATION'!G23*'09_GRID'!G17,'10_DEMAND'!G33))/1000</f>
        <v>0</v>
      </c>
      <c r="H27" s="58" t="n">
        <f aca="false">'16_REVENUE'!H11+'15_TARIFF'!H8*IF('14_PPA'!$C$11=1,'04_GENERATION'!H23,MIN('04_GENERATION'!H23*'09_GRID'!H17,'10_DEMAND'!H33))/1000</f>
        <v>26.5900260668269</v>
      </c>
      <c r="I27" s="58" t="n">
        <f aca="false">'16_REVENUE'!I11+'15_TARIFF'!I8*IF('14_PPA'!$C$11=1,'04_GENERATION'!I23,MIN('04_GENERATION'!I23*'09_GRID'!I17,'10_DEMAND'!I33))/1000</f>
        <v>31.607590437903</v>
      </c>
      <c r="J27" s="58" t="n">
        <f aca="false">'16_REVENUE'!J11+'15_TARIFF'!J8*IF('14_PPA'!$C$11=1,'04_GENERATION'!J23,MIN('04_GENERATION'!J23*'09_GRID'!J17,'10_DEMAND'!J33))/1000</f>
        <v>31.9393014043718</v>
      </c>
      <c r="K27" s="58" t="n">
        <f aca="false">'16_REVENUE'!K11+'15_TARIFF'!K8*IF('14_PPA'!$C$11=1,'04_GENERATION'!K23,MIN('04_GENERATION'!K23*'09_GRID'!K17,'10_DEMAND'!K33))/1000</f>
        <v>32.27764659017</v>
      </c>
      <c r="L27" s="58" t="n">
        <f aca="false">'16_REVENUE'!L11+'15_TARIFF'!L8*IF('14_PPA'!$C$11=1,'04_GENERATION'!L23,MIN('04_GENERATION'!L23*'09_GRID'!L17,'10_DEMAND'!L33))/1000</f>
        <v>32.6227586796842</v>
      </c>
      <c r="M27" s="58" t="n">
        <f aca="false">'16_REVENUE'!M11+'15_TARIFF'!M8*IF('14_PPA'!$C$11=1,'04_GENERATION'!M23,MIN('04_GENERATION'!M23*'09_GRID'!M17,'10_DEMAND'!M33))/1000</f>
        <v>32.9747730109886</v>
      </c>
      <c r="N27" s="58" t="n">
        <f aca="false">'16_REVENUE'!N11+'15_TARIFF'!N8*IF('14_PPA'!$C$11=1,'04_GENERATION'!N23,MIN('04_GENERATION'!N23*'09_GRID'!N17,'10_DEMAND'!N33))/1000</f>
        <v>33.3338276289191</v>
      </c>
      <c r="O27" s="58" t="n">
        <f aca="false">'16_REVENUE'!O11+'15_TARIFF'!O8*IF('14_PPA'!$C$11=1,'04_GENERATION'!O23,MIN('04_GENERATION'!O23*'09_GRID'!O17,'10_DEMAND'!O33))/1000</f>
        <v>33.7000633392082</v>
      </c>
      <c r="P27" s="58" t="n">
        <f aca="false">'16_REVENUE'!P11+'15_TARIFF'!P8*IF('14_PPA'!$C$11=1,'04_GENERATION'!P23,MIN('04_GENERATION'!P23*'09_GRID'!P17,'10_DEMAND'!P33))/1000</f>
        <v>34.0736237637031</v>
      </c>
      <c r="Q27" s="58" t="n">
        <f aca="false">'16_REVENUE'!Q11+'15_TARIFF'!Q8*IF('14_PPA'!$C$11=1,'04_GENERATION'!Q23,MIN('04_GENERATION'!Q23*'09_GRID'!Q17,'10_DEMAND'!Q33))/1000</f>
        <v>34.454655396688</v>
      </c>
      <c r="R27" s="58" t="n">
        <f aca="false">'16_REVENUE'!R11+'15_TARIFF'!R8*IF('14_PPA'!$C$11=1,'04_GENERATION'!R23,MIN('04_GENERATION'!R23*'09_GRID'!R17,'10_DEMAND'!R33))/1000</f>
        <v>34.8433076623325</v>
      </c>
      <c r="S27" s="58" t="n">
        <f aca="false">'16_REVENUE'!S11+'15_TARIFF'!S8*IF('14_PPA'!$C$11=1,'04_GENERATION'!S23,MIN('04_GENERATION'!S23*'09_GRID'!S17,'10_DEMAND'!S33))/1000</f>
        <v>35.2397329732898</v>
      </c>
      <c r="T27" s="58" t="n">
        <f aca="false">'16_REVENUE'!T11+'15_TARIFF'!T8*IF('14_PPA'!$C$11=1,'04_GENERATION'!T23,MIN('04_GENERATION'!T23*'09_GRID'!T17,'10_DEMAND'!T33))/1000</f>
        <v>35.6440867904664</v>
      </c>
      <c r="U27" s="58" t="n">
        <f aca="false">'16_REVENUE'!U11+'15_TARIFF'!U8*IF('14_PPA'!$C$11=1,'04_GENERATION'!U23,MIN('04_GENERATION'!U23*'09_GRID'!U17,'10_DEMAND'!U33))/1000</f>
        <v>36.0565276839865</v>
      </c>
      <c r="V27" s="58" t="n">
        <f aca="false">'16_REVENUE'!V11+'15_TARIFF'!V8*IF('14_PPA'!$C$11=1,'04_GENERATION'!V23,MIN('04_GENERATION'!V23*'09_GRID'!V17,'10_DEMAND'!V33))/1000</f>
        <v>36.4772173953769</v>
      </c>
      <c r="W27" s="58" t="n">
        <f aca="false">'16_REVENUE'!W11+'15_TARIFF'!W8*IF('14_PPA'!$C$11=1,'04_GENERATION'!W23,MIN('04_GENERATION'!W23*'09_GRID'!W17,'10_DEMAND'!W33))/1000</f>
        <v>36.9063209009952</v>
      </c>
      <c r="X27" s="58" t="n">
        <f aca="false">'16_REVENUE'!X11+'15_TARIFF'!X8*IF('14_PPA'!$C$11=1,'04_GENERATION'!X23,MIN('04_GENERATION'!X23*'09_GRID'!X17,'10_DEMAND'!X33))/1000</f>
        <v>37.3440064767259</v>
      </c>
      <c r="Y27" s="58" t="n">
        <f aca="false">'16_REVENUE'!Y11+'15_TARIFF'!Y8*IF('14_PPA'!$C$11=1,'04_GENERATION'!Y23,MIN('04_GENERATION'!Y23*'09_GRID'!Y17,'10_DEMAND'!Y33))/1000</f>
        <v>37.7904457639711</v>
      </c>
      <c r="Z27" s="58" t="n">
        <f aca="false">'16_REVENUE'!Z11+'15_TARIFF'!Z8*IF('14_PPA'!$C$11=1,'04_GENERATION'!Z23,MIN('04_GENERATION'!Z23*'09_GRID'!Z17,'10_DEMAND'!Z33))/1000</f>
        <v>38.2458138369613</v>
      </c>
      <c r="AA27" s="58" t="n">
        <f aca="false">'16_REVENUE'!AA11+'15_TARIFF'!AA8*IF('14_PPA'!$C$11=1,'04_GENERATION'!AA23,MIN('04_GENERATION'!AA23*'09_GRID'!AA17,'10_DEMAND'!AA33))/1000</f>
        <v>38.7102892714113</v>
      </c>
      <c r="AB27" s="58" t="n">
        <f aca="false">'16_REVENUE'!AB11+'15_TARIFF'!AB8*IF('14_PPA'!$C$11=1,'04_GENERATION'!AB23,MIN('04_GENERATION'!AB23*'09_GRID'!AB17,'10_DEMAND'!AB33))/1000</f>
        <v>39.1840542145502</v>
      </c>
      <c r="AC27" s="58" t="n">
        <f aca="false">'16_REVENUE'!AC11+'15_TARIFF'!AC8*IF('14_PPA'!$C$11=1,'04_GENERATION'!AC23,MIN('04_GENERATION'!AC23*'09_GRID'!AC17,'10_DEMAND'!AC33))/1000</f>
        <v>39.667294456552</v>
      </c>
      <c r="AD27" s="58" t="n">
        <f aca="false">'16_REVENUE'!AD11+'15_TARIFF'!AD8*IF('14_PPA'!$C$11=1,'04_GENERATION'!AD23,MIN('04_GENERATION'!AD23*'09_GRID'!AD17,'10_DEMAND'!AD33))/1000</f>
        <v>40.1601995033938</v>
      </c>
      <c r="AE27" s="58" t="n">
        <f aca="false">'16_REVENUE'!AE11+'15_TARIFF'!AE8*IF('14_PPA'!$C$11=1,'04_GENERATION'!AE23,MIN('04_GENERATION'!AE23*'09_GRID'!AE17,'10_DEMAND'!AE33))/1000</f>
        <v>40.6629626511724</v>
      </c>
      <c r="AF27" s="58" t="n">
        <f aca="false">'16_REVENUE'!AF11+'15_TARIFF'!AF8*IF('14_PPA'!$C$11=1,'04_GENERATION'!AF23,MIN('04_GENERATION'!AF23*'09_GRID'!AF17,'10_DEMAND'!AF33))/1000</f>
        <v>41.1757810619066</v>
      </c>
      <c r="AG27" s="58" t="n">
        <f aca="false">'16_REVENUE'!AG11+'15_TARIFF'!AG8*IF('14_PPA'!$C$11=1,'04_GENERATION'!AG23,MIN('04_GENERATION'!AG23*'09_GRID'!AG17,'10_DEMAND'!AG33))/1000</f>
        <v>0</v>
      </c>
      <c r="AH27" s="58" t="n">
        <f aca="false">'16_REVENUE'!AH11+'15_TARIFF'!AH8*IF('14_PPA'!$C$11=1,'04_GENERATION'!AH23,MIN('04_GENERATION'!AH23*'09_GRID'!AH17,'10_DEMAND'!AH33))/1000</f>
        <v>0</v>
      </c>
      <c r="AI27" s="58" t="n">
        <f aca="false">'16_REVENUE'!AI11+'15_TARIFF'!AI8*IF('14_PPA'!$C$11=1,'04_GENERATION'!AI23,MIN('04_GENERATION'!AI23*'09_GRID'!AI17,'10_DEMAND'!AI33))/1000</f>
        <v>0</v>
      </c>
      <c r="AJ27" s="58" t="n">
        <f aca="false">'16_REVENUE'!AJ11+'15_TARIFF'!AJ8*IF('14_PPA'!$C$11=1,'04_GENERATION'!AJ23,MIN('04_GENERATION'!AJ23*'09_GRID'!AJ17,'10_DEMAND'!AJ33))/1000</f>
        <v>0</v>
      </c>
      <c r="AK27" s="58" t="n">
        <f aca="false">'16_REVENUE'!AK11+'15_TARIFF'!AK8*IF('14_PPA'!$C$11=1,'04_GENERATION'!AK23,MIN('04_GENERATION'!AK23*'09_GRID'!AK17,'10_DEMAND'!AK33))/1000</f>
        <v>0</v>
      </c>
      <c r="AL27" s="58" t="n">
        <f aca="false">'16_REVENUE'!AL11+'15_TARIFF'!AL8*IF('14_PPA'!$C$11=1,'04_GENERATION'!AL23,MIN('04_GENERATION'!AL23*'09_GRID'!AL17,'10_DEMAND'!AL33))/1000</f>
        <v>0</v>
      </c>
      <c r="AM27" s="58" t="n">
        <f aca="false">'16_REVENUE'!AM11+'15_TARIFF'!AM8*IF('14_PPA'!$C$11=1,'04_GENERATION'!AM23,MIN('04_GENERATION'!AM23*'09_GRID'!AM17,'10_DEMAND'!AM33))/1000</f>
        <v>0</v>
      </c>
      <c r="AN27" s="58" t="n">
        <f aca="false">'16_REVENUE'!AN11+'15_TARIFF'!AN8*IF('14_PPA'!$C$11=1,'04_GENERATION'!AN23,MIN('04_GENERATION'!AN23*'09_GRID'!AN17,'10_DEMAND'!AN33))/1000</f>
        <v>0</v>
      </c>
      <c r="AO27" s="58" t="n">
        <f aca="false">'16_REVENUE'!AO11+'15_TARIFF'!AO8*IF('14_PPA'!$C$11=1,'04_GENERATION'!AO23,MIN('04_GENERATION'!AO23*'09_GRID'!AO17,'10_DEMAND'!AO33))/1000</f>
        <v>0</v>
      </c>
      <c r="AP27" s="58" t="n">
        <f aca="false">'16_REVENUE'!AP11+'15_TARIFF'!AP8*IF('14_PPA'!$C$11=1,'04_GENERATION'!AP23,MIN('04_GENERATION'!AP23*'09_GRID'!AP17,'10_DEMAND'!AP33))/1000</f>
        <v>0</v>
      </c>
      <c r="AQ27" s="58" t="n">
        <f aca="false">'16_REVENUE'!AQ11+'15_TARIFF'!AQ8*IF('14_PPA'!$C$11=1,'04_GENERATION'!AQ23,MIN('04_GENERATION'!AQ23*'09_GRID'!AQ17,'10_DEMAND'!AQ33))/1000</f>
        <v>0</v>
      </c>
      <c r="AR27" s="58" t="n">
        <f aca="false">'16_REVENUE'!AR11+'15_TARIFF'!AR8*IF('14_PPA'!$C$11=1,'04_GENERATION'!AR23,MIN('04_GENERATION'!AR23*'09_GRID'!AR17,'10_DEMAND'!AR33))/1000</f>
        <v>0</v>
      </c>
    </row>
    <row r="28" customFormat="false" ht="15" hidden="false" customHeight="true" outlineLevel="0" collapsed="false">
      <c r="A28" s="21" t="s">
        <v>720</v>
      </c>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row>
    <row r="29" customFormat="false" ht="15" hidden="false" customHeight="true" outlineLevel="0" collapsed="false">
      <c r="A29" s="19" t="s">
        <v>721</v>
      </c>
      <c r="B29" s="23" t="s">
        <v>93</v>
      </c>
      <c r="C29" s="38" t="n">
        <f aca="false">IFERROR('16_REVENUE'!$C$11/'16_REVENUE'!$C$14,0)</f>
        <v>0</v>
      </c>
    </row>
    <row r="30" customFormat="false" ht="15" hidden="false" customHeight="true" outlineLevel="0" collapsed="false">
      <c r="A30" s="19" t="s">
        <v>722</v>
      </c>
      <c r="B30" s="23" t="s">
        <v>723</v>
      </c>
      <c r="C30" s="38" t="n">
        <f aca="false">IFERROR((1-'03_HYDROLOGY'!$C$35/'03_HYDROLOGY'!$C$33)*SUMPRODUCT(('06_CONSTRUCTION'!$E$5:$AR$5=2)*'16_REVENUE'!$E$12:$AR$12)/SUMPRODUCT(('06_CONSTRUCTION'!$E$5:$AR$5=2)*'16_REVENUE'!$E$14:$AR$14),0)</f>
        <v>0.19224</v>
      </c>
    </row>
    <row r="31" customFormat="false" ht="15" hidden="false" customHeight="true" outlineLevel="0" collapsed="false">
      <c r="A31" s="19" t="s">
        <v>724</v>
      </c>
      <c r="B31" s="23" t="s">
        <v>93</v>
      </c>
      <c r="C31" s="38" t="n">
        <f aca="false">IFERROR('16_REVENUE'!$C$15/'16_REVENUE'!$C$14,0)</f>
        <v>1</v>
      </c>
    </row>
    <row r="32" customFormat="false" ht="15" hidden="false" customHeight="true" outlineLevel="0" collapsed="false">
      <c r="A32" s="19" t="s">
        <v>725</v>
      </c>
      <c r="B32" s="23" t="s">
        <v>121</v>
      </c>
      <c r="C32" s="32" t="n">
        <f aca="false">'12_UTILITY'!$C$43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J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726</v>
      </c>
      <c r="B1" s="17"/>
      <c r="C1" s="17"/>
      <c r="D1" s="17"/>
      <c r="E1" s="17"/>
      <c r="F1" s="17"/>
      <c r="G1" s="17"/>
      <c r="H1" s="17"/>
      <c r="I1" s="17"/>
      <c r="J1" s="17"/>
    </row>
    <row r="2" customFormat="false" ht="15" hidden="false" customHeight="true" outlineLevel="0" collapsed="false">
      <c r="A2" s="18" t="s">
        <v>727</v>
      </c>
      <c r="B2" s="17"/>
      <c r="C2" s="17"/>
      <c r="D2" s="17"/>
      <c r="E2" s="17"/>
      <c r="F2" s="17"/>
      <c r="G2" s="17"/>
      <c r="H2" s="17"/>
      <c r="I2" s="17"/>
      <c r="J2" s="17"/>
    </row>
    <row r="4" customFormat="false" ht="15" hidden="false" customHeight="true" outlineLevel="0" collapsed="false">
      <c r="A4" s="21" t="s">
        <v>728</v>
      </c>
      <c r="B4" s="22"/>
      <c r="C4" s="22"/>
      <c r="D4" s="22"/>
      <c r="E4" s="22"/>
      <c r="F4" s="22"/>
      <c r="G4" s="22"/>
      <c r="H4" s="22"/>
      <c r="I4" s="22"/>
      <c r="J4" s="22"/>
    </row>
    <row r="5" customFormat="false" ht="15" hidden="false" customHeight="true" outlineLevel="0" collapsed="false">
      <c r="A5" s="23" t="s">
        <v>729</v>
      </c>
      <c r="B5" s="23" t="s">
        <v>121</v>
      </c>
      <c r="C5" s="66" t="n">
        <f aca="false">'06_CONSTRUCTION'!$C$25</f>
        <v>164.826159609375</v>
      </c>
    </row>
    <row r="6" customFormat="false" ht="15" hidden="false" customHeight="true" outlineLevel="0" collapsed="false">
      <c r="A6" s="23" t="s">
        <v>730</v>
      </c>
      <c r="B6" s="23" t="s">
        <v>121</v>
      </c>
      <c r="C6" s="60" t="n">
        <f aca="false">SUMPRODUCT('08_TRANSMISSION'!$E$33:$AR$33,'06_CONSTRUCTION'!$E$13:$AR$13)</f>
        <v>17.76475546875</v>
      </c>
      <c r="D6" s="25" t="s">
        <v>731</v>
      </c>
    </row>
    <row r="7" customFormat="false" ht="15" hidden="false" customHeight="true" outlineLevel="0" collapsed="false">
      <c r="A7" s="23" t="s">
        <v>732</v>
      </c>
      <c r="B7" s="23" t="s">
        <v>121</v>
      </c>
      <c r="C7" s="66" t="n">
        <f aca="false">'01A_DEVELOPMENT'!$C$19</f>
        <v>4.7058</v>
      </c>
    </row>
    <row r="8" customFormat="false" ht="15" hidden="false" customHeight="true" outlineLevel="0" collapsed="false">
      <c r="A8" s="19" t="s">
        <v>733</v>
      </c>
      <c r="B8" s="23" t="s">
        <v>121</v>
      </c>
      <c r="C8" s="67" t="n">
        <f aca="false">'17_PROJECT_FINANCE'!$C$5+'17_PROJECT_FINANCE'!$C$6+'17_PROJECT_FINANCE'!$C$7</f>
        <v>187.296715078125</v>
      </c>
    </row>
    <row r="9" customFormat="false" ht="15" hidden="false" customHeight="true" outlineLevel="0" collapsed="false">
      <c r="A9" s="23" t="s">
        <v>734</v>
      </c>
      <c r="B9" s="23" t="s">
        <v>121</v>
      </c>
      <c r="C9" s="66" t="n">
        <f aca="false">'18_DEBT'!$C$41</f>
        <v>17.4422661491824</v>
      </c>
    </row>
    <row r="10" customFormat="false" ht="15" hidden="false" customHeight="true" outlineLevel="0" collapsed="false">
      <c r="A10" s="23" t="s">
        <v>735</v>
      </c>
      <c r="B10" s="23" t="s">
        <v>121</v>
      </c>
      <c r="C10" s="60" t="n">
        <f aca="false">'17A_STRUCTURES'!$C$26*('17_PROJECT_FINANCE'!$C$16+'17_PROJECT_FINANCE'!$C$17)</f>
        <v>2.90704435819706</v>
      </c>
    </row>
    <row r="11" customFormat="false" ht="15" hidden="false" customHeight="true" outlineLevel="0" collapsed="false">
      <c r="A11" s="23" t="s">
        <v>736</v>
      </c>
      <c r="B11" s="23" t="s">
        <v>121</v>
      </c>
      <c r="C11" s="66" t="n">
        <f aca="false">'18_DEBT'!$C$44</f>
        <v>7.31439332890833</v>
      </c>
    </row>
    <row r="12" customFormat="false" ht="15" hidden="false" customHeight="true" outlineLevel="0" collapsed="false">
      <c r="A12" s="19" t="s">
        <v>737</v>
      </c>
      <c r="B12" s="23" t="s">
        <v>121</v>
      </c>
      <c r="C12" s="67" t="n">
        <f aca="false">'17_PROJECT_FINANCE'!$C$8+'17_PROJECT_FINANCE'!$C$9+'17_PROJECT_FINANCE'!$C$10+'17_PROJECT_FINANCE'!$C$11</f>
        <v>214.960418914413</v>
      </c>
    </row>
    <row r="13" customFormat="false" ht="15" hidden="false" customHeight="true" outlineLevel="0" collapsed="false">
      <c r="A13" s="21" t="s">
        <v>738</v>
      </c>
      <c r="B13" s="22"/>
      <c r="C13" s="22"/>
      <c r="D13" s="22"/>
      <c r="E13" s="22"/>
      <c r="F13" s="22"/>
      <c r="G13" s="22"/>
      <c r="H13" s="22"/>
      <c r="I13" s="22"/>
      <c r="J13" s="22"/>
    </row>
    <row r="14" customFormat="false" ht="15" hidden="false" customHeight="true" outlineLevel="0" collapsed="false">
      <c r="A14" s="23" t="s">
        <v>739</v>
      </c>
      <c r="B14" s="23" t="s">
        <v>121</v>
      </c>
      <c r="C14" s="60" t="n">
        <f aca="false">IF('01_CONTROL_PANEL'!$C$11=1,'17A_STRUCTURES'!$C$7*'17_PROJECT_FINANCE'!$C$8,'18_DEBT'!$C$8)</f>
        <v>0</v>
      </c>
    </row>
    <row r="15" customFormat="false" ht="15" hidden="false" customHeight="true" outlineLevel="0" collapsed="false">
      <c r="A15" s="23" t="s">
        <v>740</v>
      </c>
      <c r="B15" s="23" t="s">
        <v>121</v>
      </c>
      <c r="C15" s="60" t="n">
        <f aca="false">IF('01_CONTROL_PANEL'!$C$11=1,'17A_STRUCTURES'!$C$6*'17_PROJECT_FINANCE'!$C$8,'18_DEBT'!$C$9)</f>
        <v>0</v>
      </c>
    </row>
    <row r="16" customFormat="false" ht="15" hidden="false" customHeight="true" outlineLevel="0" collapsed="false">
      <c r="A16" s="23" t="s">
        <v>741</v>
      </c>
      <c r="B16" s="23" t="s">
        <v>121</v>
      </c>
      <c r="C16" s="60" t="n">
        <f aca="false">IF('01_CONTROL_PANEL'!$C$11=1,MIN('17A_STRUCTURES'!$C$8,'17A_STRUCTURES'!$C$9)*'17_PROJECT_FINANCE'!$C$8,'18_DEBT'!$C$7)</f>
        <v>0</v>
      </c>
    </row>
    <row r="17" customFormat="false" ht="15" hidden="false" customHeight="true" outlineLevel="0" collapsed="false">
      <c r="A17" s="23" t="s">
        <v>742</v>
      </c>
      <c r="B17" s="23" t="s">
        <v>121</v>
      </c>
      <c r="C17" s="60" t="n">
        <f aca="false">IF('01_CONTROL_PANEL'!$C$11=1,MIN('17_PROJECT_FINANCE'!$C$23,MAX(0,('17A_STRUCTURES'!$C$9*('17_PROJECT_FINANCE'!$C$8+'17_PROJECT_FINANCE'!$C$16*('18_DEBT'!$C$14+'17A_STRUCTURES'!$C$26))-'17_PROJECT_FINANCE'!$C$16)/(1-'17A_STRUCTURES'!$C$9*('18_DEBT'!$C$15+'17A_STRUCTURES'!$C$26)))),MIN('18_DEBT'!$C$6,MAX(0,('17A_STRUCTURES'!$C$9*('17_PROJECT_FINANCE'!$C$8+'17_PROJECT_FINANCE'!$C$16*('18_DEBT'!$C$14+'17A_STRUCTURES'!$C$26))-'17_PROJECT_FINANCE'!$C$16)/(1-'17A_STRUCTURES'!$C$9*('18_DEBT'!$C$15+'17A_STRUCTURES'!$C$26)))))</f>
        <v>145.352217909853</v>
      </c>
    </row>
    <row r="18" customFormat="false" ht="15" hidden="false" customHeight="true" outlineLevel="0" collapsed="false">
      <c r="A18" s="23" t="s">
        <v>743</v>
      </c>
      <c r="B18" s="23" t="s">
        <v>121</v>
      </c>
      <c r="C18" s="60" t="n">
        <f aca="false">'17_PROJECT_FINANCE'!$C$12-'17_PROJECT_FINANCE'!$C$14-'17_PROJECT_FINANCE'!$C$15-'17_PROJECT_FINANCE'!$C$16-'17_PROJECT_FINANCE'!$C$17</f>
        <v>69.6082010045596</v>
      </c>
    </row>
    <row r="19" customFormat="false" ht="15" hidden="false" customHeight="true" outlineLevel="0" collapsed="false">
      <c r="A19" s="23" t="s">
        <v>744</v>
      </c>
      <c r="B19" s="23" t="s">
        <v>121</v>
      </c>
      <c r="C19" s="60" t="n">
        <f aca="false">IF('17A_STRUCTURES'!$C$11=2,'17_PROJECT_FINANCE'!$C$18,0)</f>
        <v>0</v>
      </c>
    </row>
    <row r="20" customFormat="false" ht="15" hidden="false" customHeight="true" outlineLevel="0" collapsed="false">
      <c r="A20" s="23" t="s">
        <v>745</v>
      </c>
      <c r="B20" s="23" t="s">
        <v>121</v>
      </c>
      <c r="C20" s="60" t="n">
        <f aca="false">IF('17A_STRUCTURES'!$C$11=1,'17_PROJECT_FINANCE'!$C$18,0)</f>
        <v>69.6082010045596</v>
      </c>
    </row>
    <row r="21" customFormat="false" ht="15" hidden="false" customHeight="true" outlineLevel="0" collapsed="false">
      <c r="A21" s="19" t="s">
        <v>746</v>
      </c>
      <c r="B21" s="23" t="s">
        <v>121</v>
      </c>
      <c r="C21" s="67" t="n">
        <f aca="false">'17_PROJECT_FINANCE'!$C$14+'17_PROJECT_FINANCE'!$C$15+'17_PROJECT_FINANCE'!$C$16+'17_PROJECT_FINANCE'!$C$17+'17_PROJECT_FINANCE'!$C$18</f>
        <v>214.960418914413</v>
      </c>
    </row>
    <row r="22" customFormat="false" ht="15" hidden="false" customHeight="true" outlineLevel="0" collapsed="false">
      <c r="A22" s="21" t="s">
        <v>747</v>
      </c>
      <c r="B22" s="22"/>
      <c r="C22" s="22"/>
      <c r="D22" s="22"/>
      <c r="E22" s="22"/>
      <c r="F22" s="22"/>
      <c r="G22" s="22"/>
      <c r="H22" s="22"/>
      <c r="I22" s="22"/>
      <c r="J22" s="22"/>
    </row>
    <row r="23" customFormat="false" ht="15" hidden="false" customHeight="true" outlineLevel="0" collapsed="false">
      <c r="A23" s="19" t="s">
        <v>748</v>
      </c>
      <c r="B23" s="23" t="s">
        <v>121</v>
      </c>
      <c r="C23" s="67" t="n">
        <f aca="false">SUMPRODUCT('18_DEBT'!$E$23:$AR$23,'18_DEBT'!$E$19:$AR$19)</f>
        <v>147.82091832187</v>
      </c>
    </row>
    <row r="24" customFormat="false" ht="15" hidden="false" customHeight="true" outlineLevel="0" collapsed="false">
      <c r="A24" s="19" t="s">
        <v>749</v>
      </c>
      <c r="B24" s="23" t="s">
        <v>121</v>
      </c>
      <c r="C24" s="67" t="n">
        <f aca="false">'17_PROJECT_FINANCE'!$C$16+'17_PROJECT_FINANCE'!$C$23</f>
        <v>147.82091832187</v>
      </c>
    </row>
    <row r="25" customFormat="false" ht="15" hidden="false" customHeight="true" outlineLevel="0" collapsed="false">
      <c r="A25" s="19" t="s">
        <v>750</v>
      </c>
      <c r="B25" s="23" t="s">
        <v>93</v>
      </c>
      <c r="C25" s="38" t="n">
        <f aca="false">('17_PROJECT_FINANCE'!$C$16+'17_PROJECT_FINANCE'!$C$17)/'17_PROJECT_FINANCE'!$C$12</f>
        <v>0.676181311163734</v>
      </c>
    </row>
    <row r="26" customFormat="false" ht="15" hidden="false" customHeight="true" outlineLevel="0" collapsed="false">
      <c r="A26" s="23" t="s">
        <v>751</v>
      </c>
      <c r="B26" s="23" t="s">
        <v>121</v>
      </c>
      <c r="C26" s="60" t="n">
        <f aca="false">'17A_STRUCTURES'!$C$10*'17_PROJECT_FINANCE'!$C$8</f>
        <v>65.5538502773437</v>
      </c>
    </row>
    <row r="27" customFormat="false" ht="15" hidden="false" customHeight="true" outlineLevel="0" collapsed="false">
      <c r="A27" s="19" t="s">
        <v>752</v>
      </c>
      <c r="B27" s="23" t="s">
        <v>121</v>
      </c>
      <c r="C27" s="67" t="n">
        <f aca="false">IF('17A_STRUCTURES'!$C$11=1,MAX(0,'17_PROJECT_FINANCE'!$C$20-'17_PROJECT_FINANCE'!$C$26),0)</f>
        <v>4.05435072721588</v>
      </c>
    </row>
    <row r="28" customFormat="false" ht="15" hidden="false" customHeight="true" outlineLevel="0" collapsed="false">
      <c r="A28" s="23" t="s">
        <v>753</v>
      </c>
      <c r="B28" s="23" t="s">
        <v>121</v>
      </c>
      <c r="C28" s="60" t="n">
        <f aca="false">'17_PROJECT_FINANCE'!$C$19</f>
        <v>0</v>
      </c>
    </row>
    <row r="29" customFormat="false" ht="15" hidden="false" customHeight="true" outlineLevel="0" collapsed="false">
      <c r="A29" s="23" t="s">
        <v>754</v>
      </c>
      <c r="B29" s="23" t="s">
        <v>93</v>
      </c>
      <c r="C29" s="77" t="n">
        <f aca="false">'17_PROJECT_FINANCE'!$C$27/'17_PROJECT_FINANCE'!$C$12</f>
        <v>0.0188609175014221</v>
      </c>
    </row>
    <row r="30" customFormat="false" ht="15" hidden="false" customHeight="true" outlineLevel="0" collapsed="false">
      <c r="A30" s="21" t="s">
        <v>755</v>
      </c>
      <c r="B30" s="22"/>
      <c r="C30" s="22"/>
      <c r="D30" s="22"/>
      <c r="E30" s="22"/>
      <c r="F30" s="22"/>
      <c r="G30" s="22"/>
      <c r="H30" s="22"/>
      <c r="I30" s="22"/>
      <c r="J30" s="22"/>
    </row>
    <row r="31" customFormat="false" ht="15" hidden="false" customHeight="true" outlineLevel="0" collapsed="false">
      <c r="A31" s="19" t="s">
        <v>756</v>
      </c>
      <c r="B31" s="23" t="s">
        <v>93</v>
      </c>
      <c r="C31" s="38" t="n">
        <f aca="false">IFERROR(IRR('20_CASH_FLOW'!$E$44:$AR$44,0.08),"n/a")</f>
        <v>0.112182480312486</v>
      </c>
    </row>
    <row r="32" customFormat="false" ht="15" hidden="false" customHeight="true" outlineLevel="0" collapsed="false">
      <c r="A32" s="19" t="s">
        <v>757</v>
      </c>
      <c r="B32" s="23" t="s">
        <v>121</v>
      </c>
      <c r="C32" s="67" t="n">
        <f aca="false">NPV('02_PROJECT_INPUTS'!$C$23,'20_CASH_FLOW'!$E$44:$AR$44)</f>
        <v>16.3209991584039</v>
      </c>
    </row>
    <row r="33" customFormat="false" ht="15" hidden="false" customHeight="true" outlineLevel="0" collapsed="false">
      <c r="A33" s="19" t="s">
        <v>758</v>
      </c>
      <c r="B33" s="23" t="s">
        <v>93</v>
      </c>
      <c r="C33" s="38" t="n">
        <f aca="false">IF('17_PROJECT_FINANCE'!$C$20&gt;0,IFERROR(IRR('20_CASH_FLOW'!$E$41:$AR$41,0.1),IFERROR(IRR('20_CASH_FLOW'!$E$41:$AR$41,-0.1),IFERROR(IRR('20_CASH_FLOW'!$E$41:$AR$41,-0.5),-1))),"n/a")</f>
        <v>0.137581200828486</v>
      </c>
    </row>
    <row r="34" customFormat="false" ht="15" hidden="false" customHeight="true" outlineLevel="0" collapsed="false">
      <c r="A34" s="19" t="s">
        <v>759</v>
      </c>
      <c r="B34" s="23" t="s">
        <v>93</v>
      </c>
      <c r="C34" s="38" t="str">
        <f aca="false">IF('17_PROJECT_FINANCE'!$C$15+'17_PROJECT_FINANCE'!$C$19&gt;0,IFERROR(IRR('20_CASH_FLOW'!$E$40:$AR$40,0.05),"n/a"),"n/a")</f>
        <v>n/a</v>
      </c>
    </row>
    <row r="35" customFormat="false" ht="15" hidden="false" customHeight="true" outlineLevel="0" collapsed="false">
      <c r="A35" s="19" t="s">
        <v>760</v>
      </c>
      <c r="B35" s="23" t="s">
        <v>448</v>
      </c>
      <c r="C35" s="37" t="n">
        <f aca="false">NPV('02_PROJECT_INPUTS'!$C$23,'20_CASH_FLOW'!$E$45:$AR$45)/NPV('02_PROJECT_INPUTS'!$C$23,'20_CASH_FLOW'!$E$46:$AR$46)*1000</f>
        <v>105.948882101081</v>
      </c>
    </row>
    <row r="36" customFormat="false" ht="15" hidden="false" customHeight="true" outlineLevel="0" collapsed="false">
      <c r="A36" s="19" t="s">
        <v>761</v>
      </c>
      <c r="B36" s="23" t="s">
        <v>448</v>
      </c>
      <c r="C36" s="37" t="n">
        <f aca="false">NPV('02_PROJECT_INPUTS'!$C$23,'20_CASH_FLOW'!$E$47:$AR$47)/NPV('02_PROJECT_INPUTS'!$C$23,'20_CASH_FLOW'!$E$48:$AR$48)*1000</f>
        <v>108.111104184777</v>
      </c>
    </row>
    <row r="37" customFormat="false" ht="15" hidden="false" customHeight="true" outlineLevel="0" collapsed="false">
      <c r="A37" s="19" t="s">
        <v>762</v>
      </c>
      <c r="B37" s="23" t="s">
        <v>119</v>
      </c>
      <c r="C37" s="46" t="n">
        <f aca="false">IF(COUNT('20_CASH_FLOW'!$E$21:$AR$21)=0,99,MIN('20_CASH_FLOW'!$E$21:$AR$21))</f>
        <v>1.52720627268227</v>
      </c>
    </row>
    <row r="38" customFormat="false" ht="15" hidden="false" customHeight="true" outlineLevel="0" collapsed="false">
      <c r="A38" s="19" t="s">
        <v>763</v>
      </c>
      <c r="B38" s="23" t="s">
        <v>119</v>
      </c>
      <c r="C38" s="46" t="n">
        <f aca="false">IF(COUNT('20_CASH_FLOW'!$E$21:$AR$21)=0,99,AVERAGE('20_CASH_FLOW'!$E$21:$AR$21))</f>
        <v>1.60321355093966</v>
      </c>
    </row>
    <row r="39" customFormat="false" ht="15" hidden="false" customHeight="true" outlineLevel="0" collapsed="false">
      <c r="A39" s="19" t="s">
        <v>764</v>
      </c>
      <c r="B39" s="23" t="s">
        <v>119</v>
      </c>
      <c r="C39" s="46" t="n">
        <f aca="false">IFERROR(SUMPRODUCT('20_CASH_FLOW'!$E$19:$AR$19,'18_DEBT'!$E$22:$AR$22,'18_DEBT'!$E$21:$AR$21)/('17_PROJECT_FINANCE'!$C$16+'17_PROJECT_FINANCE'!$C$17),0)</f>
        <v>1.5905442481781</v>
      </c>
    </row>
    <row r="40" customFormat="false" ht="15" hidden="false" customHeight="true" outlineLevel="0" collapsed="false">
      <c r="A40" s="19" t="s">
        <v>765</v>
      </c>
      <c r="B40" s="23" t="s">
        <v>119</v>
      </c>
      <c r="C40" s="46" t="n">
        <f aca="false">IFERROR(SUMPRODUCT('20_CASH_FLOW'!$E$19:$AR$19,'18_DEBT'!$E$19:$AR$19)/('17_PROJECT_FINANCE'!$C$16+'17_PROJECT_FINANCE'!$C$17),0)</f>
        <v>1.89738540223243</v>
      </c>
    </row>
    <row r="41" customFormat="false" ht="15" hidden="false" customHeight="true" outlineLevel="0" collapsed="false">
      <c r="A41" s="19" t="s">
        <v>766</v>
      </c>
      <c r="B41" s="23" t="s">
        <v>121</v>
      </c>
      <c r="C41" s="32" t="n">
        <f aca="false">'20_CASH_FLOW'!$C$30</f>
        <v>0</v>
      </c>
    </row>
    <row r="42" customFormat="false" ht="15" hidden="false" customHeight="true" outlineLevel="0" collapsed="false">
      <c r="A42" s="23" t="s">
        <v>767</v>
      </c>
      <c r="B42" s="23" t="s">
        <v>121</v>
      </c>
      <c r="C42" s="60" t="n">
        <f aca="false">SUMPRODUCT(('06_CONSTRUCTION'!$E$5:$AR$5=2)*'07_OPEX'!$E$20:$AR$20)</f>
        <v>6.054935217526</v>
      </c>
    </row>
    <row r="43" customFormat="false" ht="15" hidden="false" customHeight="true" outlineLevel="0" collapsed="false">
      <c r="A43" s="19" t="s">
        <v>768</v>
      </c>
      <c r="B43" s="23" t="s">
        <v>448</v>
      </c>
      <c r="C43" s="37" t="n">
        <f aca="false">IFERROR(SUMPRODUCT(('06_CONSTRUCTION'!$E$5:$AR$5&gt;=1)*('06_CONSTRUCTION'!$E$5:$AR$5&lt;=10)*'12_UTILITY'!$E$41:$AR$41)/'11_OFFTAKER'!$C$6/SUMPRODUCT(('06_CONSTRUCTION'!$E$5:$AR$5&gt;=1)*('06_CONSTRUCTION'!$E$5:$AR$5&lt;=10)*'16_REVENUE'!$E$9:$AR$9)*1000,0)</f>
        <v>955.801511253787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S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9" min="5" style="1" width="15"/>
  </cols>
  <sheetData>
    <row r="1" customFormat="false" ht="17.25" hidden="false" customHeight="true" outlineLevel="0" collapsed="false">
      <c r="A1" s="16" t="s">
        <v>769</v>
      </c>
      <c r="B1" s="17"/>
      <c r="C1" s="17"/>
      <c r="D1" s="17"/>
      <c r="E1" s="17"/>
      <c r="F1" s="17"/>
      <c r="G1" s="17"/>
      <c r="H1" s="17"/>
      <c r="I1" s="17"/>
      <c r="J1" s="17"/>
    </row>
    <row r="2" customFormat="false" ht="15" hidden="false" customHeight="true" outlineLevel="0" collapsed="false">
      <c r="A2" s="18" t="s">
        <v>770</v>
      </c>
      <c r="B2" s="17"/>
      <c r="C2" s="17"/>
      <c r="D2" s="17"/>
      <c r="E2" s="17"/>
      <c r="F2" s="17"/>
      <c r="G2" s="17"/>
      <c r="H2" s="17"/>
      <c r="I2" s="17"/>
      <c r="J2" s="17"/>
    </row>
    <row r="4" customFormat="false" ht="15" hidden="false" customHeight="true" outlineLevel="0" collapsed="false">
      <c r="A4" s="34" t="s">
        <v>365</v>
      </c>
      <c r="B4" s="34" t="s">
        <v>366</v>
      </c>
      <c r="C4" s="34" t="s">
        <v>367</v>
      </c>
      <c r="D4" s="34"/>
      <c r="E4" s="34" t="s">
        <v>771</v>
      </c>
      <c r="F4" s="34" t="s">
        <v>772</v>
      </c>
      <c r="G4" s="34" t="s">
        <v>773</v>
      </c>
      <c r="H4" s="34" t="s">
        <v>774</v>
      </c>
      <c r="I4" s="34" t="s">
        <v>775</v>
      </c>
    </row>
    <row r="5" customFormat="false" ht="15" hidden="false" customHeight="true" outlineLevel="0" collapsed="false">
      <c r="A5" s="23" t="s">
        <v>776</v>
      </c>
      <c r="B5" s="23"/>
      <c r="C5" s="82" t="str">
        <f aca="false">INDEX(E5:I5,'01_CONTROL_PANEL'!$C$9)</f>
        <v>PIE (BOOT privé)</v>
      </c>
      <c r="E5" s="47" t="s">
        <v>777</v>
      </c>
      <c r="F5" s="47" t="s">
        <v>778</v>
      </c>
      <c r="G5" s="47" t="s">
        <v>779</v>
      </c>
      <c r="H5" s="47" t="s">
        <v>780</v>
      </c>
      <c r="I5" s="47" t="s">
        <v>781</v>
      </c>
    </row>
    <row r="6" customFormat="false" ht="15" hidden="false" customHeight="true" outlineLevel="0" collapsed="false">
      <c r="A6" s="23" t="s">
        <v>782</v>
      </c>
      <c r="B6" s="23" t="s">
        <v>783</v>
      </c>
      <c r="C6" s="83" t="n">
        <f aca="false">INDEX(E6:I6,'01_CONTROL_PANEL'!$C$9)</f>
        <v>0</v>
      </c>
      <c r="E6" s="27" t="n">
        <v>0.15</v>
      </c>
      <c r="F6" s="27" t="n">
        <v>0</v>
      </c>
      <c r="G6" s="27" t="n">
        <v>0.1</v>
      </c>
      <c r="H6" s="27" t="n">
        <v>0</v>
      </c>
      <c r="I6" s="27" t="n">
        <v>0.05</v>
      </c>
    </row>
    <row r="7" customFormat="false" ht="15" hidden="false" customHeight="true" outlineLevel="0" collapsed="false">
      <c r="A7" s="23" t="s">
        <v>739</v>
      </c>
      <c r="B7" s="23" t="s">
        <v>783</v>
      </c>
      <c r="C7" s="83" t="n">
        <f aca="false">INDEX(E7:I7,'01_CONTROL_PANEL'!$C$9)</f>
        <v>0</v>
      </c>
      <c r="E7" s="27" t="n">
        <v>0</v>
      </c>
      <c r="F7" s="27" t="n">
        <v>0</v>
      </c>
      <c r="G7" s="27" t="n">
        <v>0.05</v>
      </c>
      <c r="H7" s="27" t="n">
        <v>0.35</v>
      </c>
      <c r="I7" s="27" t="n">
        <v>0.08</v>
      </c>
    </row>
    <row r="8" customFormat="false" ht="15" hidden="false" customHeight="true" outlineLevel="0" collapsed="false">
      <c r="A8" s="23" t="s">
        <v>784</v>
      </c>
      <c r="B8" s="23" t="s">
        <v>783</v>
      </c>
      <c r="C8" s="83" t="n">
        <f aca="false">INDEX(E8:I8,'01_CONTROL_PANEL'!$C$9)</f>
        <v>0</v>
      </c>
      <c r="E8" s="27" t="n">
        <v>0.55</v>
      </c>
      <c r="F8" s="27" t="n">
        <v>0</v>
      </c>
      <c r="G8" s="27" t="n">
        <v>0.3</v>
      </c>
      <c r="H8" s="27" t="n">
        <v>0.25</v>
      </c>
      <c r="I8" s="27" t="n">
        <v>0.35</v>
      </c>
    </row>
    <row r="9" customFormat="false" ht="15" hidden="false" customHeight="true" outlineLevel="0" collapsed="false">
      <c r="A9" s="23" t="s">
        <v>785</v>
      </c>
      <c r="B9" s="23" t="s">
        <v>783</v>
      </c>
      <c r="C9" s="83" t="n">
        <f aca="false">INDEX(E9:I9,'01_CONTROL_PANEL'!$C$9)</f>
        <v>0.7</v>
      </c>
      <c r="E9" s="27" t="n">
        <v>0.85</v>
      </c>
      <c r="F9" s="27" t="n">
        <v>0.7</v>
      </c>
      <c r="G9" s="27" t="n">
        <v>0.75</v>
      </c>
      <c r="H9" s="27" t="n">
        <v>0.55</v>
      </c>
      <c r="I9" s="27" t="n">
        <v>0.72</v>
      </c>
    </row>
    <row r="10" customFormat="false" ht="15" hidden="false" customHeight="true" outlineLevel="0" collapsed="false">
      <c r="A10" s="23" t="s">
        <v>786</v>
      </c>
      <c r="B10" s="23" t="s">
        <v>783</v>
      </c>
      <c r="C10" s="83" t="n">
        <f aca="false">INDEX(E10:I10,'01_CONTROL_PANEL'!$C$9)</f>
        <v>0.35</v>
      </c>
      <c r="E10" s="27" t="n">
        <v>0</v>
      </c>
      <c r="F10" s="27" t="n">
        <v>0.35</v>
      </c>
      <c r="G10" s="27" t="n">
        <v>0.2</v>
      </c>
      <c r="H10" s="27" t="n">
        <v>0.25</v>
      </c>
      <c r="I10" s="27" t="n">
        <v>0.25</v>
      </c>
    </row>
    <row r="11" customFormat="false" ht="15" hidden="false" customHeight="true" outlineLevel="0" collapsed="false">
      <c r="A11" s="23" t="s">
        <v>787</v>
      </c>
      <c r="B11" s="23" t="s">
        <v>87</v>
      </c>
      <c r="C11" s="84" t="n">
        <f aca="false">INDEX(E11:I11,'01_CONTROL_PANEL'!$C$9)</f>
        <v>1</v>
      </c>
      <c r="E11" s="35" t="n">
        <v>2</v>
      </c>
      <c r="F11" s="35" t="n">
        <v>1</v>
      </c>
      <c r="G11" s="35" t="n">
        <v>1</v>
      </c>
      <c r="H11" s="35" t="n">
        <v>1</v>
      </c>
      <c r="I11" s="35" t="n">
        <v>1</v>
      </c>
    </row>
    <row r="12" customFormat="false" ht="15" hidden="false" customHeight="true" outlineLevel="0" collapsed="false">
      <c r="A12" s="23" t="s">
        <v>788</v>
      </c>
      <c r="B12" s="23" t="s">
        <v>93</v>
      </c>
      <c r="C12" s="83" t="n">
        <f aca="false">INDEX(E12:I12,'01_CONTROL_PANEL'!$C$9)</f>
        <v>0</v>
      </c>
      <c r="E12" s="27" t="n">
        <v>1</v>
      </c>
      <c r="F12" s="27" t="n">
        <v>0</v>
      </c>
      <c r="G12" s="27" t="n">
        <v>0.4</v>
      </c>
      <c r="H12" s="27" t="n">
        <v>0.2</v>
      </c>
      <c r="I12" s="27" t="n">
        <v>0.15</v>
      </c>
    </row>
    <row r="13" customFormat="false" ht="15" hidden="false" customHeight="true" outlineLevel="0" collapsed="false">
      <c r="A13" s="23" t="s">
        <v>789</v>
      </c>
      <c r="B13" s="23" t="s">
        <v>93</v>
      </c>
      <c r="C13" s="83" t="n">
        <f aca="false">INDEX(E13:I13,'01_CONTROL_PANEL'!$C$9)</f>
        <v>0</v>
      </c>
      <c r="E13" s="27" t="n">
        <v>1</v>
      </c>
      <c r="F13" s="27" t="n">
        <v>0</v>
      </c>
      <c r="G13" s="27" t="n">
        <v>0</v>
      </c>
      <c r="H13" s="27" t="n">
        <v>0</v>
      </c>
      <c r="I13" s="27" t="n">
        <v>0</v>
      </c>
    </row>
    <row r="14" customFormat="false" ht="15" hidden="false" customHeight="true" outlineLevel="0" collapsed="false">
      <c r="A14" s="23" t="s">
        <v>790</v>
      </c>
      <c r="B14" s="23" t="s">
        <v>90</v>
      </c>
      <c r="C14" s="84" t="n">
        <f aca="false">INDEX(E14:I14,'01_CONTROL_PANEL'!$C$9)</f>
        <v>1</v>
      </c>
      <c r="E14" s="35" t="n">
        <v>0</v>
      </c>
      <c r="F14" s="35" t="n">
        <v>1</v>
      </c>
      <c r="G14" s="35" t="n">
        <v>1</v>
      </c>
      <c r="H14" s="35" t="n">
        <v>1</v>
      </c>
      <c r="I14" s="35" t="n">
        <v>1</v>
      </c>
    </row>
    <row r="15" customFormat="false" ht="15" hidden="false" customHeight="true" outlineLevel="0" collapsed="false">
      <c r="A15" s="23" t="s">
        <v>791</v>
      </c>
      <c r="B15" s="23" t="s">
        <v>90</v>
      </c>
      <c r="C15" s="84" t="n">
        <f aca="false">INDEX(E15:I15,'01_CONTROL_PANEL'!$C$9)</f>
        <v>1</v>
      </c>
      <c r="E15" s="35" t="n">
        <v>0</v>
      </c>
      <c r="F15" s="35" t="n">
        <v>1</v>
      </c>
      <c r="G15" s="35" t="n">
        <v>1</v>
      </c>
      <c r="H15" s="35" t="n">
        <v>1</v>
      </c>
      <c r="I15" s="35" t="n">
        <v>1</v>
      </c>
    </row>
    <row r="16" customFormat="false" ht="15" hidden="false" customHeight="true" outlineLevel="0" collapsed="false">
      <c r="A16" s="23" t="s">
        <v>792</v>
      </c>
      <c r="B16" s="23" t="s">
        <v>793</v>
      </c>
      <c r="C16" s="83" t="n">
        <f aca="false">INDEX(E16:I16,'01_CONTROL_PANEL'!$C$9)</f>
        <v>1</v>
      </c>
      <c r="E16" s="27" t="n">
        <v>0</v>
      </c>
      <c r="F16" s="27" t="n">
        <v>1</v>
      </c>
      <c r="G16" s="27" t="n">
        <v>1</v>
      </c>
      <c r="H16" s="27" t="n">
        <v>1</v>
      </c>
      <c r="I16" s="27" t="n">
        <v>0.5</v>
      </c>
    </row>
    <row r="17" customFormat="false" ht="15" hidden="false" customHeight="true" outlineLevel="0" collapsed="false">
      <c r="A17" s="23" t="s">
        <v>794</v>
      </c>
      <c r="B17" s="23" t="s">
        <v>93</v>
      </c>
      <c r="C17" s="85" t="n">
        <f aca="false">INDEX(E17:I17,'01_CONTROL_PANEL'!$C$9)</f>
        <v>0.03</v>
      </c>
      <c r="E17" s="28" t="n">
        <v>0.02</v>
      </c>
      <c r="F17" s="28" t="n">
        <v>0.03</v>
      </c>
      <c r="G17" s="28" t="n">
        <v>0.03</v>
      </c>
      <c r="H17" s="28" t="n">
        <v>0.03</v>
      </c>
      <c r="I17" s="28" t="n">
        <v>0.025</v>
      </c>
    </row>
    <row r="18" customFormat="false" ht="15" hidden="false" customHeight="true" outlineLevel="0" collapsed="false">
      <c r="A18" s="23" t="s">
        <v>795</v>
      </c>
      <c r="B18" s="23" t="s">
        <v>147</v>
      </c>
      <c r="C18" s="84" t="n">
        <f aca="false">INDEX(E18:I18,'01_CONTROL_PANEL'!$C$9)</f>
        <v>5</v>
      </c>
      <c r="E18" s="35" t="n">
        <v>5</v>
      </c>
      <c r="F18" s="35" t="n">
        <v>5</v>
      </c>
      <c r="G18" s="35" t="n">
        <v>5</v>
      </c>
      <c r="H18" s="35" t="n">
        <v>5</v>
      </c>
      <c r="I18" s="35" t="n">
        <v>5</v>
      </c>
    </row>
    <row r="19" customFormat="false" ht="15" hidden="false" customHeight="true" outlineLevel="0" collapsed="false">
      <c r="A19" s="23" t="s">
        <v>796</v>
      </c>
      <c r="B19" s="23" t="s">
        <v>147</v>
      </c>
      <c r="C19" s="84" t="n">
        <f aca="false">INDEX(E19:I19,'01_CONTROL_PANEL'!$C$9)</f>
        <v>20</v>
      </c>
      <c r="E19" s="35" t="n">
        <v>20</v>
      </c>
      <c r="F19" s="35" t="n">
        <v>20</v>
      </c>
      <c r="G19" s="35" t="n">
        <v>20</v>
      </c>
      <c r="H19" s="35" t="n">
        <v>20</v>
      </c>
      <c r="I19" s="35" t="n">
        <v>20</v>
      </c>
    </row>
    <row r="20" customFormat="false" ht="15" hidden="false" customHeight="true" outlineLevel="0" collapsed="false">
      <c r="A20" s="23" t="s">
        <v>797</v>
      </c>
      <c r="B20" s="23" t="s">
        <v>93</v>
      </c>
      <c r="C20" s="85" t="n">
        <f aca="false">INDEX(E20:I20,'01_CONTROL_PANEL'!$C$9)</f>
        <v>0.08</v>
      </c>
      <c r="E20" s="28" t="n">
        <v>0.075</v>
      </c>
      <c r="F20" s="28" t="n">
        <v>0.08</v>
      </c>
      <c r="G20" s="28" t="n">
        <v>0.075</v>
      </c>
      <c r="H20" s="28" t="n">
        <v>0.075</v>
      </c>
      <c r="I20" s="28" t="n">
        <v>0.072</v>
      </c>
    </row>
    <row r="21" customFormat="false" ht="15" hidden="false" customHeight="true" outlineLevel="0" collapsed="false">
      <c r="A21" s="23" t="s">
        <v>798</v>
      </c>
      <c r="B21" s="23" t="s">
        <v>147</v>
      </c>
      <c r="C21" s="84" t="n">
        <f aca="false">INDEX(E21:I21,'01_CONTROL_PANEL'!$C$9)</f>
        <v>16</v>
      </c>
      <c r="E21" s="35" t="n">
        <v>15</v>
      </c>
      <c r="F21" s="35" t="n">
        <v>16</v>
      </c>
      <c r="G21" s="35" t="n">
        <v>16</v>
      </c>
      <c r="H21" s="35" t="n">
        <v>16</v>
      </c>
      <c r="I21" s="35" t="n">
        <v>18</v>
      </c>
    </row>
    <row r="22" customFormat="false" ht="15" hidden="false" customHeight="true" outlineLevel="0" collapsed="false">
      <c r="A22" s="23" t="s">
        <v>799</v>
      </c>
      <c r="B22" s="23" t="s">
        <v>119</v>
      </c>
      <c r="C22" s="86" t="n">
        <f aca="false">INDEX(E22:I22,'01_CONTROL_PANEL'!$C$9)</f>
        <v>1.35</v>
      </c>
      <c r="E22" s="87" t="n">
        <v>1.2</v>
      </c>
      <c r="F22" s="87" t="n">
        <v>1.35</v>
      </c>
      <c r="G22" s="87" t="n">
        <v>1.3</v>
      </c>
      <c r="H22" s="87" t="n">
        <v>1.3</v>
      </c>
      <c r="I22" s="87" t="n">
        <v>1.3</v>
      </c>
    </row>
    <row r="23" customFormat="false" ht="15" hidden="false" customHeight="true" outlineLevel="0" collapsed="false">
      <c r="A23" s="23" t="s">
        <v>800</v>
      </c>
      <c r="B23" s="23" t="s">
        <v>93</v>
      </c>
      <c r="C23" s="83" t="n">
        <f aca="false">INDEX(E23:I23,'01_CONTROL_PANEL'!$C$9)</f>
        <v>0.15</v>
      </c>
      <c r="E23" s="27" t="n">
        <v>0.1</v>
      </c>
      <c r="F23" s="27" t="n">
        <v>0.15</v>
      </c>
      <c r="G23" s="27" t="n">
        <v>0.14</v>
      </c>
      <c r="H23" s="27" t="n">
        <v>0.14</v>
      </c>
      <c r="I23" s="27" t="n">
        <v>0.13</v>
      </c>
    </row>
    <row r="24" customFormat="false" ht="15" hidden="false" customHeight="true" outlineLevel="0" collapsed="false">
      <c r="A24" s="23" t="s">
        <v>801</v>
      </c>
      <c r="B24" s="23"/>
      <c r="C24" s="88" t="str">
        <f aca="false">IF('17A_STRUCTURES'!$C$7+'17A_STRUCTURES'!$C$6+'17A_STRUCTURES'!$C$9+IF('17A_STRUCTURES'!$C$11=2,1,'17A_STRUCTURES'!$C$10)&gt;=1,"OK","Structurellement sous-financé")</f>
        <v>OK</v>
      </c>
    </row>
    <row r="25" customFormat="false" ht="15" hidden="false" customHeight="true" outlineLevel="0" collapsed="false">
      <c r="A25" s="23" t="s">
        <v>802</v>
      </c>
      <c r="B25" s="23" t="s">
        <v>119</v>
      </c>
      <c r="C25" s="87" t="n">
        <v>1.1</v>
      </c>
    </row>
    <row r="26" customFormat="false" ht="15" hidden="false" customHeight="true" outlineLevel="0" collapsed="false">
      <c r="A26" s="23" t="s">
        <v>803</v>
      </c>
      <c r="B26" s="23" t="s">
        <v>804</v>
      </c>
      <c r="C26" s="27" t="n">
        <v>0.02</v>
      </c>
    </row>
    <row r="27" customFormat="false" ht="15" hidden="false" customHeight="true" outlineLevel="0" collapsed="false">
      <c r="A27" s="23" t="s">
        <v>805</v>
      </c>
      <c r="B27" s="23" t="s">
        <v>806</v>
      </c>
      <c r="C27" s="35" t="n">
        <v>6</v>
      </c>
    </row>
    <row r="29" customFormat="false" ht="15" hidden="false" customHeight="true" outlineLevel="0" collapsed="false">
      <c r="A29" s="21" t="s">
        <v>807</v>
      </c>
      <c r="B29" s="22"/>
      <c r="C29" s="22"/>
      <c r="D29" s="22"/>
      <c r="E29" s="22"/>
      <c r="F29" s="22"/>
      <c r="G29" s="22"/>
      <c r="H29" s="22"/>
      <c r="I29" s="22"/>
      <c r="J29" s="22"/>
    </row>
    <row r="30" customFormat="false" ht="15" hidden="false" customHeight="true" outlineLevel="0" collapsed="false">
      <c r="A30" s="34" t="s">
        <v>808</v>
      </c>
      <c r="B30" s="34" t="s">
        <v>366</v>
      </c>
      <c r="C30" s="34"/>
      <c r="D30" s="34"/>
      <c r="E30" s="34" t="s">
        <v>771</v>
      </c>
      <c r="F30" s="34" t="s">
        <v>772</v>
      </c>
      <c r="G30" s="34" t="s">
        <v>773</v>
      </c>
      <c r="H30" s="34" t="s">
        <v>774</v>
      </c>
      <c r="I30" s="34" t="s">
        <v>775</v>
      </c>
    </row>
    <row r="31" customFormat="false" ht="15" hidden="false" customHeight="true" outlineLevel="0" collapsed="false">
      <c r="A31" s="25" t="s">
        <v>809</v>
      </c>
    </row>
    <row r="32" customFormat="false" ht="15" hidden="false" customHeight="true" outlineLevel="0" collapsed="false">
      <c r="A32" s="23" t="s">
        <v>810</v>
      </c>
      <c r="B32" s="23" t="s">
        <v>93</v>
      </c>
      <c r="E32" s="43" t="n">
        <f aca="false">MAX(0,E9-E8)</f>
        <v>0.3</v>
      </c>
      <c r="F32" s="43" t="n">
        <f aca="false">MAX(0,F9-F8)</f>
        <v>0.7</v>
      </c>
      <c r="G32" s="43" t="n">
        <f aca="false">MAX(0,G9-G8)</f>
        <v>0.45</v>
      </c>
      <c r="H32" s="43" t="n">
        <f aca="false">MAX(0,H9-H8)</f>
        <v>0.3</v>
      </c>
      <c r="I32" s="43" t="n">
        <f aca="false">MAX(0,I9-I8)</f>
        <v>0.37</v>
      </c>
    </row>
    <row r="33" customFormat="false" ht="15" hidden="false" customHeight="true" outlineLevel="0" collapsed="false">
      <c r="A33" s="23" t="s">
        <v>811</v>
      </c>
      <c r="B33" s="23" t="s">
        <v>93</v>
      </c>
      <c r="E33" s="43" t="n">
        <f aca="false">IF(E11=2,0,MAX(0,1-E6-E7-E9))</f>
        <v>0</v>
      </c>
      <c r="F33" s="43" t="n">
        <f aca="false">IF(F11=2,0,MAX(0,1-F6-F7-F9))</f>
        <v>0.3</v>
      </c>
      <c r="G33" s="43" t="n">
        <f aca="false">IF(G11=2,0,MAX(0,1-G6-G7-G9))</f>
        <v>0.1</v>
      </c>
      <c r="H33" s="43" t="n">
        <f aca="false">IF(H11=2,0,MAX(0,1-H6-H7-H9))</f>
        <v>0.1</v>
      </c>
      <c r="I33" s="43" t="n">
        <f aca="false">IF(I11=2,0,MAX(0,1-I6-I7-I9))</f>
        <v>0.15</v>
      </c>
    </row>
    <row r="34" customFormat="false" ht="15" hidden="false" customHeight="true" outlineLevel="0" collapsed="false">
      <c r="A34" s="23" t="s">
        <v>812</v>
      </c>
      <c r="B34" s="23" t="s">
        <v>93</v>
      </c>
      <c r="E34" s="43" t="n">
        <f aca="false">IF(E11=2,MAX(0,1-E7-E9-E6),0)</f>
        <v>0</v>
      </c>
      <c r="F34" s="43" t="n">
        <f aca="false">IF(F11=2,MAX(0,1-F7-F9-F6),0)</f>
        <v>0</v>
      </c>
      <c r="G34" s="43" t="n">
        <f aca="false">IF(G11=2,MAX(0,1-G7-G9-G6),0)</f>
        <v>0</v>
      </c>
      <c r="H34" s="43" t="n">
        <f aca="false">IF(H11=2,MAX(0,1-H7-H9-H6),0)</f>
        <v>0</v>
      </c>
      <c r="I34" s="43" t="n">
        <f aca="false">IF(I11=2,MAX(0,1-I7-I9-I6),0)</f>
        <v>0</v>
      </c>
    </row>
    <row r="35" customFormat="false" ht="15" hidden="false" customHeight="true" outlineLevel="0" collapsed="false">
      <c r="A35" s="23" t="s">
        <v>813</v>
      </c>
      <c r="B35" s="23" t="s">
        <v>93</v>
      </c>
      <c r="E35" s="89" t="n">
        <f aca="false">(E6+E34)*'02_PROJECT_INPUTS'!$C$24+E8*E17+E32*E20+E33*E23/(1-'21_TAX'!$C$6)</f>
        <v>0.0455</v>
      </c>
      <c r="F35" s="89" t="n">
        <f aca="false">(F6+F34)*'02_PROJECT_INPUTS'!$C$24+F8*F17+F32*F20+F33*F23/(1-'21_TAX'!$C$6)</f>
        <v>0.120285714285714</v>
      </c>
      <c r="G35" s="89" t="n">
        <f aca="false">(G6+G34)*'02_PROJECT_INPUTS'!$C$24+G8*G17+G32*G20+G33*G23/(1-'21_TAX'!$C$6)</f>
        <v>0.07075</v>
      </c>
      <c r="H35" s="89" t="n">
        <f aca="false">(H6+H34)*'02_PROJECT_INPUTS'!$C$24+H8*H17+H32*H20+H33*H23/(1-'21_TAX'!$C$6)</f>
        <v>0.05</v>
      </c>
      <c r="I35" s="89" t="n">
        <f aca="false">(I6+I34)*'02_PROJECT_INPUTS'!$C$24+I8*I17+I32*I20+I33*I23/(1-'21_TAX'!$C$6)</f>
        <v>0.0672471428571429</v>
      </c>
    </row>
    <row r="36" customFormat="false" ht="15" hidden="false" customHeight="true" outlineLevel="0" collapsed="false">
      <c r="A36" s="23" t="s">
        <v>814</v>
      </c>
      <c r="B36" s="23" t="s">
        <v>93</v>
      </c>
      <c r="E36" s="89" t="n">
        <f aca="false">IFERROR(E35/(1-E7),0)</f>
        <v>0.0455</v>
      </c>
      <c r="F36" s="89" t="n">
        <f aca="false">IFERROR(F35/(1-F7),0)</f>
        <v>0.120285714285714</v>
      </c>
      <c r="G36" s="89" t="n">
        <f aca="false">IFERROR(G35/(1-G7),0)</f>
        <v>0.0744736842105263</v>
      </c>
      <c r="H36" s="89" t="n">
        <f aca="false">IFERROR(H35/(1-H7),0)</f>
        <v>0.0769230769230769</v>
      </c>
      <c r="I36" s="89" t="n">
        <f aca="false">IFERROR(I35/(1-I7),0)</f>
        <v>0.0730947204968944</v>
      </c>
    </row>
    <row r="37" customFormat="false" ht="15" hidden="false" customHeight="true" outlineLevel="0" collapsed="false">
      <c r="A37" s="23" t="s">
        <v>815</v>
      </c>
      <c r="B37" s="23" t="s">
        <v>119</v>
      </c>
      <c r="E37" s="63" t="n">
        <f aca="false">E36/(1-(1+E36)^-'02_PROJECT_INPUTS'!$C$13)</f>
        <v>0.0677865315070649</v>
      </c>
      <c r="F37" s="63" t="n">
        <f aca="false">F36/(1-(1+F36)^-'02_PROJECT_INPUTS'!$C$13)</f>
        <v>0.127752787986809</v>
      </c>
      <c r="G37" s="63" t="n">
        <f aca="false">G36/(1-(1+G36)^-'02_PROJECT_INPUTS'!$C$13)</f>
        <v>0.0892968741666807</v>
      </c>
      <c r="H37" s="63" t="n">
        <f aca="false">H36/(1-(1+H36)^-'02_PROJECT_INPUTS'!$C$13)</f>
        <v>0.0912289978360256</v>
      </c>
      <c r="I37" s="63" t="n">
        <f aca="false">I36/(1-(1+I36)^-'02_PROJECT_INPUTS'!$C$13)</f>
        <v>0.0882163095167299</v>
      </c>
    </row>
    <row r="38" customFormat="false" ht="15" hidden="false" customHeight="true" outlineLevel="0" collapsed="false">
      <c r="A38" s="23" t="s">
        <v>816</v>
      </c>
      <c r="B38" s="23" t="s">
        <v>448</v>
      </c>
      <c r="E38" s="41" t="n">
        <f aca="false">('17_PROJECT_FINANCE'!$C$8*(1+E9*('18_DEBT'!$C$15+'17A_STRUCTURES'!$C$26))*(1-E7)*E37+'17_PROJECT_FINANCE'!$C$42)/'03_HYDROLOGY'!$C$33*1000</f>
        <v>69.2761269040544</v>
      </c>
      <c r="F38" s="41" t="n">
        <f aca="false">('17_PROJECT_FINANCE'!$C$8*(1+F9*('18_DEBT'!$C$15+'17A_STRUCTURES'!$C$26))*(1-F7)*F37+'17_PROJECT_FINANCE'!$C$42)/'03_HYDROLOGY'!$C$33*1000</f>
        <v>110.528490273724</v>
      </c>
      <c r="G38" s="41" t="n">
        <f aca="false">('17_PROJECT_FINANCE'!$C$8*(1+G9*('18_DEBT'!$C$15+'17A_STRUCTURES'!$C$26))*(1-G7)*G37+'17_PROJECT_FINANCE'!$C$42)/'03_HYDROLOGY'!$C$33*1000</f>
        <v>80.729979738303</v>
      </c>
      <c r="H38" s="41" t="n">
        <f aca="false">('17_PROJECT_FINANCE'!$C$8*(1+H9*('18_DEBT'!$C$15+'17A_STRUCTURES'!$C$26))*(1-H7)*H37+'17_PROJECT_FINANCE'!$C$42)/'03_HYDROLOGY'!$C$33*1000</f>
        <v>61.5991821878875</v>
      </c>
      <c r="I38" s="41" t="n">
        <f aca="false">('17_PROJECT_FINANCE'!$C$8*(1+I9*('18_DEBT'!$C$15+'17A_STRUCTURES'!$C$26))*(1-I7)*I37+'17_PROJECT_FINANCE'!$C$42)/'03_HYDROLOGY'!$C$33*1000</f>
        <v>77.9126264758639</v>
      </c>
    </row>
    <row r="39" customFormat="false" ht="15" hidden="false" customHeight="true" outlineLevel="0" collapsed="false">
      <c r="A39" s="23" t="s">
        <v>817</v>
      </c>
      <c r="B39" s="23" t="s">
        <v>448</v>
      </c>
      <c r="E39" s="81" t="n">
        <f aca="false">'17_PROJECT_FINANCE'!$C$43</f>
        <v>955.801511253787</v>
      </c>
      <c r="F39" s="81" t="n">
        <f aca="false">'17_PROJECT_FINANCE'!$C$43</f>
        <v>955.801511253787</v>
      </c>
      <c r="G39" s="81" t="n">
        <f aca="false">'17_PROJECT_FINANCE'!$C$43</f>
        <v>955.801511253787</v>
      </c>
      <c r="H39" s="81" t="n">
        <f aca="false">'17_PROJECT_FINANCE'!$C$43</f>
        <v>955.801511253787</v>
      </c>
      <c r="I39" s="81" t="n">
        <f aca="false">'17_PROJECT_FINANCE'!$C$43</f>
        <v>955.801511253787</v>
      </c>
    </row>
    <row r="40" customFormat="false" ht="15" hidden="false" customHeight="true" outlineLevel="0" collapsed="false">
      <c r="A40" s="23" t="s">
        <v>818</v>
      </c>
      <c r="B40" s="23" t="s">
        <v>560</v>
      </c>
      <c r="E40" s="58" t="n">
        <f aca="false">MAX(0,E38-E39)*'03_HYDROLOGY'!$C$33/1000</f>
        <v>0</v>
      </c>
      <c r="F40" s="58" t="n">
        <f aca="false">MAX(0,F38-F39)*'03_HYDROLOGY'!$C$33/1000</f>
        <v>0</v>
      </c>
      <c r="G40" s="58" t="n">
        <f aca="false">MAX(0,G38-G39)*'03_HYDROLOGY'!$C$33/1000</f>
        <v>0</v>
      </c>
      <c r="H40" s="58" t="n">
        <f aca="false">MAX(0,H38-H39)*'03_HYDROLOGY'!$C$33/1000</f>
        <v>0</v>
      </c>
      <c r="I40" s="58" t="n">
        <f aca="false">MAX(0,I38-I39)*'03_HYDROLOGY'!$C$33/1000</f>
        <v>0</v>
      </c>
    </row>
    <row r="41" customFormat="false" ht="15" hidden="false" customHeight="true" outlineLevel="0" collapsed="false">
      <c r="A41" s="23" t="s">
        <v>819</v>
      </c>
      <c r="B41" s="23" t="s">
        <v>121</v>
      </c>
      <c r="E41" s="58" t="n">
        <f aca="false">(E6+E7+E34)*'17_PROJECT_FINANCE'!$C$8</f>
        <v>28.0945072617187</v>
      </c>
      <c r="F41" s="58" t="n">
        <f aca="false">(F6+F7+F34)*'17_PROJECT_FINANCE'!$C$8</f>
        <v>0</v>
      </c>
      <c r="G41" s="58" t="n">
        <f aca="false">(G6+G7+G34)*'17_PROJECT_FINANCE'!$C$8</f>
        <v>28.0945072617188</v>
      </c>
      <c r="H41" s="58" t="n">
        <f aca="false">(H6+H7+H34)*'17_PROJECT_FINANCE'!$C$8</f>
        <v>65.5538502773437</v>
      </c>
      <c r="I41" s="58" t="n">
        <f aca="false">(I6+I7+I34)*'17_PROJECT_FINANCE'!$C$8</f>
        <v>24.3485729601562</v>
      </c>
    </row>
    <row r="42" customFormat="false" ht="15" hidden="false" customHeight="true" outlineLevel="0" collapsed="false">
      <c r="A42" s="23" t="s">
        <v>820</v>
      </c>
      <c r="B42" s="23" t="s">
        <v>121</v>
      </c>
      <c r="E42" s="58" t="n">
        <f aca="false">E33*'17_PROJECT_FINANCE'!$C$8</f>
        <v>0</v>
      </c>
      <c r="F42" s="58" t="n">
        <f aca="false">F33*'17_PROJECT_FINANCE'!$C$8</f>
        <v>56.1890145234375</v>
      </c>
      <c r="G42" s="58" t="n">
        <f aca="false">G33*'17_PROJECT_FINANCE'!$C$8</f>
        <v>18.7296715078125</v>
      </c>
      <c r="H42" s="58" t="n">
        <f aca="false">H33*'17_PROJECT_FINANCE'!$C$8</f>
        <v>18.7296715078125</v>
      </c>
      <c r="I42" s="58" t="n">
        <f aca="false">I33*'17_PROJECT_FINANCE'!$C$8</f>
        <v>28.0945072617188</v>
      </c>
    </row>
    <row r="43" customFormat="false" ht="15" hidden="false" customHeight="true" outlineLevel="0" collapsed="false">
      <c r="A43" s="23" t="s">
        <v>821</v>
      </c>
      <c r="B43" s="23" t="s">
        <v>121</v>
      </c>
      <c r="E43" s="58" t="n">
        <f aca="false">E9*'17_PROJECT_FINANCE'!$C$8</f>
        <v>159.202207816406</v>
      </c>
      <c r="F43" s="58" t="n">
        <f aca="false">F9*'17_PROJECT_FINANCE'!$C$8</f>
        <v>131.107700554687</v>
      </c>
      <c r="G43" s="58" t="n">
        <f aca="false">G9*'17_PROJECT_FINANCE'!$C$8</f>
        <v>140.472536308594</v>
      </c>
      <c r="H43" s="58" t="n">
        <f aca="false">H9*'17_PROJECT_FINANCE'!$C$8</f>
        <v>103.013193292969</v>
      </c>
      <c r="I43" s="58" t="n">
        <f aca="false">I9*'17_PROJECT_FINANCE'!$C$8</f>
        <v>134.85363485625</v>
      </c>
    </row>
    <row r="44" customFormat="false" ht="15" hidden="false" customHeight="true" outlineLevel="0" collapsed="false">
      <c r="A44" s="23" t="s">
        <v>822</v>
      </c>
      <c r="B44" s="23" t="s">
        <v>560</v>
      </c>
      <c r="E44" s="58" t="n">
        <f aca="false">'17_PROJECT_FINANCE'!$C$8*(E8*E17/(1-(1+E17)^-E19)+E32*E20/(1-(1+E20)^-E21))</f>
        <v>12.6654469886109</v>
      </c>
      <c r="F44" s="58" t="n">
        <f aca="false">'17_PROJECT_FINANCE'!$C$8*(F8*F17/(1-(1+F17)^-F19)+F32*F20/(1-(1+F20)^-F21))</f>
        <v>14.8121379022371</v>
      </c>
      <c r="G44" s="58" t="n">
        <f aca="false">'17_PROJECT_FINANCE'!$C$8*(G8*G17/(1-(1+G17)^-G19)+G32*G20/(1-(1+G20)^-G21))</f>
        <v>12.9966563440208</v>
      </c>
      <c r="H44" s="58" t="n">
        <f aca="false">'17_PROJECT_FINANCE'!$C$8*(H8*H17/(1-(1+H17)^-H19)+H32*H20/(1-(1+H20)^-H21))</f>
        <v>9.29390162440774</v>
      </c>
      <c r="I44" s="58" t="n">
        <f aca="false">'17_PROJECT_FINANCE'!$C$8*(I8*I17/(1-(1+I17)^-I19)+I32*I20/(1-(1+I20)^-I21))</f>
        <v>11.1941289802204</v>
      </c>
    </row>
    <row r="45" customFormat="false" ht="15" hidden="false" customHeight="true" outlineLevel="0" collapsed="false">
      <c r="A45" s="23" t="s">
        <v>823</v>
      </c>
      <c r="B45" s="23" t="s">
        <v>121</v>
      </c>
      <c r="E45" s="58" t="n">
        <f aca="false">E13*E43</f>
        <v>159.202207816406</v>
      </c>
      <c r="F45" s="58" t="n">
        <f aca="false">F13*F43</f>
        <v>0</v>
      </c>
      <c r="G45" s="58" t="n">
        <f aca="false">G13*G43</f>
        <v>0</v>
      </c>
      <c r="H45" s="58" t="n">
        <f aca="false">H13*H43</f>
        <v>0</v>
      </c>
      <c r="I45" s="58" t="n">
        <f aca="false">I13*I43</f>
        <v>0</v>
      </c>
    </row>
    <row r="46" customFormat="false" ht="15" hidden="false" customHeight="true" outlineLevel="0" collapsed="false">
      <c r="A46" s="23" t="s">
        <v>824</v>
      </c>
      <c r="B46" s="23" t="s">
        <v>121</v>
      </c>
      <c r="E46" s="58" t="n">
        <f aca="false">(1-E13)*E12*E43</f>
        <v>0</v>
      </c>
      <c r="F46" s="58" t="n">
        <f aca="false">(1-F13)*F12*F43</f>
        <v>0</v>
      </c>
      <c r="G46" s="58" t="n">
        <f aca="false">(1-G13)*G12*G43</f>
        <v>56.1890145234375</v>
      </c>
      <c r="H46" s="58" t="n">
        <f aca="false">(1-H13)*H12*H43</f>
        <v>20.6026386585938</v>
      </c>
      <c r="I46" s="58" t="n">
        <f aca="false">(1-I13)*I12*I43</f>
        <v>20.2280452284375</v>
      </c>
    </row>
    <row r="47" customFormat="false" ht="15" hidden="false" customHeight="true" outlineLevel="0" collapsed="false">
      <c r="A47" s="23" t="s">
        <v>825</v>
      </c>
      <c r="B47" s="23" t="s">
        <v>121</v>
      </c>
      <c r="E47" s="58" t="n">
        <f aca="false">E14*E38*'03_HYDROLOGY'!$C$33/1000</f>
        <v>0</v>
      </c>
      <c r="F47" s="58" t="n">
        <f aca="false">F14*F38*'03_HYDROLOGY'!$C$33/1000</f>
        <v>32.3275251476636</v>
      </c>
      <c r="G47" s="58" t="n">
        <f aca="false">G14*G38*'03_HYDROLOGY'!$C$33/1000</f>
        <v>23.6120157227986</v>
      </c>
      <c r="H47" s="58" t="n">
        <f aca="false">H14*H38*'03_HYDROLOGY'!$C$33/1000</f>
        <v>18.0166136922966</v>
      </c>
      <c r="I47" s="58" t="n">
        <f aca="false">I14*I38*'03_HYDROLOGY'!$C$33/1000</f>
        <v>22.787992358182</v>
      </c>
    </row>
    <row r="48" customFormat="false" ht="15" hidden="false" customHeight="true" outlineLevel="0" collapsed="false">
      <c r="A48" s="23" t="s">
        <v>826</v>
      </c>
      <c r="B48" s="23" t="s">
        <v>121</v>
      </c>
      <c r="E48" s="58" t="n">
        <f aca="false">E15*(E43+E42*(1+'14_PPA'!$C$14))</f>
        <v>0</v>
      </c>
      <c r="F48" s="58" t="n">
        <f aca="false">F15*(F43+F42*(1+'14_PPA'!$C$14))</f>
        <v>195.725067256641</v>
      </c>
      <c r="G48" s="58" t="n">
        <f aca="false">G15*(G43+G42*(1+'14_PPA'!$C$14))</f>
        <v>162.011658542578</v>
      </c>
      <c r="H48" s="58" t="n">
        <f aca="false">H15*(H43+H42*(1+'14_PPA'!$C$14))</f>
        <v>124.552315526953</v>
      </c>
      <c r="I48" s="58" t="n">
        <f aca="false">I15*(I43+I42*(1+'14_PPA'!$C$14))</f>
        <v>167.162318207227</v>
      </c>
    </row>
    <row r="49" customFormat="false" ht="15" hidden="false" customHeight="true" outlineLevel="0" collapsed="false">
      <c r="A49" s="23" t="s">
        <v>827</v>
      </c>
      <c r="B49" s="23" t="s">
        <v>121</v>
      </c>
      <c r="E49" s="58" t="n">
        <f aca="false">E41+E45+MAX(E46+E47,E48)</f>
        <v>187.296715078125</v>
      </c>
      <c r="F49" s="58" t="n">
        <f aca="false">F41+F45+MAX(F46+F47,F48)</f>
        <v>195.725067256641</v>
      </c>
      <c r="G49" s="58" t="n">
        <f aca="false">G41+G45+MAX(G46+G47,G48)</f>
        <v>190.106165804297</v>
      </c>
      <c r="H49" s="58" t="n">
        <f aca="false">H41+H45+MAX(H46+H47,H48)</f>
        <v>190.106165804297</v>
      </c>
      <c r="I49" s="58" t="n">
        <f aca="false">I41+I45+MAX(I46+I47,I48)</f>
        <v>191.510891167383</v>
      </c>
    </row>
    <row r="50" customFormat="false" ht="15" hidden="false" customHeight="true" outlineLevel="0" collapsed="false">
      <c r="A50" s="23" t="s">
        <v>828</v>
      </c>
      <c r="B50" s="23" t="s">
        <v>93</v>
      </c>
      <c r="E50" s="43" t="n">
        <f aca="false">E49/('26_DEBT_SUSTAINABILITY'!$C$7*1000)</f>
        <v>0.00535133471651786</v>
      </c>
      <c r="F50" s="43" t="n">
        <f aca="false">F49/('26_DEBT_SUSTAINABILITY'!$C$7*1000)</f>
        <v>0.00559214477876116</v>
      </c>
      <c r="G50" s="43" t="n">
        <f aca="false">G49/('26_DEBT_SUSTAINABILITY'!$C$7*1000)</f>
        <v>0.00543160473726562</v>
      </c>
      <c r="H50" s="43" t="n">
        <f aca="false">H49/('26_DEBT_SUSTAINABILITY'!$C$7*1000)</f>
        <v>0.00543160473726563</v>
      </c>
      <c r="I50" s="43" t="n">
        <f aca="false">I49/('26_DEBT_SUSTAINABILITY'!$C$7*1000)</f>
        <v>0.00547173974763951</v>
      </c>
    </row>
    <row r="53" customFormat="false" ht="15" hidden="false" customHeight="true" outlineLevel="0" collapsed="false">
      <c r="A53" s="90" t="s">
        <v>829</v>
      </c>
    </row>
    <row r="54" customFormat="false" ht="15" hidden="false" customHeight="true" outlineLevel="0" collapsed="false">
      <c r="A54" s="34" t="s">
        <v>830</v>
      </c>
      <c r="B54" s="34" t="s">
        <v>831</v>
      </c>
      <c r="C54" s="34" t="s">
        <v>832</v>
      </c>
      <c r="D54" s="34" t="s">
        <v>833</v>
      </c>
      <c r="E54" s="34" t="s">
        <v>834</v>
      </c>
      <c r="F54" s="34" t="s">
        <v>835</v>
      </c>
      <c r="G54" s="34" t="s">
        <v>836</v>
      </c>
      <c r="H54" s="34" t="s">
        <v>837</v>
      </c>
      <c r="I54" s="34" t="s">
        <v>838</v>
      </c>
      <c r="J54" s="34" t="s">
        <v>839</v>
      </c>
      <c r="K54" s="34" t="s">
        <v>840</v>
      </c>
      <c r="L54" s="34" t="s">
        <v>841</v>
      </c>
      <c r="M54" s="34" t="s">
        <v>842</v>
      </c>
      <c r="N54" s="34" t="s">
        <v>843</v>
      </c>
      <c r="O54" s="34" t="s">
        <v>124</v>
      </c>
      <c r="P54" s="34" t="s">
        <v>844</v>
      </c>
      <c r="Q54" s="34" t="s">
        <v>845</v>
      </c>
      <c r="R54" s="34" t="s">
        <v>846</v>
      </c>
      <c r="S54" s="34" t="s">
        <v>14</v>
      </c>
    </row>
    <row r="55" customFormat="false" ht="15" hidden="false" customHeight="true" outlineLevel="0" collapsed="false">
      <c r="A55" s="23" t="s">
        <v>847</v>
      </c>
      <c r="B55" s="91" t="n">
        <v>0.111950903299187</v>
      </c>
      <c r="C55" s="91" t="s">
        <v>848</v>
      </c>
      <c r="D55" s="92" t="n">
        <v>1.92944440426938</v>
      </c>
      <c r="E55" s="92" t="n">
        <v>2.26316892504271</v>
      </c>
      <c r="F55" s="93" t="n">
        <v>0</v>
      </c>
      <c r="G55" s="94" t="n">
        <v>105.948882101081</v>
      </c>
      <c r="H55" s="92" t="n">
        <v>5.95931544276934</v>
      </c>
      <c r="I55" s="93" t="n">
        <v>0</v>
      </c>
      <c r="J55" s="93" t="n">
        <v>0</v>
      </c>
      <c r="K55" s="95" t="n">
        <v>130.904273785848</v>
      </c>
      <c r="L55" s="93" t="n">
        <v>0</v>
      </c>
      <c r="M55" s="96" t="n">
        <v>0.00304309716954969</v>
      </c>
      <c r="N55" s="95" t="n">
        <v>68.5352869205843</v>
      </c>
      <c r="O55" s="91" t="n">
        <v>0.136962156563186</v>
      </c>
      <c r="P55" s="97" t="n">
        <v>-0.874642875390656</v>
      </c>
      <c r="Q55" s="98" t="s">
        <v>849</v>
      </c>
      <c r="R55" s="98" t="s">
        <v>850</v>
      </c>
      <c r="S55" s="98" t="s">
        <v>851</v>
      </c>
    </row>
    <row r="56" customFormat="false" ht="15" hidden="false" customHeight="true" outlineLevel="0" collapsed="false">
      <c r="A56" s="23" t="s">
        <v>852</v>
      </c>
      <c r="B56" s="91" t="n">
        <v>0.112182480312486</v>
      </c>
      <c r="C56" s="91" t="n">
        <v>0.137581200828486</v>
      </c>
      <c r="D56" s="92" t="n">
        <v>1.52720627268227</v>
      </c>
      <c r="E56" s="92" t="n">
        <v>1.5905442481781</v>
      </c>
      <c r="F56" s="93" t="n">
        <v>4.05435072721588</v>
      </c>
      <c r="G56" s="94" t="n">
        <v>105.948882101081</v>
      </c>
      <c r="H56" s="92" t="n">
        <v>5.95931544276934</v>
      </c>
      <c r="I56" s="93" t="n">
        <v>0</v>
      </c>
      <c r="J56" s="93" t="n">
        <v>0</v>
      </c>
      <c r="K56" s="95" t="n">
        <v>34.7880224785295</v>
      </c>
      <c r="L56" s="93" t="n">
        <v>225.401649065097</v>
      </c>
      <c r="M56" s="96" t="n">
        <v>0</v>
      </c>
      <c r="N56" s="95" t="n">
        <v>-27.5809643867341</v>
      </c>
      <c r="O56" s="91" t="n">
        <v>0.159572040576511</v>
      </c>
      <c r="P56" s="97" t="n">
        <v>-0.952496487925857</v>
      </c>
      <c r="Q56" s="98" t="s">
        <v>849</v>
      </c>
      <c r="R56" s="98" t="s">
        <v>850</v>
      </c>
      <c r="S56" s="98" t="s">
        <v>851</v>
      </c>
    </row>
    <row r="57" customFormat="false" ht="15" hidden="false" customHeight="true" outlineLevel="0" collapsed="false">
      <c r="A57" s="23" t="s">
        <v>853</v>
      </c>
      <c r="B57" s="91" t="n">
        <v>0.111683001812215</v>
      </c>
      <c r="C57" s="91" t="n">
        <v>0.223422623048193</v>
      </c>
      <c r="D57" s="92" t="n">
        <v>1.8474170679389</v>
      </c>
      <c r="E57" s="92" t="n">
        <v>2.16324168939732</v>
      </c>
      <c r="F57" s="93" t="n">
        <v>0</v>
      </c>
      <c r="G57" s="94" t="n">
        <v>105.948882101081</v>
      </c>
      <c r="H57" s="92" t="n">
        <v>5.95931544276934</v>
      </c>
      <c r="I57" s="93" t="n">
        <v>0</v>
      </c>
      <c r="J57" s="93" t="n">
        <v>0</v>
      </c>
      <c r="K57" s="95" t="n">
        <v>59.4031831437143</v>
      </c>
      <c r="L57" s="93" t="n">
        <v>206.876343829129</v>
      </c>
      <c r="M57" s="96" t="n">
        <v>0.00184741924282957</v>
      </c>
      <c r="N57" s="95" t="n">
        <v>-2.96580372154924</v>
      </c>
      <c r="O57" s="91" t="n">
        <v>0.230010773951456</v>
      </c>
      <c r="P57" s="97" t="n">
        <v>-0.687170741080217</v>
      </c>
      <c r="Q57" s="98" t="s">
        <v>849</v>
      </c>
      <c r="R57" s="98" t="s">
        <v>850</v>
      </c>
      <c r="S57" s="98" t="s">
        <v>851</v>
      </c>
    </row>
    <row r="58" customFormat="false" ht="15" hidden="false" customHeight="true" outlineLevel="0" collapsed="false">
      <c r="A58" s="23" t="s">
        <v>854</v>
      </c>
      <c r="B58" s="91" t="n">
        <v>0.109342316210224</v>
      </c>
      <c r="C58" s="91" t="n">
        <v>0.451256966625435</v>
      </c>
      <c r="D58" s="92" t="n">
        <v>2.54081118298224</v>
      </c>
      <c r="E58" s="92" t="n">
        <v>3.01694554678306</v>
      </c>
      <c r="F58" s="93" t="n">
        <v>0</v>
      </c>
      <c r="G58" s="94" t="n">
        <v>105.948882101081</v>
      </c>
      <c r="H58" s="92" t="n">
        <v>5.95931544276934</v>
      </c>
      <c r="I58" s="93" t="n">
        <v>0</v>
      </c>
      <c r="J58" s="93" t="n">
        <v>0</v>
      </c>
      <c r="K58" s="95" t="n">
        <v>-13.2456064445438</v>
      </c>
      <c r="L58" s="93" t="n">
        <v>221.645594046473</v>
      </c>
      <c r="M58" s="96" t="n">
        <v>0.0053088638060693</v>
      </c>
      <c r="N58" s="95" t="n">
        <v>-75.6145933098074</v>
      </c>
      <c r="O58" s="91" t="n">
        <v>0.35763243593823</v>
      </c>
      <c r="P58" s="97" t="n">
        <v>-0.120875395393824</v>
      </c>
      <c r="Q58" s="98" t="s">
        <v>849</v>
      </c>
      <c r="R58" s="98" t="s">
        <v>850</v>
      </c>
      <c r="S58" s="98" t="s">
        <v>851</v>
      </c>
    </row>
    <row r="59" customFormat="false" ht="15" hidden="false" customHeight="true" outlineLevel="0" collapsed="false">
      <c r="A59" s="23" t="s">
        <v>855</v>
      </c>
      <c r="B59" s="91" t="n">
        <v>0.111374801571537</v>
      </c>
      <c r="C59" s="91" t="n">
        <v>0.261774696594064</v>
      </c>
      <c r="D59" s="92" t="n">
        <v>2.18320305512438</v>
      </c>
      <c r="E59" s="92" t="n">
        <v>2.44742627785264</v>
      </c>
      <c r="F59" s="93" t="n">
        <v>0</v>
      </c>
      <c r="G59" s="94" t="n">
        <v>105.948882101081</v>
      </c>
      <c r="H59" s="92" t="n">
        <v>5.95931544276934</v>
      </c>
      <c r="I59" s="93" t="n">
        <v>0</v>
      </c>
      <c r="J59" s="93" t="n">
        <v>0</v>
      </c>
      <c r="K59" s="95" t="n">
        <v>43.2170450526568</v>
      </c>
      <c r="L59" s="93" t="n">
        <v>231.350963230305</v>
      </c>
      <c r="M59" s="96" t="n">
        <v>0.00170374782349782</v>
      </c>
      <c r="N59" s="95" t="n">
        <v>-19.1519418126068</v>
      </c>
      <c r="O59" s="91" t="n">
        <v>0.270293233105045</v>
      </c>
      <c r="P59" s="97" t="n">
        <v>-0.522940834575671</v>
      </c>
      <c r="Q59" s="98" t="s">
        <v>849</v>
      </c>
      <c r="R59" s="98" t="s">
        <v>850</v>
      </c>
      <c r="S59" s="98" t="s">
        <v>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AR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856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857</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3" t="s">
        <v>858</v>
      </c>
      <c r="B6" s="23" t="s">
        <v>121</v>
      </c>
      <c r="C6" s="50" t="n">
        <v>90</v>
      </c>
      <c r="D6" s="25" t="s">
        <v>859</v>
      </c>
    </row>
    <row r="7" customFormat="false" ht="15" hidden="false" customHeight="true" outlineLevel="0" collapsed="false">
      <c r="A7" s="23" t="s">
        <v>860</v>
      </c>
      <c r="B7" s="23" t="s">
        <v>121</v>
      </c>
      <c r="C7" s="50" t="n">
        <v>0</v>
      </c>
      <c r="D7" s="25" t="s">
        <v>861</v>
      </c>
    </row>
    <row r="8" customFormat="false" ht="15" hidden="false" customHeight="true" outlineLevel="0" collapsed="false">
      <c r="A8" s="23" t="s">
        <v>862</v>
      </c>
      <c r="B8" s="23" t="s">
        <v>121</v>
      </c>
      <c r="C8" s="50" t="n">
        <v>0</v>
      </c>
      <c r="D8" s="25" t="s">
        <v>863</v>
      </c>
    </row>
    <row r="9" customFormat="false" ht="15" hidden="false" customHeight="true" outlineLevel="0" collapsed="false">
      <c r="A9" s="23" t="s">
        <v>864</v>
      </c>
      <c r="B9" s="23" t="s">
        <v>121</v>
      </c>
      <c r="C9" s="50" t="n">
        <v>0</v>
      </c>
      <c r="D9" s="25" t="s">
        <v>865</v>
      </c>
    </row>
    <row r="10" customFormat="false" ht="15" hidden="false" customHeight="true" outlineLevel="0" collapsed="false">
      <c r="A10" s="23" t="s">
        <v>866</v>
      </c>
      <c r="B10" s="23" t="s">
        <v>93</v>
      </c>
      <c r="C10" s="39" t="n">
        <v>0.75</v>
      </c>
      <c r="D10" s="25" t="s">
        <v>867</v>
      </c>
    </row>
    <row r="11" customFormat="false" ht="15" hidden="false" customHeight="true" outlineLevel="0" collapsed="false">
      <c r="A11" s="23" t="s">
        <v>868</v>
      </c>
      <c r="B11" s="23" t="s">
        <v>93</v>
      </c>
      <c r="C11" s="99" t="n">
        <f aca="false">'17A_STRUCTURES'!$C$20+'27_SCENARIOS'!$C$36*(1-'18_DEBT'!$C$10)</f>
        <v>0.08</v>
      </c>
    </row>
    <row r="12" customFormat="false" ht="15" hidden="false" customHeight="true" outlineLevel="0" collapsed="false">
      <c r="A12" s="23" t="s">
        <v>869</v>
      </c>
      <c r="E12" s="100" t="n">
        <v>0</v>
      </c>
      <c r="F12" s="100" t="n">
        <v>0</v>
      </c>
      <c r="G12" s="100" t="n">
        <v>0</v>
      </c>
      <c r="H12" s="100" t="n">
        <v>0</v>
      </c>
      <c r="I12" s="100" t="n">
        <v>0</v>
      </c>
      <c r="J12" s="100" t="n">
        <v>0</v>
      </c>
      <c r="K12" s="100" t="n">
        <v>0</v>
      </c>
      <c r="L12" s="100" t="n">
        <v>0</v>
      </c>
      <c r="M12" s="100" t="n">
        <v>0</v>
      </c>
      <c r="N12" s="100" t="n">
        <v>0</v>
      </c>
      <c r="O12" s="100" t="n">
        <v>0</v>
      </c>
      <c r="P12" s="100" t="n">
        <v>0</v>
      </c>
      <c r="Q12" s="100" t="n">
        <v>0</v>
      </c>
      <c r="R12" s="100" t="n">
        <v>0</v>
      </c>
      <c r="S12" s="100" t="n">
        <v>0</v>
      </c>
      <c r="T12" s="100" t="n">
        <v>0</v>
      </c>
      <c r="U12" s="100" t="n">
        <v>0</v>
      </c>
      <c r="V12" s="100" t="n">
        <v>0</v>
      </c>
      <c r="W12" s="100" t="n">
        <v>0</v>
      </c>
      <c r="X12" s="100" t="n">
        <v>0</v>
      </c>
      <c r="Y12" s="100" t="n">
        <v>0</v>
      </c>
      <c r="Z12" s="100" t="n">
        <v>0</v>
      </c>
      <c r="AA12" s="100" t="n">
        <v>0</v>
      </c>
      <c r="AB12" s="100" t="n">
        <v>0</v>
      </c>
      <c r="AC12" s="100" t="n">
        <v>0</v>
      </c>
      <c r="AD12" s="100" t="n">
        <v>0</v>
      </c>
      <c r="AE12" s="100" t="n">
        <v>0</v>
      </c>
      <c r="AF12" s="100" t="n">
        <v>0</v>
      </c>
      <c r="AG12" s="100" t="n">
        <v>0</v>
      </c>
      <c r="AH12" s="100" t="n">
        <v>0</v>
      </c>
      <c r="AI12" s="100" t="n">
        <v>0</v>
      </c>
      <c r="AJ12" s="100" t="n">
        <v>0</v>
      </c>
      <c r="AK12" s="100" t="n">
        <v>0</v>
      </c>
      <c r="AL12" s="100" t="n">
        <v>0</v>
      </c>
      <c r="AM12" s="100" t="n">
        <v>0</v>
      </c>
      <c r="AN12" s="100" t="n">
        <v>0</v>
      </c>
      <c r="AO12" s="100" t="n">
        <v>0</v>
      </c>
      <c r="AP12" s="100" t="n">
        <v>0</v>
      </c>
      <c r="AQ12" s="100" t="n">
        <v>0</v>
      </c>
      <c r="AR12" s="100" t="n">
        <v>0</v>
      </c>
    </row>
    <row r="13" customFormat="false" ht="15" hidden="false" customHeight="true" outlineLevel="0" collapsed="false">
      <c r="A13" s="23" t="s">
        <v>870</v>
      </c>
      <c r="B13" s="23" t="s">
        <v>93</v>
      </c>
      <c r="C13" s="101" t="n">
        <f aca="false">'21_TAX'!$C$6</f>
        <v>0.3</v>
      </c>
    </row>
    <row r="14" customFormat="false" ht="15" hidden="false" customHeight="true" outlineLevel="0" collapsed="false">
      <c r="A14" s="23" t="s">
        <v>871</v>
      </c>
      <c r="B14" s="23" t="s">
        <v>119</v>
      </c>
      <c r="C14" s="61" t="n">
        <f aca="false">'17A_STRUCTURES'!$C$17*SUMPRODUCT('06_CONSTRUCTION'!$E$13:$AR$13,'06_CONSTRUCTION'!$E$24:$AR$24-0.5*'06_CONSTRUCTION'!$E$23:$AR$23)</f>
        <v>0.045</v>
      </c>
    </row>
    <row r="15" customFormat="false" ht="15" hidden="false" customHeight="true" outlineLevel="0" collapsed="false">
      <c r="A15" s="23" t="s">
        <v>872</v>
      </c>
      <c r="B15" s="23" t="s">
        <v>119</v>
      </c>
      <c r="C15" s="61" t="n">
        <f aca="false">'18_DEBT'!$C$11*SUMPRODUCT('06_CONSTRUCTION'!$E$13:$AR$13,'06_CONSTRUCTION'!$E$24:$AR$24-0.5*'06_CONSTRUCTION'!$E$23:$AR$23)</f>
        <v>0.12</v>
      </c>
    </row>
    <row r="16" customFormat="false" ht="15" hidden="false" customHeight="true" outlineLevel="0" collapsed="false">
      <c r="A16" s="21" t="s">
        <v>873</v>
      </c>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row>
    <row r="17" customFormat="false" ht="15" hidden="false" customHeight="true" outlineLevel="0" collapsed="false">
      <c r="A17" s="23" t="s">
        <v>874</v>
      </c>
      <c r="B17" s="23" t="s">
        <v>121</v>
      </c>
      <c r="C17" s="58" t="n">
        <f aca="false">SUM('18_DEBT'!$E$17:$AR$17)</f>
        <v>553.213196923436</v>
      </c>
      <c r="E17" s="58" t="n">
        <f aca="false">'16_REVENUE'!E27-'07_OPEX'!E20-'07_OPEX'!E22-IF('06_CONSTRUCTION'!E5&gt;'21_TAX'!$C$7,'21_TAX'!$C$6*MAX(0,'16_REVENUE'!E27-'07_OPEX'!E20-'07_OPEX'!E22-'21_TAX'!E11),0)</f>
        <v>0</v>
      </c>
      <c r="F17" s="58" t="n">
        <f aca="false">'16_REVENUE'!F27-'07_OPEX'!F20-'07_OPEX'!F22-IF('06_CONSTRUCTION'!F5&gt;'21_TAX'!$C$7,'21_TAX'!$C$6*MAX(0,'16_REVENUE'!F27-'07_OPEX'!F20-'07_OPEX'!F22-'21_TAX'!F11),0)</f>
        <v>0</v>
      </c>
      <c r="G17" s="58" t="n">
        <f aca="false">'16_REVENUE'!G27-'07_OPEX'!G20-'07_OPEX'!G22-IF('06_CONSTRUCTION'!G5&gt;'21_TAX'!$C$7,'21_TAX'!$C$6*MAX(0,'16_REVENUE'!G27-'07_OPEX'!G20-'07_OPEX'!G22-'21_TAX'!G11),0)</f>
        <v>0</v>
      </c>
      <c r="H17" s="58" t="n">
        <f aca="false">'16_REVENUE'!H27-'07_OPEX'!H20-'07_OPEX'!H22-IF('06_CONSTRUCTION'!H5&gt;'21_TAX'!$C$7,'21_TAX'!$C$6*MAX(0,'16_REVENUE'!H27-'07_OPEX'!H20-'07_OPEX'!H22-'21_TAX'!H11),0)</f>
        <v>20.084281869688</v>
      </c>
      <c r="I17" s="58" t="n">
        <f aca="false">'16_REVENUE'!I27-'07_OPEX'!I20-'07_OPEX'!I22-IF('06_CONSTRUCTION'!I5&gt;'21_TAX'!$C$7,'21_TAX'!$C$6*MAX(0,'16_REVENUE'!I27-'07_OPEX'!I20-'07_OPEX'!I22-'21_TAX'!I11),0)</f>
        <v>24.8122289559377</v>
      </c>
      <c r="J17" s="58" t="n">
        <f aca="false">'16_REVENUE'!J27-'07_OPEX'!J20-'07_OPEX'!J22-IF('06_CONSTRUCTION'!J5&gt;'21_TAX'!$C$7,'21_TAX'!$C$6*MAX(0,'16_REVENUE'!J27-'07_OPEX'!J20-'07_OPEX'!J22-'21_TAX'!J11),0)</f>
        <v>25.0080326927672</v>
      </c>
      <c r="K17" s="58" t="n">
        <f aca="false">'16_REVENUE'!K27-'07_OPEX'!K20-'07_OPEX'!K22-IF('06_CONSTRUCTION'!K5&gt;'21_TAX'!$C$7,'21_TAX'!$C$6*MAX(0,'16_REVENUE'!K27-'07_OPEX'!K20-'07_OPEX'!K22-'21_TAX'!K11),0)</f>
        <v>25.2077525043333</v>
      </c>
      <c r="L17" s="58" t="n">
        <f aca="false">'16_REVENUE'!L27-'07_OPEX'!L20-'07_OPEX'!L22-IF('06_CONSTRUCTION'!L5&gt;'21_TAX'!$C$7,'21_TAX'!$C$6*MAX(0,'16_REVENUE'!L27-'07_OPEX'!L20-'07_OPEX'!L22-'21_TAX'!L11),0)</f>
        <v>25.4114667121307</v>
      </c>
      <c r="M17" s="58" t="n">
        <f aca="false">'16_REVENUE'!M27-'07_OPEX'!M20-'07_OPEX'!M22-IF('06_CONSTRUCTION'!M5&gt;'21_TAX'!$C$7,'21_TAX'!$C$6*MAX(0,'16_REVENUE'!M27-'07_OPEX'!M20-'07_OPEX'!M22-'21_TAX'!M11),0)</f>
        <v>20.7429293690307</v>
      </c>
      <c r="N17" s="58" t="n">
        <f aca="false">'16_REVENUE'!N27-'07_OPEX'!N20-'07_OPEX'!N22-IF('06_CONSTRUCTION'!N5&gt;'21_TAX'!$C$7,'21_TAX'!$C$6*MAX(0,'16_REVENUE'!N27-'07_OPEX'!N20-'07_OPEX'!N22-'21_TAX'!N11),0)</f>
        <v>20.8912903522854</v>
      </c>
      <c r="O17" s="58" t="n">
        <f aca="false">'16_REVENUE'!O27-'07_OPEX'!O20-'07_OPEX'!O22-IF('06_CONSTRUCTION'!O5&gt;'21_TAX'!$C$7,'21_TAX'!$C$6*MAX(0,'16_REVENUE'!O27-'07_OPEX'!O20-'07_OPEX'!O22-'21_TAX'!O11),0)</f>
        <v>21.0426185552052</v>
      </c>
      <c r="P17" s="58" t="n">
        <f aca="false">'16_REVENUE'!P27-'07_OPEX'!P20-'07_OPEX'!P22-IF('06_CONSTRUCTION'!P5&gt;'21_TAX'!$C$7,'21_TAX'!$C$6*MAX(0,'16_REVENUE'!P27-'07_OPEX'!P20-'07_OPEX'!P22-'21_TAX'!P11),0)</f>
        <v>21.1969733221834</v>
      </c>
      <c r="Q17" s="58" t="n">
        <f aca="false">'16_REVENUE'!Q27-'07_OPEX'!Q20-'07_OPEX'!Q22-IF('06_CONSTRUCTION'!Q5&gt;'21_TAX'!$C$7,'21_TAX'!$C$6*MAX(0,'16_REVENUE'!Q27-'07_OPEX'!Q20-'07_OPEX'!Q22-'21_TAX'!Q11),0)</f>
        <v>21.3544151845012</v>
      </c>
      <c r="R17" s="58" t="n">
        <f aca="false">'16_REVENUE'!R27-'07_OPEX'!R20-'07_OPEX'!R22-IF('06_CONSTRUCTION'!R5&gt;'21_TAX'!$C$7,'21_TAX'!$C$6*MAX(0,'16_REVENUE'!R27-'07_OPEX'!R20-'07_OPEX'!R22-'21_TAX'!R11),0)</f>
        <v>21.5150058840653</v>
      </c>
      <c r="S17" s="58" t="n">
        <f aca="false">'16_REVENUE'!S27-'07_OPEX'!S20-'07_OPEX'!S22-IF('06_CONSTRUCTION'!S5&gt;'21_TAX'!$C$7,'21_TAX'!$C$6*MAX(0,'16_REVENUE'!S27-'07_OPEX'!S20-'07_OPEX'!S22-'21_TAX'!S11),0)</f>
        <v>21.6788083976207</v>
      </c>
      <c r="T17" s="58" t="n">
        <f aca="false">'16_REVENUE'!T27-'07_OPEX'!T20-'07_OPEX'!T22-IF('06_CONSTRUCTION'!T5&gt;'21_TAX'!$C$7,'21_TAX'!$C$6*MAX(0,'16_REVENUE'!T27-'07_OPEX'!T20-'07_OPEX'!T22-'21_TAX'!T11),0)</f>
        <v>21.8458869614472</v>
      </c>
      <c r="U17" s="58" t="n">
        <f aca="false">'16_REVENUE'!U27-'07_OPEX'!U20-'07_OPEX'!U22-IF('06_CONSTRUCTION'!U5&gt;'21_TAX'!$C$7,'21_TAX'!$C$6*MAX(0,'16_REVENUE'!U27-'07_OPEX'!U20-'07_OPEX'!U22-'21_TAX'!U11),0)</f>
        <v>22.0163070965502</v>
      </c>
      <c r="V17" s="58" t="n">
        <f aca="false">'16_REVENUE'!V27-'07_OPEX'!V20-'07_OPEX'!V22-IF('06_CONSTRUCTION'!V5&gt;'21_TAX'!$C$7,'21_TAX'!$C$6*MAX(0,'16_REVENUE'!V27-'07_OPEX'!V20-'07_OPEX'!V22-'21_TAX'!V11),0)</f>
        <v>22.1901356343553</v>
      </c>
      <c r="W17" s="58" t="n">
        <f aca="false">'16_REVENUE'!W27-'07_OPEX'!W20-'07_OPEX'!W22-IF('06_CONSTRUCTION'!W5&gt;'21_TAX'!$C$7,'21_TAX'!$C$6*MAX(0,'16_REVENUE'!W27-'07_OPEX'!W20-'07_OPEX'!W22-'21_TAX'!W11),0)</f>
        <v>22.3674407429165</v>
      </c>
      <c r="X17" s="58" t="n">
        <f aca="false">'16_REVENUE'!X27-'07_OPEX'!X20-'07_OPEX'!X22-IF('06_CONSTRUCTION'!X5&gt;'21_TAX'!$C$7,'21_TAX'!$C$6*MAX(0,'16_REVENUE'!X27-'07_OPEX'!X20-'07_OPEX'!X22-'21_TAX'!X11),0)</f>
        <v>22.5482919536489</v>
      </c>
      <c r="Y17" s="58" t="n">
        <f aca="false">'16_REVENUE'!Y27-'07_OPEX'!Y20-'07_OPEX'!Y22-IF('06_CONSTRUCTION'!Y5&gt;'21_TAX'!$C$7,'21_TAX'!$C$6*MAX(0,'16_REVENUE'!Y27-'07_OPEX'!Y20-'07_OPEX'!Y22-'21_TAX'!Y11),0)</f>
        <v>22.7327601885959</v>
      </c>
      <c r="Z17" s="58" t="n">
        <f aca="false">'16_REVENUE'!Z27-'07_OPEX'!Z20-'07_OPEX'!Z22-IF('06_CONSTRUCTION'!Z5&gt;'21_TAX'!$C$7,'21_TAX'!$C$6*MAX(0,'16_REVENUE'!Z27-'07_OPEX'!Z20-'07_OPEX'!Z22-'21_TAX'!Z11),0)</f>
        <v>22.9209177882419</v>
      </c>
      <c r="AA17" s="58" t="n">
        <f aca="false">'16_REVENUE'!AA27-'07_OPEX'!AA20-'07_OPEX'!AA22-IF('06_CONSTRUCTION'!AA5&gt;'21_TAX'!$C$7,'21_TAX'!$C$6*MAX(0,'16_REVENUE'!AA27-'07_OPEX'!AA20-'07_OPEX'!AA22-'21_TAX'!AA11),0)</f>
        <v>23.1128385398809</v>
      </c>
      <c r="AB17" s="58" t="n">
        <f aca="false">'16_REVENUE'!AB27-'07_OPEX'!AB20-'07_OPEX'!AB22-IF('06_CONSTRUCTION'!AB5&gt;'21_TAX'!$C$7,'21_TAX'!$C$6*MAX(0,'16_REVENUE'!AB27-'07_OPEX'!AB20-'07_OPEX'!AB22-'21_TAX'!AB11),0)</f>
        <v>20.4991469803807</v>
      </c>
      <c r="AC17" s="58" t="n">
        <f aca="false">'16_REVENUE'!AC27-'07_OPEX'!AC20-'07_OPEX'!AC22-IF('06_CONSTRUCTION'!AC5&gt;'21_TAX'!$C$7,'21_TAX'!$C$6*MAX(0,'16_REVENUE'!AC27-'07_OPEX'!AC20-'07_OPEX'!AC22-'21_TAX'!AC11),0)</f>
        <v>20.6988213303858</v>
      </c>
      <c r="AD17" s="58" t="n">
        <f aca="false">'16_REVENUE'!AD27-'07_OPEX'!AD20-'07_OPEX'!AD22-IF('06_CONSTRUCTION'!AD5&gt;'21_TAX'!$C$7,'21_TAX'!$C$6*MAX(0,'16_REVENUE'!AD27-'07_OPEX'!AD20-'07_OPEX'!AD22-'21_TAX'!AD11),0)</f>
        <v>20.9024891673911</v>
      </c>
      <c r="AE17" s="58" t="n">
        <f aca="false">'16_REVENUE'!AE27-'07_OPEX'!AE20-'07_OPEX'!AE22-IF('06_CONSTRUCTION'!AE5&gt;'21_TAX'!$C$7,'21_TAX'!$C$6*MAX(0,'16_REVENUE'!AE27-'07_OPEX'!AE20-'07_OPEX'!AE22-'21_TAX'!AE11),0)</f>
        <v>21.1102303611364</v>
      </c>
      <c r="AF17" s="58" t="n">
        <f aca="false">'16_REVENUE'!AF27-'07_OPEX'!AF20-'07_OPEX'!AF22-IF('06_CONSTRUCTION'!AF5&gt;'21_TAX'!$C$7,'21_TAX'!$C$6*MAX(0,'16_REVENUE'!AF27-'07_OPEX'!AF20-'07_OPEX'!AF22-'21_TAX'!AF11),0)</f>
        <v>21.3221263787567</v>
      </c>
      <c r="AG17" s="58" t="n">
        <f aca="false">'16_REVENUE'!AG27-'07_OPEX'!AG20-'07_OPEX'!AG22-IF('06_CONSTRUCTION'!AG5&gt;'21_TAX'!$C$7,'21_TAX'!$C$6*MAX(0,'16_REVENUE'!AG27-'07_OPEX'!AG20-'07_OPEX'!AG22-'21_TAX'!AG11),0)</f>
        <v>0</v>
      </c>
      <c r="AH17" s="58" t="n">
        <f aca="false">'16_REVENUE'!AH27-'07_OPEX'!AH20-'07_OPEX'!AH22-IF('06_CONSTRUCTION'!AH5&gt;'21_TAX'!$C$7,'21_TAX'!$C$6*MAX(0,'16_REVENUE'!AH27-'07_OPEX'!AH20-'07_OPEX'!AH22-'21_TAX'!AH11),0)</f>
        <v>0</v>
      </c>
      <c r="AI17" s="58" t="n">
        <f aca="false">'16_REVENUE'!AI27-'07_OPEX'!AI20-'07_OPEX'!AI22-IF('06_CONSTRUCTION'!AI5&gt;'21_TAX'!$C$7,'21_TAX'!$C$6*MAX(0,'16_REVENUE'!AI27-'07_OPEX'!AI20-'07_OPEX'!AI22-'21_TAX'!AI11),0)</f>
        <v>0</v>
      </c>
      <c r="AJ17" s="58" t="n">
        <f aca="false">'16_REVENUE'!AJ27-'07_OPEX'!AJ20-'07_OPEX'!AJ22-IF('06_CONSTRUCTION'!AJ5&gt;'21_TAX'!$C$7,'21_TAX'!$C$6*MAX(0,'16_REVENUE'!AJ27-'07_OPEX'!AJ20-'07_OPEX'!AJ22-'21_TAX'!AJ11),0)</f>
        <v>0</v>
      </c>
      <c r="AK17" s="58" t="n">
        <f aca="false">'16_REVENUE'!AK27-'07_OPEX'!AK20-'07_OPEX'!AK22-IF('06_CONSTRUCTION'!AK5&gt;'21_TAX'!$C$7,'21_TAX'!$C$6*MAX(0,'16_REVENUE'!AK27-'07_OPEX'!AK20-'07_OPEX'!AK22-'21_TAX'!AK11),0)</f>
        <v>0</v>
      </c>
      <c r="AL17" s="58" t="n">
        <f aca="false">'16_REVENUE'!AL27-'07_OPEX'!AL20-'07_OPEX'!AL22-IF('06_CONSTRUCTION'!AL5&gt;'21_TAX'!$C$7,'21_TAX'!$C$6*MAX(0,'16_REVENUE'!AL27-'07_OPEX'!AL20-'07_OPEX'!AL22-'21_TAX'!AL11),0)</f>
        <v>0</v>
      </c>
      <c r="AM17" s="58" t="n">
        <f aca="false">'16_REVENUE'!AM27-'07_OPEX'!AM20-'07_OPEX'!AM22-IF('06_CONSTRUCTION'!AM5&gt;'21_TAX'!$C$7,'21_TAX'!$C$6*MAX(0,'16_REVENUE'!AM27-'07_OPEX'!AM20-'07_OPEX'!AM22-'21_TAX'!AM11),0)</f>
        <v>0</v>
      </c>
      <c r="AN17" s="58" t="n">
        <f aca="false">'16_REVENUE'!AN27-'07_OPEX'!AN20-'07_OPEX'!AN22-IF('06_CONSTRUCTION'!AN5&gt;'21_TAX'!$C$7,'21_TAX'!$C$6*MAX(0,'16_REVENUE'!AN27-'07_OPEX'!AN20-'07_OPEX'!AN22-'21_TAX'!AN11),0)</f>
        <v>0</v>
      </c>
      <c r="AO17" s="58" t="n">
        <f aca="false">'16_REVENUE'!AO27-'07_OPEX'!AO20-'07_OPEX'!AO22-IF('06_CONSTRUCTION'!AO5&gt;'21_TAX'!$C$7,'21_TAX'!$C$6*MAX(0,'16_REVENUE'!AO27-'07_OPEX'!AO20-'07_OPEX'!AO22-'21_TAX'!AO11),0)</f>
        <v>0</v>
      </c>
      <c r="AP17" s="58" t="n">
        <f aca="false">'16_REVENUE'!AP27-'07_OPEX'!AP20-'07_OPEX'!AP22-IF('06_CONSTRUCTION'!AP5&gt;'21_TAX'!$C$7,'21_TAX'!$C$6*MAX(0,'16_REVENUE'!AP27-'07_OPEX'!AP20-'07_OPEX'!AP22-'21_TAX'!AP11),0)</f>
        <v>0</v>
      </c>
      <c r="AQ17" s="58" t="n">
        <f aca="false">'16_REVENUE'!AQ27-'07_OPEX'!AQ20-'07_OPEX'!AQ22-IF('06_CONSTRUCTION'!AQ5&gt;'21_TAX'!$C$7,'21_TAX'!$C$6*MAX(0,'16_REVENUE'!AQ27-'07_OPEX'!AQ20-'07_OPEX'!AQ22-'21_TAX'!AQ11),0)</f>
        <v>0</v>
      </c>
      <c r="AR17" s="58" t="n">
        <f aca="false">'16_REVENUE'!AR27-'07_OPEX'!AR20-'07_OPEX'!AR22-IF('06_CONSTRUCTION'!AR5&gt;'21_TAX'!$C$7,'21_TAX'!$C$6*MAX(0,'16_REVENUE'!AR27-'07_OPEX'!AR20-'07_OPEX'!AR22-'21_TAX'!AR11),0)</f>
        <v>0</v>
      </c>
    </row>
    <row r="18" customFormat="false" ht="15" hidden="false" customHeight="true" outlineLevel="0" collapsed="false">
      <c r="A18" s="23" t="s">
        <v>875</v>
      </c>
      <c r="B18" s="23" t="s">
        <v>386</v>
      </c>
      <c r="E18" s="69" t="n">
        <f aca="false">IF(AND('06_CONSTRUCTION'!E5&gt;=1,'06_CONSTRUCTION'!E5&lt;='17A_STRUCTURES'!$C$21),1,0)</f>
        <v>0</v>
      </c>
      <c r="F18" s="69" t="n">
        <f aca="false">IF(AND('06_CONSTRUCTION'!F5&gt;=1,'06_CONSTRUCTION'!F5&lt;='17A_STRUCTURES'!$C$21),1,0)</f>
        <v>0</v>
      </c>
      <c r="G18" s="69" t="n">
        <f aca="false">IF(AND('06_CONSTRUCTION'!G5&gt;=1,'06_CONSTRUCTION'!G5&lt;='17A_STRUCTURES'!$C$21),1,0)</f>
        <v>0</v>
      </c>
      <c r="H18" s="69" t="n">
        <f aca="false">IF(AND('06_CONSTRUCTION'!H5&gt;=1,'06_CONSTRUCTION'!H5&lt;='17A_STRUCTURES'!$C$21),1,0)</f>
        <v>1</v>
      </c>
      <c r="I18" s="69" t="n">
        <f aca="false">IF(AND('06_CONSTRUCTION'!I5&gt;=1,'06_CONSTRUCTION'!I5&lt;='17A_STRUCTURES'!$C$21),1,0)</f>
        <v>1</v>
      </c>
      <c r="J18" s="69" t="n">
        <f aca="false">IF(AND('06_CONSTRUCTION'!J5&gt;=1,'06_CONSTRUCTION'!J5&lt;='17A_STRUCTURES'!$C$21),1,0)</f>
        <v>1</v>
      </c>
      <c r="K18" s="69" t="n">
        <f aca="false">IF(AND('06_CONSTRUCTION'!K5&gt;=1,'06_CONSTRUCTION'!K5&lt;='17A_STRUCTURES'!$C$21),1,0)</f>
        <v>1</v>
      </c>
      <c r="L18" s="69" t="n">
        <f aca="false">IF(AND('06_CONSTRUCTION'!L5&gt;=1,'06_CONSTRUCTION'!L5&lt;='17A_STRUCTURES'!$C$21),1,0)</f>
        <v>1</v>
      </c>
      <c r="M18" s="69" t="n">
        <f aca="false">IF(AND('06_CONSTRUCTION'!M5&gt;=1,'06_CONSTRUCTION'!M5&lt;='17A_STRUCTURES'!$C$21),1,0)</f>
        <v>1</v>
      </c>
      <c r="N18" s="69" t="n">
        <f aca="false">IF(AND('06_CONSTRUCTION'!N5&gt;=1,'06_CONSTRUCTION'!N5&lt;='17A_STRUCTURES'!$C$21),1,0)</f>
        <v>1</v>
      </c>
      <c r="O18" s="69" t="n">
        <f aca="false">IF(AND('06_CONSTRUCTION'!O5&gt;=1,'06_CONSTRUCTION'!O5&lt;='17A_STRUCTURES'!$C$21),1,0)</f>
        <v>1</v>
      </c>
      <c r="P18" s="69" t="n">
        <f aca="false">IF(AND('06_CONSTRUCTION'!P5&gt;=1,'06_CONSTRUCTION'!P5&lt;='17A_STRUCTURES'!$C$21),1,0)</f>
        <v>1</v>
      </c>
      <c r="Q18" s="69" t="n">
        <f aca="false">IF(AND('06_CONSTRUCTION'!Q5&gt;=1,'06_CONSTRUCTION'!Q5&lt;='17A_STRUCTURES'!$C$21),1,0)</f>
        <v>1</v>
      </c>
      <c r="R18" s="69" t="n">
        <f aca="false">IF(AND('06_CONSTRUCTION'!R5&gt;=1,'06_CONSTRUCTION'!R5&lt;='17A_STRUCTURES'!$C$21),1,0)</f>
        <v>1</v>
      </c>
      <c r="S18" s="69" t="n">
        <f aca="false">IF(AND('06_CONSTRUCTION'!S5&gt;=1,'06_CONSTRUCTION'!S5&lt;='17A_STRUCTURES'!$C$21),1,0)</f>
        <v>1</v>
      </c>
      <c r="T18" s="69" t="n">
        <f aca="false">IF(AND('06_CONSTRUCTION'!T5&gt;=1,'06_CONSTRUCTION'!T5&lt;='17A_STRUCTURES'!$C$21),1,0)</f>
        <v>1</v>
      </c>
      <c r="U18" s="69" t="n">
        <f aca="false">IF(AND('06_CONSTRUCTION'!U5&gt;=1,'06_CONSTRUCTION'!U5&lt;='17A_STRUCTURES'!$C$21),1,0)</f>
        <v>1</v>
      </c>
      <c r="V18" s="69" t="n">
        <f aca="false">IF(AND('06_CONSTRUCTION'!V5&gt;=1,'06_CONSTRUCTION'!V5&lt;='17A_STRUCTURES'!$C$21),1,0)</f>
        <v>1</v>
      </c>
      <c r="W18" s="69" t="n">
        <f aca="false">IF(AND('06_CONSTRUCTION'!W5&gt;=1,'06_CONSTRUCTION'!W5&lt;='17A_STRUCTURES'!$C$21),1,0)</f>
        <v>1</v>
      </c>
      <c r="X18" s="69" t="n">
        <f aca="false">IF(AND('06_CONSTRUCTION'!X5&gt;=1,'06_CONSTRUCTION'!X5&lt;='17A_STRUCTURES'!$C$21),1,0)</f>
        <v>0</v>
      </c>
      <c r="Y18" s="69" t="n">
        <f aca="false">IF(AND('06_CONSTRUCTION'!Y5&gt;=1,'06_CONSTRUCTION'!Y5&lt;='17A_STRUCTURES'!$C$21),1,0)</f>
        <v>0</v>
      </c>
      <c r="Z18" s="69" t="n">
        <f aca="false">IF(AND('06_CONSTRUCTION'!Z5&gt;=1,'06_CONSTRUCTION'!Z5&lt;='17A_STRUCTURES'!$C$21),1,0)</f>
        <v>0</v>
      </c>
      <c r="AA18" s="69" t="n">
        <f aca="false">IF(AND('06_CONSTRUCTION'!AA5&gt;=1,'06_CONSTRUCTION'!AA5&lt;='17A_STRUCTURES'!$C$21),1,0)</f>
        <v>0</v>
      </c>
      <c r="AB18" s="69" t="n">
        <f aca="false">IF(AND('06_CONSTRUCTION'!AB5&gt;=1,'06_CONSTRUCTION'!AB5&lt;='17A_STRUCTURES'!$C$21),1,0)</f>
        <v>0</v>
      </c>
      <c r="AC18" s="69" t="n">
        <f aca="false">IF(AND('06_CONSTRUCTION'!AC5&gt;=1,'06_CONSTRUCTION'!AC5&lt;='17A_STRUCTURES'!$C$21),1,0)</f>
        <v>0</v>
      </c>
      <c r="AD18" s="69" t="n">
        <f aca="false">IF(AND('06_CONSTRUCTION'!AD5&gt;=1,'06_CONSTRUCTION'!AD5&lt;='17A_STRUCTURES'!$C$21),1,0)</f>
        <v>0</v>
      </c>
      <c r="AE18" s="69" t="n">
        <f aca="false">IF(AND('06_CONSTRUCTION'!AE5&gt;=1,'06_CONSTRUCTION'!AE5&lt;='17A_STRUCTURES'!$C$21),1,0)</f>
        <v>0</v>
      </c>
      <c r="AF18" s="69" t="n">
        <f aca="false">IF(AND('06_CONSTRUCTION'!AF5&gt;=1,'06_CONSTRUCTION'!AF5&lt;='17A_STRUCTURES'!$C$21),1,0)</f>
        <v>0</v>
      </c>
      <c r="AG18" s="69" t="n">
        <f aca="false">IF(AND('06_CONSTRUCTION'!AG5&gt;=1,'06_CONSTRUCTION'!AG5&lt;='17A_STRUCTURES'!$C$21),1,0)</f>
        <v>0</v>
      </c>
      <c r="AH18" s="69" t="n">
        <f aca="false">IF(AND('06_CONSTRUCTION'!AH5&gt;=1,'06_CONSTRUCTION'!AH5&lt;='17A_STRUCTURES'!$C$21),1,0)</f>
        <v>0</v>
      </c>
      <c r="AI18" s="69" t="n">
        <f aca="false">IF(AND('06_CONSTRUCTION'!AI5&gt;=1,'06_CONSTRUCTION'!AI5&lt;='17A_STRUCTURES'!$C$21),1,0)</f>
        <v>0</v>
      </c>
      <c r="AJ18" s="69" t="n">
        <f aca="false">IF(AND('06_CONSTRUCTION'!AJ5&gt;=1,'06_CONSTRUCTION'!AJ5&lt;='17A_STRUCTURES'!$C$21),1,0)</f>
        <v>0</v>
      </c>
      <c r="AK18" s="69" t="n">
        <f aca="false">IF(AND('06_CONSTRUCTION'!AK5&gt;=1,'06_CONSTRUCTION'!AK5&lt;='17A_STRUCTURES'!$C$21),1,0)</f>
        <v>0</v>
      </c>
      <c r="AL18" s="69" t="n">
        <f aca="false">IF(AND('06_CONSTRUCTION'!AL5&gt;=1,'06_CONSTRUCTION'!AL5&lt;='17A_STRUCTURES'!$C$21),1,0)</f>
        <v>0</v>
      </c>
      <c r="AM18" s="69" t="n">
        <f aca="false">IF(AND('06_CONSTRUCTION'!AM5&gt;=1,'06_CONSTRUCTION'!AM5&lt;='17A_STRUCTURES'!$C$21),1,0)</f>
        <v>0</v>
      </c>
      <c r="AN18" s="69" t="n">
        <f aca="false">IF(AND('06_CONSTRUCTION'!AN5&gt;=1,'06_CONSTRUCTION'!AN5&lt;='17A_STRUCTURES'!$C$21),1,0)</f>
        <v>0</v>
      </c>
      <c r="AO18" s="69" t="n">
        <f aca="false">IF(AND('06_CONSTRUCTION'!AO5&gt;=1,'06_CONSTRUCTION'!AO5&lt;='17A_STRUCTURES'!$C$21),1,0)</f>
        <v>0</v>
      </c>
      <c r="AP18" s="69" t="n">
        <f aca="false">IF(AND('06_CONSTRUCTION'!AP5&gt;=1,'06_CONSTRUCTION'!AP5&lt;='17A_STRUCTURES'!$C$21),1,0)</f>
        <v>0</v>
      </c>
      <c r="AQ18" s="69" t="n">
        <f aca="false">IF(AND('06_CONSTRUCTION'!AQ5&gt;=1,'06_CONSTRUCTION'!AQ5&lt;='17A_STRUCTURES'!$C$21),1,0)</f>
        <v>0</v>
      </c>
      <c r="AR18" s="69" t="n">
        <f aca="false">IF(AND('06_CONSTRUCTION'!AR5&gt;=1,'06_CONSTRUCTION'!AR5&lt;='17A_STRUCTURES'!$C$21),1,0)</f>
        <v>0</v>
      </c>
    </row>
    <row r="19" customFormat="false" ht="15" hidden="false" customHeight="true" outlineLevel="0" collapsed="false">
      <c r="A19" s="23" t="s">
        <v>876</v>
      </c>
      <c r="B19" s="23" t="s">
        <v>119</v>
      </c>
      <c r="E19" s="63" t="n">
        <f aca="false">IF('06_CONSTRUCTION'!E5&gt;=1,1/(1+'18_DEBT'!$C$11)^'06_CONSTRUCTION'!E5,0)</f>
        <v>0</v>
      </c>
      <c r="F19" s="63" t="n">
        <f aca="false">IF('06_CONSTRUCTION'!F5&gt;=1,1/(1+'18_DEBT'!$C$11)^'06_CONSTRUCTION'!F5,0)</f>
        <v>0</v>
      </c>
      <c r="G19" s="63" t="n">
        <f aca="false">IF('06_CONSTRUCTION'!G5&gt;=1,1/(1+'18_DEBT'!$C$11)^'06_CONSTRUCTION'!G5,0)</f>
        <v>0</v>
      </c>
      <c r="H19" s="63" t="n">
        <f aca="false">IF('06_CONSTRUCTION'!H5&gt;=1,1/(1+'18_DEBT'!$C$11)^'06_CONSTRUCTION'!H5,0)</f>
        <v>0.925925925925926</v>
      </c>
      <c r="I19" s="63" t="n">
        <f aca="false">IF('06_CONSTRUCTION'!I5&gt;=1,1/(1+'18_DEBT'!$C$11)^'06_CONSTRUCTION'!I5,0)</f>
        <v>0.857338820301783</v>
      </c>
      <c r="J19" s="63" t="n">
        <f aca="false">IF('06_CONSTRUCTION'!J5&gt;=1,1/(1+'18_DEBT'!$C$11)^'06_CONSTRUCTION'!J5,0)</f>
        <v>0.79383224102017</v>
      </c>
      <c r="K19" s="63" t="n">
        <f aca="false">IF('06_CONSTRUCTION'!K5&gt;=1,1/(1+'18_DEBT'!$C$11)^'06_CONSTRUCTION'!K5,0)</f>
        <v>0.735029852796453</v>
      </c>
      <c r="L19" s="63" t="n">
        <f aca="false">IF('06_CONSTRUCTION'!L5&gt;=1,1/(1+'18_DEBT'!$C$11)^'06_CONSTRUCTION'!L5,0)</f>
        <v>0.680583197033753</v>
      </c>
      <c r="M19" s="63" t="n">
        <f aca="false">IF('06_CONSTRUCTION'!M5&gt;=1,1/(1+'18_DEBT'!$C$11)^'06_CONSTRUCTION'!M5,0)</f>
        <v>0.630169626883105</v>
      </c>
      <c r="N19" s="63" t="n">
        <f aca="false">IF('06_CONSTRUCTION'!N5&gt;=1,1/(1+'18_DEBT'!$C$11)^'06_CONSTRUCTION'!N5,0)</f>
        <v>0.583490395262134</v>
      </c>
      <c r="O19" s="63" t="n">
        <f aca="false">IF('06_CONSTRUCTION'!O5&gt;=1,1/(1+'18_DEBT'!$C$11)^'06_CONSTRUCTION'!O5,0)</f>
        <v>0.540268884501976</v>
      </c>
      <c r="P19" s="63" t="n">
        <f aca="false">IF('06_CONSTRUCTION'!P5&gt;=1,1/(1+'18_DEBT'!$C$11)^'06_CONSTRUCTION'!P5,0)</f>
        <v>0.500248967131459</v>
      </c>
      <c r="Q19" s="63" t="n">
        <f aca="false">IF('06_CONSTRUCTION'!Q5&gt;=1,1/(1+'18_DEBT'!$C$11)^'06_CONSTRUCTION'!Q5,0)</f>
        <v>0.463193488084684</v>
      </c>
      <c r="R19" s="63" t="n">
        <f aca="false">IF('06_CONSTRUCTION'!R5&gt;=1,1/(1+'18_DEBT'!$C$11)^'06_CONSTRUCTION'!R5,0)</f>
        <v>0.428882859337671</v>
      </c>
      <c r="S19" s="63" t="n">
        <f aca="false">IF('06_CONSTRUCTION'!S5&gt;=1,1/(1+'18_DEBT'!$C$11)^'06_CONSTRUCTION'!S5,0)</f>
        <v>0.397113758645991</v>
      </c>
      <c r="T19" s="63" t="n">
        <f aca="false">IF('06_CONSTRUCTION'!T5&gt;=1,1/(1+'18_DEBT'!$C$11)^'06_CONSTRUCTION'!T5,0)</f>
        <v>0.367697924672214</v>
      </c>
      <c r="U19" s="63" t="n">
        <f aca="false">IF('06_CONSTRUCTION'!U5&gt;=1,1/(1+'18_DEBT'!$C$11)^'06_CONSTRUCTION'!U5,0)</f>
        <v>0.340461041363161</v>
      </c>
      <c r="V19" s="63" t="n">
        <f aca="false">IF('06_CONSTRUCTION'!V5&gt;=1,1/(1+'18_DEBT'!$C$11)^'06_CONSTRUCTION'!V5,0)</f>
        <v>0.31524170496589</v>
      </c>
      <c r="W19" s="63" t="n">
        <f aca="false">IF('06_CONSTRUCTION'!W5&gt;=1,1/(1+'18_DEBT'!$C$11)^'06_CONSTRUCTION'!W5,0)</f>
        <v>0.291890467561009</v>
      </c>
      <c r="X19" s="63" t="n">
        <f aca="false">IF('06_CONSTRUCTION'!X5&gt;=1,1/(1+'18_DEBT'!$C$11)^'06_CONSTRUCTION'!X5,0)</f>
        <v>0.270268951445379</v>
      </c>
      <c r="Y19" s="63" t="n">
        <f aca="false">IF('06_CONSTRUCTION'!Y5&gt;=1,1/(1+'18_DEBT'!$C$11)^'06_CONSTRUCTION'!Y5,0)</f>
        <v>0.250249029116092</v>
      </c>
      <c r="Z19" s="63" t="n">
        <f aca="false">IF('06_CONSTRUCTION'!Z5&gt;=1,1/(1+'18_DEBT'!$C$11)^'06_CONSTRUCTION'!Z5,0)</f>
        <v>0.231712063996381</v>
      </c>
      <c r="AA19" s="63" t="n">
        <f aca="false">IF('06_CONSTRUCTION'!AA5&gt;=1,1/(1+'18_DEBT'!$C$11)^'06_CONSTRUCTION'!AA5,0)</f>
        <v>0.214548207404056</v>
      </c>
      <c r="AB19" s="63" t="n">
        <f aca="false">IF('06_CONSTRUCTION'!AB5&gt;=1,1/(1+'18_DEBT'!$C$11)^'06_CONSTRUCTION'!AB5,0)</f>
        <v>0.198655747596349</v>
      </c>
      <c r="AC19" s="63" t="n">
        <f aca="false">IF('06_CONSTRUCTION'!AC5&gt;=1,1/(1+'18_DEBT'!$C$11)^'06_CONSTRUCTION'!AC5,0)</f>
        <v>0.183940507033656</v>
      </c>
      <c r="AD19" s="63" t="n">
        <f aca="false">IF('06_CONSTRUCTION'!AD5&gt;=1,1/(1+'18_DEBT'!$C$11)^'06_CONSTRUCTION'!AD5,0)</f>
        <v>0.170315284290422</v>
      </c>
      <c r="AE19" s="63" t="n">
        <f aca="false">IF('06_CONSTRUCTION'!AE5&gt;=1,1/(1+'18_DEBT'!$C$11)^'06_CONSTRUCTION'!AE5,0)</f>
        <v>0.157699337305947</v>
      </c>
      <c r="AF19" s="63" t="n">
        <f aca="false">IF('06_CONSTRUCTION'!AF5&gt;=1,1/(1+'18_DEBT'!$C$11)^'06_CONSTRUCTION'!AF5,0)</f>
        <v>0.146017904912913</v>
      </c>
      <c r="AG19" s="63" t="n">
        <f aca="false">IF('06_CONSTRUCTION'!AG5&gt;=1,1/(1+'18_DEBT'!$C$11)^'06_CONSTRUCTION'!AG5,0)</f>
        <v>0</v>
      </c>
      <c r="AH19" s="63" t="n">
        <f aca="false">IF('06_CONSTRUCTION'!AH5&gt;=1,1/(1+'18_DEBT'!$C$11)^'06_CONSTRUCTION'!AH5,0)</f>
        <v>0</v>
      </c>
      <c r="AI19" s="63" t="n">
        <f aca="false">IF('06_CONSTRUCTION'!AI5&gt;=1,1/(1+'18_DEBT'!$C$11)^'06_CONSTRUCTION'!AI5,0)</f>
        <v>0</v>
      </c>
      <c r="AJ19" s="63" t="n">
        <f aca="false">IF('06_CONSTRUCTION'!AJ5&gt;=1,1/(1+'18_DEBT'!$C$11)^'06_CONSTRUCTION'!AJ5,0)</f>
        <v>0</v>
      </c>
      <c r="AK19" s="63" t="n">
        <f aca="false">IF('06_CONSTRUCTION'!AK5&gt;=1,1/(1+'18_DEBT'!$C$11)^'06_CONSTRUCTION'!AK5,0)</f>
        <v>0</v>
      </c>
      <c r="AL19" s="63" t="n">
        <f aca="false">IF('06_CONSTRUCTION'!AL5&gt;=1,1/(1+'18_DEBT'!$C$11)^'06_CONSTRUCTION'!AL5,0)</f>
        <v>0</v>
      </c>
      <c r="AM19" s="63" t="n">
        <f aca="false">IF('06_CONSTRUCTION'!AM5&gt;=1,1/(1+'18_DEBT'!$C$11)^'06_CONSTRUCTION'!AM5,0)</f>
        <v>0</v>
      </c>
      <c r="AN19" s="63" t="n">
        <f aca="false">IF('06_CONSTRUCTION'!AN5&gt;=1,1/(1+'18_DEBT'!$C$11)^'06_CONSTRUCTION'!AN5,0)</f>
        <v>0</v>
      </c>
      <c r="AO19" s="63" t="n">
        <f aca="false">IF('06_CONSTRUCTION'!AO5&gt;=1,1/(1+'18_DEBT'!$C$11)^'06_CONSTRUCTION'!AO5,0)</f>
        <v>0</v>
      </c>
      <c r="AP19" s="63" t="n">
        <f aca="false">IF('06_CONSTRUCTION'!AP5&gt;=1,1/(1+'18_DEBT'!$C$11)^'06_CONSTRUCTION'!AP5,0)</f>
        <v>0</v>
      </c>
      <c r="AQ19" s="63" t="n">
        <f aca="false">IF('06_CONSTRUCTION'!AQ5&gt;=1,1/(1+'18_DEBT'!$C$11)^'06_CONSTRUCTION'!AQ5,0)</f>
        <v>0</v>
      </c>
      <c r="AR19" s="63" t="n">
        <f aca="false">IF('06_CONSTRUCTION'!AR5&gt;=1,1/(1+'18_DEBT'!$C$11)^'06_CONSTRUCTION'!AR5,0)</f>
        <v>0</v>
      </c>
    </row>
    <row r="20" customFormat="false" ht="15" hidden="false" customHeight="true" outlineLevel="0" collapsed="false">
      <c r="A20" s="23" t="s">
        <v>877</v>
      </c>
      <c r="B20" s="23" t="s">
        <v>93</v>
      </c>
      <c r="C20" s="99" t="n">
        <f aca="false">IFERROR(('17_PROJECT_FINANCE'!$C$16*'17A_STRUCTURES'!$C$17+'17_PROJECT_FINANCE'!$C$17*'18_DEBT'!$C$11)/('17_PROJECT_FINANCE'!$C$16+'17_PROJECT_FINANCE'!$C$17),'18_DEBT'!$C$11)</f>
        <v>0.08</v>
      </c>
    </row>
    <row r="21" customFormat="false" ht="15" hidden="false" customHeight="true" outlineLevel="0" collapsed="false">
      <c r="A21" s="23" t="s">
        <v>878</v>
      </c>
      <c r="B21" s="23" t="s">
        <v>386</v>
      </c>
      <c r="E21" s="69" t="n">
        <f aca="false">IF(AND('06_CONSTRUCTION'!E5&gt;=1,'06_CONSTRUCTION'!E5&lt;=MAX('17A_STRUCTURES'!$C$21,IF('17_PROJECT_FINANCE'!$C$16&gt;0,'17A_STRUCTURES'!$C$18+'17A_STRUCTURES'!$C$19,0))),1,0)</f>
        <v>0</v>
      </c>
      <c r="F21" s="69" t="n">
        <f aca="false">IF(AND('06_CONSTRUCTION'!F5&gt;=1,'06_CONSTRUCTION'!F5&lt;=MAX('17A_STRUCTURES'!$C$21,IF('17_PROJECT_FINANCE'!$C$16&gt;0,'17A_STRUCTURES'!$C$18+'17A_STRUCTURES'!$C$19,0))),1,0)</f>
        <v>0</v>
      </c>
      <c r="G21" s="69" t="n">
        <f aca="false">IF(AND('06_CONSTRUCTION'!G5&gt;=1,'06_CONSTRUCTION'!G5&lt;=MAX('17A_STRUCTURES'!$C$21,IF('17_PROJECT_FINANCE'!$C$16&gt;0,'17A_STRUCTURES'!$C$18+'17A_STRUCTURES'!$C$19,0))),1,0)</f>
        <v>0</v>
      </c>
      <c r="H21" s="69" t="n">
        <f aca="false">IF(AND('06_CONSTRUCTION'!H5&gt;=1,'06_CONSTRUCTION'!H5&lt;=MAX('17A_STRUCTURES'!$C$21,IF('17_PROJECT_FINANCE'!$C$16&gt;0,'17A_STRUCTURES'!$C$18+'17A_STRUCTURES'!$C$19,0))),1,0)</f>
        <v>1</v>
      </c>
      <c r="I21" s="69" t="n">
        <f aca="false">IF(AND('06_CONSTRUCTION'!I5&gt;=1,'06_CONSTRUCTION'!I5&lt;=MAX('17A_STRUCTURES'!$C$21,IF('17_PROJECT_FINANCE'!$C$16&gt;0,'17A_STRUCTURES'!$C$18+'17A_STRUCTURES'!$C$19,0))),1,0)</f>
        <v>1</v>
      </c>
      <c r="J21" s="69" t="n">
        <f aca="false">IF(AND('06_CONSTRUCTION'!J5&gt;=1,'06_CONSTRUCTION'!J5&lt;=MAX('17A_STRUCTURES'!$C$21,IF('17_PROJECT_FINANCE'!$C$16&gt;0,'17A_STRUCTURES'!$C$18+'17A_STRUCTURES'!$C$19,0))),1,0)</f>
        <v>1</v>
      </c>
      <c r="K21" s="69" t="n">
        <f aca="false">IF(AND('06_CONSTRUCTION'!K5&gt;=1,'06_CONSTRUCTION'!K5&lt;=MAX('17A_STRUCTURES'!$C$21,IF('17_PROJECT_FINANCE'!$C$16&gt;0,'17A_STRUCTURES'!$C$18+'17A_STRUCTURES'!$C$19,0))),1,0)</f>
        <v>1</v>
      </c>
      <c r="L21" s="69" t="n">
        <f aca="false">IF(AND('06_CONSTRUCTION'!L5&gt;=1,'06_CONSTRUCTION'!L5&lt;=MAX('17A_STRUCTURES'!$C$21,IF('17_PROJECT_FINANCE'!$C$16&gt;0,'17A_STRUCTURES'!$C$18+'17A_STRUCTURES'!$C$19,0))),1,0)</f>
        <v>1</v>
      </c>
      <c r="M21" s="69" t="n">
        <f aca="false">IF(AND('06_CONSTRUCTION'!M5&gt;=1,'06_CONSTRUCTION'!M5&lt;=MAX('17A_STRUCTURES'!$C$21,IF('17_PROJECT_FINANCE'!$C$16&gt;0,'17A_STRUCTURES'!$C$18+'17A_STRUCTURES'!$C$19,0))),1,0)</f>
        <v>1</v>
      </c>
      <c r="N21" s="69" t="n">
        <f aca="false">IF(AND('06_CONSTRUCTION'!N5&gt;=1,'06_CONSTRUCTION'!N5&lt;=MAX('17A_STRUCTURES'!$C$21,IF('17_PROJECT_FINANCE'!$C$16&gt;0,'17A_STRUCTURES'!$C$18+'17A_STRUCTURES'!$C$19,0))),1,0)</f>
        <v>1</v>
      </c>
      <c r="O21" s="69" t="n">
        <f aca="false">IF(AND('06_CONSTRUCTION'!O5&gt;=1,'06_CONSTRUCTION'!O5&lt;=MAX('17A_STRUCTURES'!$C$21,IF('17_PROJECT_FINANCE'!$C$16&gt;0,'17A_STRUCTURES'!$C$18+'17A_STRUCTURES'!$C$19,0))),1,0)</f>
        <v>1</v>
      </c>
      <c r="P21" s="69" t="n">
        <f aca="false">IF(AND('06_CONSTRUCTION'!P5&gt;=1,'06_CONSTRUCTION'!P5&lt;=MAX('17A_STRUCTURES'!$C$21,IF('17_PROJECT_FINANCE'!$C$16&gt;0,'17A_STRUCTURES'!$C$18+'17A_STRUCTURES'!$C$19,0))),1,0)</f>
        <v>1</v>
      </c>
      <c r="Q21" s="69" t="n">
        <f aca="false">IF(AND('06_CONSTRUCTION'!Q5&gt;=1,'06_CONSTRUCTION'!Q5&lt;=MAX('17A_STRUCTURES'!$C$21,IF('17_PROJECT_FINANCE'!$C$16&gt;0,'17A_STRUCTURES'!$C$18+'17A_STRUCTURES'!$C$19,0))),1,0)</f>
        <v>1</v>
      </c>
      <c r="R21" s="69" t="n">
        <f aca="false">IF(AND('06_CONSTRUCTION'!R5&gt;=1,'06_CONSTRUCTION'!R5&lt;=MAX('17A_STRUCTURES'!$C$21,IF('17_PROJECT_FINANCE'!$C$16&gt;0,'17A_STRUCTURES'!$C$18+'17A_STRUCTURES'!$C$19,0))),1,0)</f>
        <v>1</v>
      </c>
      <c r="S21" s="69" t="n">
        <f aca="false">IF(AND('06_CONSTRUCTION'!S5&gt;=1,'06_CONSTRUCTION'!S5&lt;=MAX('17A_STRUCTURES'!$C$21,IF('17_PROJECT_FINANCE'!$C$16&gt;0,'17A_STRUCTURES'!$C$18+'17A_STRUCTURES'!$C$19,0))),1,0)</f>
        <v>1</v>
      </c>
      <c r="T21" s="69" t="n">
        <f aca="false">IF(AND('06_CONSTRUCTION'!T5&gt;=1,'06_CONSTRUCTION'!T5&lt;=MAX('17A_STRUCTURES'!$C$21,IF('17_PROJECT_FINANCE'!$C$16&gt;0,'17A_STRUCTURES'!$C$18+'17A_STRUCTURES'!$C$19,0))),1,0)</f>
        <v>1</v>
      </c>
      <c r="U21" s="69" t="n">
        <f aca="false">IF(AND('06_CONSTRUCTION'!U5&gt;=1,'06_CONSTRUCTION'!U5&lt;=MAX('17A_STRUCTURES'!$C$21,IF('17_PROJECT_FINANCE'!$C$16&gt;0,'17A_STRUCTURES'!$C$18+'17A_STRUCTURES'!$C$19,0))),1,0)</f>
        <v>1</v>
      </c>
      <c r="V21" s="69" t="n">
        <f aca="false">IF(AND('06_CONSTRUCTION'!V5&gt;=1,'06_CONSTRUCTION'!V5&lt;=MAX('17A_STRUCTURES'!$C$21,IF('17_PROJECT_FINANCE'!$C$16&gt;0,'17A_STRUCTURES'!$C$18+'17A_STRUCTURES'!$C$19,0))),1,0)</f>
        <v>1</v>
      </c>
      <c r="W21" s="69" t="n">
        <f aca="false">IF(AND('06_CONSTRUCTION'!W5&gt;=1,'06_CONSTRUCTION'!W5&lt;=MAX('17A_STRUCTURES'!$C$21,IF('17_PROJECT_FINANCE'!$C$16&gt;0,'17A_STRUCTURES'!$C$18+'17A_STRUCTURES'!$C$19,0))),1,0)</f>
        <v>1</v>
      </c>
      <c r="X21" s="69" t="n">
        <f aca="false">IF(AND('06_CONSTRUCTION'!X5&gt;=1,'06_CONSTRUCTION'!X5&lt;=MAX('17A_STRUCTURES'!$C$21,IF('17_PROJECT_FINANCE'!$C$16&gt;0,'17A_STRUCTURES'!$C$18+'17A_STRUCTURES'!$C$19,0))),1,0)</f>
        <v>0</v>
      </c>
      <c r="Y21" s="69" t="n">
        <f aca="false">IF(AND('06_CONSTRUCTION'!Y5&gt;=1,'06_CONSTRUCTION'!Y5&lt;=MAX('17A_STRUCTURES'!$C$21,IF('17_PROJECT_FINANCE'!$C$16&gt;0,'17A_STRUCTURES'!$C$18+'17A_STRUCTURES'!$C$19,0))),1,0)</f>
        <v>0</v>
      </c>
      <c r="Z21" s="69" t="n">
        <f aca="false">IF(AND('06_CONSTRUCTION'!Z5&gt;=1,'06_CONSTRUCTION'!Z5&lt;=MAX('17A_STRUCTURES'!$C$21,IF('17_PROJECT_FINANCE'!$C$16&gt;0,'17A_STRUCTURES'!$C$18+'17A_STRUCTURES'!$C$19,0))),1,0)</f>
        <v>0</v>
      </c>
      <c r="AA21" s="69" t="n">
        <f aca="false">IF(AND('06_CONSTRUCTION'!AA5&gt;=1,'06_CONSTRUCTION'!AA5&lt;=MAX('17A_STRUCTURES'!$C$21,IF('17_PROJECT_FINANCE'!$C$16&gt;0,'17A_STRUCTURES'!$C$18+'17A_STRUCTURES'!$C$19,0))),1,0)</f>
        <v>0</v>
      </c>
      <c r="AB21" s="69" t="n">
        <f aca="false">IF(AND('06_CONSTRUCTION'!AB5&gt;=1,'06_CONSTRUCTION'!AB5&lt;=MAX('17A_STRUCTURES'!$C$21,IF('17_PROJECT_FINANCE'!$C$16&gt;0,'17A_STRUCTURES'!$C$18+'17A_STRUCTURES'!$C$19,0))),1,0)</f>
        <v>0</v>
      </c>
      <c r="AC21" s="69" t="n">
        <f aca="false">IF(AND('06_CONSTRUCTION'!AC5&gt;=1,'06_CONSTRUCTION'!AC5&lt;=MAX('17A_STRUCTURES'!$C$21,IF('17_PROJECT_FINANCE'!$C$16&gt;0,'17A_STRUCTURES'!$C$18+'17A_STRUCTURES'!$C$19,0))),1,0)</f>
        <v>0</v>
      </c>
      <c r="AD21" s="69" t="n">
        <f aca="false">IF(AND('06_CONSTRUCTION'!AD5&gt;=1,'06_CONSTRUCTION'!AD5&lt;=MAX('17A_STRUCTURES'!$C$21,IF('17_PROJECT_FINANCE'!$C$16&gt;0,'17A_STRUCTURES'!$C$18+'17A_STRUCTURES'!$C$19,0))),1,0)</f>
        <v>0</v>
      </c>
      <c r="AE21" s="69" t="n">
        <f aca="false">IF(AND('06_CONSTRUCTION'!AE5&gt;=1,'06_CONSTRUCTION'!AE5&lt;=MAX('17A_STRUCTURES'!$C$21,IF('17_PROJECT_FINANCE'!$C$16&gt;0,'17A_STRUCTURES'!$C$18+'17A_STRUCTURES'!$C$19,0))),1,0)</f>
        <v>0</v>
      </c>
      <c r="AF21" s="69" t="n">
        <f aca="false">IF(AND('06_CONSTRUCTION'!AF5&gt;=1,'06_CONSTRUCTION'!AF5&lt;=MAX('17A_STRUCTURES'!$C$21,IF('17_PROJECT_FINANCE'!$C$16&gt;0,'17A_STRUCTURES'!$C$18+'17A_STRUCTURES'!$C$19,0))),1,0)</f>
        <v>0</v>
      </c>
      <c r="AG21" s="69" t="n">
        <f aca="false">IF(AND('06_CONSTRUCTION'!AG5&gt;=1,'06_CONSTRUCTION'!AG5&lt;=MAX('17A_STRUCTURES'!$C$21,IF('17_PROJECT_FINANCE'!$C$16&gt;0,'17A_STRUCTURES'!$C$18+'17A_STRUCTURES'!$C$19,0))),1,0)</f>
        <v>0</v>
      </c>
      <c r="AH21" s="69" t="n">
        <f aca="false">IF(AND('06_CONSTRUCTION'!AH5&gt;=1,'06_CONSTRUCTION'!AH5&lt;=MAX('17A_STRUCTURES'!$C$21,IF('17_PROJECT_FINANCE'!$C$16&gt;0,'17A_STRUCTURES'!$C$18+'17A_STRUCTURES'!$C$19,0))),1,0)</f>
        <v>0</v>
      </c>
      <c r="AI21" s="69" t="n">
        <f aca="false">IF(AND('06_CONSTRUCTION'!AI5&gt;=1,'06_CONSTRUCTION'!AI5&lt;=MAX('17A_STRUCTURES'!$C$21,IF('17_PROJECT_FINANCE'!$C$16&gt;0,'17A_STRUCTURES'!$C$18+'17A_STRUCTURES'!$C$19,0))),1,0)</f>
        <v>0</v>
      </c>
      <c r="AJ21" s="69" t="n">
        <f aca="false">IF(AND('06_CONSTRUCTION'!AJ5&gt;=1,'06_CONSTRUCTION'!AJ5&lt;=MAX('17A_STRUCTURES'!$C$21,IF('17_PROJECT_FINANCE'!$C$16&gt;0,'17A_STRUCTURES'!$C$18+'17A_STRUCTURES'!$C$19,0))),1,0)</f>
        <v>0</v>
      </c>
      <c r="AK21" s="69" t="n">
        <f aca="false">IF(AND('06_CONSTRUCTION'!AK5&gt;=1,'06_CONSTRUCTION'!AK5&lt;=MAX('17A_STRUCTURES'!$C$21,IF('17_PROJECT_FINANCE'!$C$16&gt;0,'17A_STRUCTURES'!$C$18+'17A_STRUCTURES'!$C$19,0))),1,0)</f>
        <v>0</v>
      </c>
      <c r="AL21" s="69" t="n">
        <f aca="false">IF(AND('06_CONSTRUCTION'!AL5&gt;=1,'06_CONSTRUCTION'!AL5&lt;=MAX('17A_STRUCTURES'!$C$21,IF('17_PROJECT_FINANCE'!$C$16&gt;0,'17A_STRUCTURES'!$C$18+'17A_STRUCTURES'!$C$19,0))),1,0)</f>
        <v>0</v>
      </c>
      <c r="AM21" s="69" t="n">
        <f aca="false">IF(AND('06_CONSTRUCTION'!AM5&gt;=1,'06_CONSTRUCTION'!AM5&lt;=MAX('17A_STRUCTURES'!$C$21,IF('17_PROJECT_FINANCE'!$C$16&gt;0,'17A_STRUCTURES'!$C$18+'17A_STRUCTURES'!$C$19,0))),1,0)</f>
        <v>0</v>
      </c>
      <c r="AN21" s="69" t="n">
        <f aca="false">IF(AND('06_CONSTRUCTION'!AN5&gt;=1,'06_CONSTRUCTION'!AN5&lt;=MAX('17A_STRUCTURES'!$C$21,IF('17_PROJECT_FINANCE'!$C$16&gt;0,'17A_STRUCTURES'!$C$18+'17A_STRUCTURES'!$C$19,0))),1,0)</f>
        <v>0</v>
      </c>
      <c r="AO21" s="69" t="n">
        <f aca="false">IF(AND('06_CONSTRUCTION'!AO5&gt;=1,'06_CONSTRUCTION'!AO5&lt;=MAX('17A_STRUCTURES'!$C$21,IF('17_PROJECT_FINANCE'!$C$16&gt;0,'17A_STRUCTURES'!$C$18+'17A_STRUCTURES'!$C$19,0))),1,0)</f>
        <v>0</v>
      </c>
      <c r="AP21" s="69" t="n">
        <f aca="false">IF(AND('06_CONSTRUCTION'!AP5&gt;=1,'06_CONSTRUCTION'!AP5&lt;=MAX('17A_STRUCTURES'!$C$21,IF('17_PROJECT_FINANCE'!$C$16&gt;0,'17A_STRUCTURES'!$C$18+'17A_STRUCTURES'!$C$19,0))),1,0)</f>
        <v>0</v>
      </c>
      <c r="AQ21" s="69" t="n">
        <f aca="false">IF(AND('06_CONSTRUCTION'!AQ5&gt;=1,'06_CONSTRUCTION'!AQ5&lt;=MAX('17A_STRUCTURES'!$C$21,IF('17_PROJECT_FINANCE'!$C$16&gt;0,'17A_STRUCTURES'!$C$18+'17A_STRUCTURES'!$C$19,0))),1,0)</f>
        <v>0</v>
      </c>
      <c r="AR21" s="69" t="n">
        <f aca="false">IF(AND('06_CONSTRUCTION'!AR5&gt;=1,'06_CONSTRUCTION'!AR5&lt;=MAX('17A_STRUCTURES'!$C$21,IF('17_PROJECT_FINANCE'!$C$16&gt;0,'17A_STRUCTURES'!$C$18+'17A_STRUCTURES'!$C$19,0))),1,0)</f>
        <v>0</v>
      </c>
    </row>
    <row r="22" customFormat="false" ht="15" hidden="false" customHeight="true" outlineLevel="0" collapsed="false">
      <c r="A22" s="23" t="s">
        <v>879</v>
      </c>
      <c r="B22" s="23" t="s">
        <v>119</v>
      </c>
      <c r="E22" s="63" t="n">
        <f aca="false">IF('06_CONSTRUCTION'!E5&gt;=1,1/(1+'18_DEBT'!$C$20)^'06_CONSTRUCTION'!E5,0)</f>
        <v>0</v>
      </c>
      <c r="F22" s="63" t="n">
        <f aca="false">IF('06_CONSTRUCTION'!F5&gt;=1,1/(1+'18_DEBT'!$C$20)^'06_CONSTRUCTION'!F5,0)</f>
        <v>0</v>
      </c>
      <c r="G22" s="63" t="n">
        <f aca="false">IF('06_CONSTRUCTION'!G5&gt;=1,1/(1+'18_DEBT'!$C$20)^'06_CONSTRUCTION'!G5,0)</f>
        <v>0</v>
      </c>
      <c r="H22" s="63" t="n">
        <f aca="false">IF('06_CONSTRUCTION'!H5&gt;=1,1/(1+'18_DEBT'!$C$20)^'06_CONSTRUCTION'!H5,0)</f>
        <v>0.925925925925926</v>
      </c>
      <c r="I22" s="63" t="n">
        <f aca="false">IF('06_CONSTRUCTION'!I5&gt;=1,1/(1+'18_DEBT'!$C$20)^'06_CONSTRUCTION'!I5,0)</f>
        <v>0.857338820301783</v>
      </c>
      <c r="J22" s="63" t="n">
        <f aca="false">IF('06_CONSTRUCTION'!J5&gt;=1,1/(1+'18_DEBT'!$C$20)^'06_CONSTRUCTION'!J5,0)</f>
        <v>0.79383224102017</v>
      </c>
      <c r="K22" s="63" t="n">
        <f aca="false">IF('06_CONSTRUCTION'!K5&gt;=1,1/(1+'18_DEBT'!$C$20)^'06_CONSTRUCTION'!K5,0)</f>
        <v>0.735029852796453</v>
      </c>
      <c r="L22" s="63" t="n">
        <f aca="false">IF('06_CONSTRUCTION'!L5&gt;=1,1/(1+'18_DEBT'!$C$20)^'06_CONSTRUCTION'!L5,0)</f>
        <v>0.680583197033753</v>
      </c>
      <c r="M22" s="63" t="n">
        <f aca="false">IF('06_CONSTRUCTION'!M5&gt;=1,1/(1+'18_DEBT'!$C$20)^'06_CONSTRUCTION'!M5,0)</f>
        <v>0.630169626883105</v>
      </c>
      <c r="N22" s="63" t="n">
        <f aca="false">IF('06_CONSTRUCTION'!N5&gt;=1,1/(1+'18_DEBT'!$C$20)^'06_CONSTRUCTION'!N5,0)</f>
        <v>0.583490395262134</v>
      </c>
      <c r="O22" s="63" t="n">
        <f aca="false">IF('06_CONSTRUCTION'!O5&gt;=1,1/(1+'18_DEBT'!$C$20)^'06_CONSTRUCTION'!O5,0)</f>
        <v>0.540268884501976</v>
      </c>
      <c r="P22" s="63" t="n">
        <f aca="false">IF('06_CONSTRUCTION'!P5&gt;=1,1/(1+'18_DEBT'!$C$20)^'06_CONSTRUCTION'!P5,0)</f>
        <v>0.500248967131459</v>
      </c>
      <c r="Q22" s="63" t="n">
        <f aca="false">IF('06_CONSTRUCTION'!Q5&gt;=1,1/(1+'18_DEBT'!$C$20)^'06_CONSTRUCTION'!Q5,0)</f>
        <v>0.463193488084684</v>
      </c>
      <c r="R22" s="63" t="n">
        <f aca="false">IF('06_CONSTRUCTION'!R5&gt;=1,1/(1+'18_DEBT'!$C$20)^'06_CONSTRUCTION'!R5,0)</f>
        <v>0.428882859337671</v>
      </c>
      <c r="S22" s="63" t="n">
        <f aca="false">IF('06_CONSTRUCTION'!S5&gt;=1,1/(1+'18_DEBT'!$C$20)^'06_CONSTRUCTION'!S5,0)</f>
        <v>0.397113758645991</v>
      </c>
      <c r="T22" s="63" t="n">
        <f aca="false">IF('06_CONSTRUCTION'!T5&gt;=1,1/(1+'18_DEBT'!$C$20)^'06_CONSTRUCTION'!T5,0)</f>
        <v>0.367697924672214</v>
      </c>
      <c r="U22" s="63" t="n">
        <f aca="false">IF('06_CONSTRUCTION'!U5&gt;=1,1/(1+'18_DEBT'!$C$20)^'06_CONSTRUCTION'!U5,0)</f>
        <v>0.340461041363161</v>
      </c>
      <c r="V22" s="63" t="n">
        <f aca="false">IF('06_CONSTRUCTION'!V5&gt;=1,1/(1+'18_DEBT'!$C$20)^'06_CONSTRUCTION'!V5,0)</f>
        <v>0.31524170496589</v>
      </c>
      <c r="W22" s="63" t="n">
        <f aca="false">IF('06_CONSTRUCTION'!W5&gt;=1,1/(1+'18_DEBT'!$C$20)^'06_CONSTRUCTION'!W5,0)</f>
        <v>0.291890467561009</v>
      </c>
      <c r="X22" s="63" t="n">
        <f aca="false">IF('06_CONSTRUCTION'!X5&gt;=1,1/(1+'18_DEBT'!$C$20)^'06_CONSTRUCTION'!X5,0)</f>
        <v>0.270268951445379</v>
      </c>
      <c r="Y22" s="63" t="n">
        <f aca="false">IF('06_CONSTRUCTION'!Y5&gt;=1,1/(1+'18_DEBT'!$C$20)^'06_CONSTRUCTION'!Y5,0)</f>
        <v>0.250249029116092</v>
      </c>
      <c r="Z22" s="63" t="n">
        <f aca="false">IF('06_CONSTRUCTION'!Z5&gt;=1,1/(1+'18_DEBT'!$C$20)^'06_CONSTRUCTION'!Z5,0)</f>
        <v>0.231712063996381</v>
      </c>
      <c r="AA22" s="63" t="n">
        <f aca="false">IF('06_CONSTRUCTION'!AA5&gt;=1,1/(1+'18_DEBT'!$C$20)^'06_CONSTRUCTION'!AA5,0)</f>
        <v>0.214548207404056</v>
      </c>
      <c r="AB22" s="63" t="n">
        <f aca="false">IF('06_CONSTRUCTION'!AB5&gt;=1,1/(1+'18_DEBT'!$C$20)^'06_CONSTRUCTION'!AB5,0)</f>
        <v>0.198655747596349</v>
      </c>
      <c r="AC22" s="63" t="n">
        <f aca="false">IF('06_CONSTRUCTION'!AC5&gt;=1,1/(1+'18_DEBT'!$C$20)^'06_CONSTRUCTION'!AC5,0)</f>
        <v>0.183940507033656</v>
      </c>
      <c r="AD22" s="63" t="n">
        <f aca="false">IF('06_CONSTRUCTION'!AD5&gt;=1,1/(1+'18_DEBT'!$C$20)^'06_CONSTRUCTION'!AD5,0)</f>
        <v>0.170315284290422</v>
      </c>
      <c r="AE22" s="63" t="n">
        <f aca="false">IF('06_CONSTRUCTION'!AE5&gt;=1,1/(1+'18_DEBT'!$C$20)^'06_CONSTRUCTION'!AE5,0)</f>
        <v>0.157699337305947</v>
      </c>
      <c r="AF22" s="63" t="n">
        <f aca="false">IF('06_CONSTRUCTION'!AF5&gt;=1,1/(1+'18_DEBT'!$C$20)^'06_CONSTRUCTION'!AF5,0)</f>
        <v>0.146017904912913</v>
      </c>
      <c r="AG22" s="63" t="n">
        <f aca="false">IF('06_CONSTRUCTION'!AG5&gt;=1,1/(1+'18_DEBT'!$C$20)^'06_CONSTRUCTION'!AG5,0)</f>
        <v>0</v>
      </c>
      <c r="AH22" s="63" t="n">
        <f aca="false">IF('06_CONSTRUCTION'!AH5&gt;=1,1/(1+'18_DEBT'!$C$20)^'06_CONSTRUCTION'!AH5,0)</f>
        <v>0</v>
      </c>
      <c r="AI22" s="63" t="n">
        <f aca="false">IF('06_CONSTRUCTION'!AI5&gt;=1,1/(1+'18_DEBT'!$C$20)^'06_CONSTRUCTION'!AI5,0)</f>
        <v>0</v>
      </c>
      <c r="AJ22" s="63" t="n">
        <f aca="false">IF('06_CONSTRUCTION'!AJ5&gt;=1,1/(1+'18_DEBT'!$C$20)^'06_CONSTRUCTION'!AJ5,0)</f>
        <v>0</v>
      </c>
      <c r="AK22" s="63" t="n">
        <f aca="false">IF('06_CONSTRUCTION'!AK5&gt;=1,1/(1+'18_DEBT'!$C$20)^'06_CONSTRUCTION'!AK5,0)</f>
        <v>0</v>
      </c>
      <c r="AL22" s="63" t="n">
        <f aca="false">IF('06_CONSTRUCTION'!AL5&gt;=1,1/(1+'18_DEBT'!$C$20)^'06_CONSTRUCTION'!AL5,0)</f>
        <v>0</v>
      </c>
      <c r="AM22" s="63" t="n">
        <f aca="false">IF('06_CONSTRUCTION'!AM5&gt;=1,1/(1+'18_DEBT'!$C$20)^'06_CONSTRUCTION'!AM5,0)</f>
        <v>0</v>
      </c>
      <c r="AN22" s="63" t="n">
        <f aca="false">IF('06_CONSTRUCTION'!AN5&gt;=1,1/(1+'18_DEBT'!$C$20)^'06_CONSTRUCTION'!AN5,0)</f>
        <v>0</v>
      </c>
      <c r="AO22" s="63" t="n">
        <f aca="false">IF('06_CONSTRUCTION'!AO5&gt;=1,1/(1+'18_DEBT'!$C$20)^'06_CONSTRUCTION'!AO5,0)</f>
        <v>0</v>
      </c>
      <c r="AP22" s="63" t="n">
        <f aca="false">IF('06_CONSTRUCTION'!AP5&gt;=1,1/(1+'18_DEBT'!$C$20)^'06_CONSTRUCTION'!AP5,0)</f>
        <v>0</v>
      </c>
      <c r="AQ22" s="63" t="n">
        <f aca="false">IF('06_CONSTRUCTION'!AQ5&gt;=1,1/(1+'18_DEBT'!$C$20)^'06_CONSTRUCTION'!AQ5,0)</f>
        <v>0</v>
      </c>
      <c r="AR22" s="63" t="n">
        <f aca="false">IF('06_CONSTRUCTION'!AR5&gt;=1,1/(1+'18_DEBT'!$C$20)^'06_CONSTRUCTION'!AR5,0)</f>
        <v>0</v>
      </c>
    </row>
    <row r="23" customFormat="false" ht="15" hidden="false" customHeight="true" outlineLevel="0" collapsed="false">
      <c r="A23" s="23" t="s">
        <v>880</v>
      </c>
      <c r="B23" s="23" t="s">
        <v>121</v>
      </c>
      <c r="C23" s="58" t="n">
        <f aca="false">SUM('18_DEBT'!$E$23:$AR$23)</f>
        <v>264.715240174087</v>
      </c>
      <c r="E23" s="58" t="n">
        <f aca="false">'18_DEBT'!E18*MAX(0,'18_DEBT'!E17/'17A_STRUCTURES'!$C$22-'18_DEBT'!E30)</f>
        <v>0</v>
      </c>
      <c r="F23" s="58" t="n">
        <f aca="false">'18_DEBT'!F18*MAX(0,'18_DEBT'!F17/'17A_STRUCTURES'!$C$22-'18_DEBT'!F30)</f>
        <v>0</v>
      </c>
      <c r="G23" s="58" t="n">
        <f aca="false">'18_DEBT'!G18*MAX(0,'18_DEBT'!G17/'17A_STRUCTURES'!$C$22-'18_DEBT'!G30)</f>
        <v>0</v>
      </c>
      <c r="H23" s="58" t="n">
        <f aca="false">'18_DEBT'!H18*MAX(0,'18_DEBT'!H17/'17A_STRUCTURES'!$C$22-'18_DEBT'!H30)</f>
        <v>14.8772458293985</v>
      </c>
      <c r="I23" s="58" t="n">
        <f aca="false">'18_DEBT'!I18*MAX(0,'18_DEBT'!I17/'17A_STRUCTURES'!$C$22-'18_DEBT'!I30)</f>
        <v>18.3794288562502</v>
      </c>
      <c r="J23" s="58" t="n">
        <f aca="false">'18_DEBT'!J18*MAX(0,'18_DEBT'!J17/'17A_STRUCTURES'!$C$22-'18_DEBT'!J30)</f>
        <v>18.5244686613091</v>
      </c>
      <c r="K23" s="58" t="n">
        <f aca="false">'18_DEBT'!K18*MAX(0,'18_DEBT'!K17/'17A_STRUCTURES'!$C$22-'18_DEBT'!K30)</f>
        <v>18.6724092624691</v>
      </c>
      <c r="L23" s="58" t="n">
        <f aca="false">'18_DEBT'!L18*MAX(0,'18_DEBT'!L17/'17A_STRUCTURES'!$C$22-'18_DEBT'!L30)</f>
        <v>18.8233086756524</v>
      </c>
      <c r="M23" s="58" t="n">
        <f aca="false">'18_DEBT'!M18*MAX(0,'18_DEBT'!M17/'17A_STRUCTURES'!$C$22-'18_DEBT'!M30)</f>
        <v>15.3651328659487</v>
      </c>
      <c r="N23" s="58" t="n">
        <f aca="false">'18_DEBT'!N18*MAX(0,'18_DEBT'!N17/'17A_STRUCTURES'!$C$22-'18_DEBT'!N30)</f>
        <v>15.4750298905818</v>
      </c>
      <c r="O23" s="58" t="n">
        <f aca="false">'18_DEBT'!O18*MAX(0,'18_DEBT'!O17/'17A_STRUCTURES'!$C$22-'18_DEBT'!O30)</f>
        <v>15.5871248557076</v>
      </c>
      <c r="P23" s="58" t="n">
        <f aca="false">'18_DEBT'!P18*MAX(0,'18_DEBT'!P17/'17A_STRUCTURES'!$C$22-'18_DEBT'!P30)</f>
        <v>15.7014617201359</v>
      </c>
      <c r="Q23" s="58" t="n">
        <f aca="false">'18_DEBT'!Q18*MAX(0,'18_DEBT'!Q17/'17A_STRUCTURES'!$C$22-'18_DEBT'!Q30)</f>
        <v>15.8180853218527</v>
      </c>
      <c r="R23" s="58" t="n">
        <f aca="false">'18_DEBT'!R18*MAX(0,'18_DEBT'!R17/'17A_STRUCTURES'!$C$22-'18_DEBT'!R30)</f>
        <v>15.9370413956039</v>
      </c>
      <c r="S23" s="58" t="n">
        <f aca="false">'18_DEBT'!S18*MAX(0,'18_DEBT'!S17/'17A_STRUCTURES'!$C$22-'18_DEBT'!S30)</f>
        <v>16.0583765908301</v>
      </c>
      <c r="T23" s="58" t="n">
        <f aca="false">'18_DEBT'!T18*MAX(0,'18_DEBT'!T17/'17A_STRUCTURES'!$C$22-'18_DEBT'!T30)</f>
        <v>16.1821384899609</v>
      </c>
      <c r="U23" s="58" t="n">
        <f aca="false">'18_DEBT'!U18*MAX(0,'18_DEBT'!U17/'17A_STRUCTURES'!$C$22-'18_DEBT'!U30)</f>
        <v>16.3083756270742</v>
      </c>
      <c r="V23" s="58" t="n">
        <f aca="false">'18_DEBT'!V18*MAX(0,'18_DEBT'!V17/'17A_STRUCTURES'!$C$22-'18_DEBT'!V30)</f>
        <v>16.4371375069298</v>
      </c>
      <c r="W23" s="58" t="n">
        <f aca="false">'18_DEBT'!W18*MAX(0,'18_DEBT'!W17/'17A_STRUCTURES'!$C$22-'18_DEBT'!W30)</f>
        <v>16.5684746243826</v>
      </c>
      <c r="X23" s="58" t="n">
        <f aca="false">'18_DEBT'!X18*MAX(0,'18_DEBT'!X17/'17A_STRUCTURES'!$C$22-'18_DEBT'!X30)</f>
        <v>0</v>
      </c>
      <c r="Y23" s="58" t="n">
        <f aca="false">'18_DEBT'!Y18*MAX(0,'18_DEBT'!Y17/'17A_STRUCTURES'!$C$22-'18_DEBT'!Y30)</f>
        <v>0</v>
      </c>
      <c r="Z23" s="58" t="n">
        <f aca="false">'18_DEBT'!Z18*MAX(0,'18_DEBT'!Z17/'17A_STRUCTURES'!$C$22-'18_DEBT'!Z30)</f>
        <v>0</v>
      </c>
      <c r="AA23" s="58" t="n">
        <f aca="false">'18_DEBT'!AA18*MAX(0,'18_DEBT'!AA17/'17A_STRUCTURES'!$C$22-'18_DEBT'!AA30)</f>
        <v>0</v>
      </c>
      <c r="AB23" s="58" t="n">
        <f aca="false">'18_DEBT'!AB18*MAX(0,'18_DEBT'!AB17/'17A_STRUCTURES'!$C$22-'18_DEBT'!AB30)</f>
        <v>0</v>
      </c>
      <c r="AC23" s="58" t="n">
        <f aca="false">'18_DEBT'!AC18*MAX(0,'18_DEBT'!AC17/'17A_STRUCTURES'!$C$22-'18_DEBT'!AC30)</f>
        <v>0</v>
      </c>
      <c r="AD23" s="58" t="n">
        <f aca="false">'18_DEBT'!AD18*MAX(0,'18_DEBT'!AD17/'17A_STRUCTURES'!$C$22-'18_DEBT'!AD30)</f>
        <v>0</v>
      </c>
      <c r="AE23" s="58" t="n">
        <f aca="false">'18_DEBT'!AE18*MAX(0,'18_DEBT'!AE17/'17A_STRUCTURES'!$C$22-'18_DEBT'!AE30)</f>
        <v>0</v>
      </c>
      <c r="AF23" s="58" t="n">
        <f aca="false">'18_DEBT'!AF18*MAX(0,'18_DEBT'!AF17/'17A_STRUCTURES'!$C$22-'18_DEBT'!AF30)</f>
        <v>0</v>
      </c>
      <c r="AG23" s="58" t="n">
        <f aca="false">'18_DEBT'!AG18*MAX(0,'18_DEBT'!AG17/'17A_STRUCTURES'!$C$22-'18_DEBT'!AG30)</f>
        <v>0</v>
      </c>
      <c r="AH23" s="58" t="n">
        <f aca="false">'18_DEBT'!AH18*MAX(0,'18_DEBT'!AH17/'17A_STRUCTURES'!$C$22-'18_DEBT'!AH30)</f>
        <v>0</v>
      </c>
      <c r="AI23" s="58" t="n">
        <f aca="false">'18_DEBT'!AI18*MAX(0,'18_DEBT'!AI17/'17A_STRUCTURES'!$C$22-'18_DEBT'!AI30)</f>
        <v>0</v>
      </c>
      <c r="AJ23" s="58" t="n">
        <f aca="false">'18_DEBT'!AJ18*MAX(0,'18_DEBT'!AJ17/'17A_STRUCTURES'!$C$22-'18_DEBT'!AJ30)</f>
        <v>0</v>
      </c>
      <c r="AK23" s="58" t="n">
        <f aca="false">'18_DEBT'!AK18*MAX(0,'18_DEBT'!AK17/'17A_STRUCTURES'!$C$22-'18_DEBT'!AK30)</f>
        <v>0</v>
      </c>
      <c r="AL23" s="58" t="n">
        <f aca="false">'18_DEBT'!AL18*MAX(0,'18_DEBT'!AL17/'17A_STRUCTURES'!$C$22-'18_DEBT'!AL30)</f>
        <v>0</v>
      </c>
      <c r="AM23" s="58" t="n">
        <f aca="false">'18_DEBT'!AM18*MAX(0,'18_DEBT'!AM17/'17A_STRUCTURES'!$C$22-'18_DEBT'!AM30)</f>
        <v>0</v>
      </c>
      <c r="AN23" s="58" t="n">
        <f aca="false">'18_DEBT'!AN18*MAX(0,'18_DEBT'!AN17/'17A_STRUCTURES'!$C$22-'18_DEBT'!AN30)</f>
        <v>0</v>
      </c>
      <c r="AO23" s="58" t="n">
        <f aca="false">'18_DEBT'!AO18*MAX(0,'18_DEBT'!AO17/'17A_STRUCTURES'!$C$22-'18_DEBT'!AO30)</f>
        <v>0</v>
      </c>
      <c r="AP23" s="58" t="n">
        <f aca="false">'18_DEBT'!AP18*MAX(0,'18_DEBT'!AP17/'17A_STRUCTURES'!$C$22-'18_DEBT'!AP30)</f>
        <v>0</v>
      </c>
      <c r="AQ23" s="58" t="n">
        <f aca="false">'18_DEBT'!AQ18*MAX(0,'18_DEBT'!AQ17/'17A_STRUCTURES'!$C$22-'18_DEBT'!AQ30)</f>
        <v>0</v>
      </c>
      <c r="AR23" s="58" t="n">
        <f aca="false">'18_DEBT'!AR18*MAX(0,'18_DEBT'!AR17/'17A_STRUCTURES'!$C$22-'18_DEBT'!AR30)</f>
        <v>0</v>
      </c>
    </row>
    <row r="24" customFormat="false" ht="15" hidden="false" customHeight="true" outlineLevel="0" collapsed="false">
      <c r="A24" s="21" t="s">
        <v>881</v>
      </c>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row>
    <row r="25" customFormat="false" ht="15" hidden="false" customHeight="true" outlineLevel="0" collapsed="false">
      <c r="A25" s="23" t="s">
        <v>882</v>
      </c>
      <c r="B25" s="23" t="s">
        <v>121</v>
      </c>
      <c r="E25" s="58" t="n">
        <f aca="false">'18_DEBT'!D29</f>
        <v>0</v>
      </c>
      <c r="F25" s="58" t="n">
        <f aca="false">'18_DEBT'!E29</f>
        <v>0</v>
      </c>
      <c r="G25" s="58" t="n">
        <f aca="false">'18_DEBT'!F29</f>
        <v>0</v>
      </c>
      <c r="H25" s="58" t="n">
        <f aca="false">'18_DEBT'!G29</f>
        <v>0</v>
      </c>
      <c r="I25" s="58" t="n">
        <f aca="false">'18_DEBT'!H29</f>
        <v>0</v>
      </c>
      <c r="J25" s="58" t="n">
        <f aca="false">'18_DEBT'!I29</f>
        <v>0</v>
      </c>
      <c r="K25" s="58" t="n">
        <f aca="false">'18_DEBT'!J29</f>
        <v>0</v>
      </c>
      <c r="L25" s="58" t="n">
        <f aca="false">'18_DEBT'!K29</f>
        <v>0</v>
      </c>
      <c r="M25" s="58" t="n">
        <f aca="false">'18_DEBT'!L29</f>
        <v>0</v>
      </c>
      <c r="N25" s="58" t="n">
        <f aca="false">'18_DEBT'!M29</f>
        <v>0</v>
      </c>
      <c r="O25" s="58" t="n">
        <f aca="false">'18_DEBT'!N29</f>
        <v>0</v>
      </c>
      <c r="P25" s="58" t="n">
        <f aca="false">'18_DEBT'!O29</f>
        <v>0</v>
      </c>
      <c r="Q25" s="58" t="n">
        <f aca="false">'18_DEBT'!P29</f>
        <v>0</v>
      </c>
      <c r="R25" s="58" t="n">
        <f aca="false">'18_DEBT'!Q29</f>
        <v>0</v>
      </c>
      <c r="S25" s="58" t="n">
        <f aca="false">'18_DEBT'!R29</f>
        <v>0</v>
      </c>
      <c r="T25" s="58" t="n">
        <f aca="false">'18_DEBT'!S29</f>
        <v>0</v>
      </c>
      <c r="U25" s="58" t="n">
        <f aca="false">'18_DEBT'!T29</f>
        <v>0</v>
      </c>
      <c r="V25" s="58" t="n">
        <f aca="false">'18_DEBT'!U29</f>
        <v>0</v>
      </c>
      <c r="W25" s="58" t="n">
        <f aca="false">'18_DEBT'!V29</f>
        <v>0</v>
      </c>
      <c r="X25" s="58" t="n">
        <f aca="false">'18_DEBT'!W29</f>
        <v>0</v>
      </c>
      <c r="Y25" s="58" t="n">
        <f aca="false">'18_DEBT'!X29</f>
        <v>0</v>
      </c>
      <c r="Z25" s="58" t="n">
        <f aca="false">'18_DEBT'!Y29</f>
        <v>0</v>
      </c>
      <c r="AA25" s="58" t="n">
        <f aca="false">'18_DEBT'!Z29</f>
        <v>0</v>
      </c>
      <c r="AB25" s="58" t="n">
        <f aca="false">'18_DEBT'!AA29</f>
        <v>0</v>
      </c>
      <c r="AC25" s="58" t="n">
        <f aca="false">'18_DEBT'!AB29</f>
        <v>0</v>
      </c>
      <c r="AD25" s="58" t="n">
        <f aca="false">'18_DEBT'!AC29</f>
        <v>0</v>
      </c>
      <c r="AE25" s="58" t="n">
        <f aca="false">'18_DEBT'!AD29</f>
        <v>0</v>
      </c>
      <c r="AF25" s="58" t="n">
        <f aca="false">'18_DEBT'!AE29</f>
        <v>0</v>
      </c>
      <c r="AG25" s="58" t="n">
        <f aca="false">'18_DEBT'!AF29</f>
        <v>0</v>
      </c>
      <c r="AH25" s="58" t="n">
        <f aca="false">'18_DEBT'!AG29</f>
        <v>0</v>
      </c>
      <c r="AI25" s="58" t="n">
        <f aca="false">'18_DEBT'!AH29</f>
        <v>0</v>
      </c>
      <c r="AJ25" s="58" t="n">
        <f aca="false">'18_DEBT'!AI29</f>
        <v>0</v>
      </c>
      <c r="AK25" s="58" t="n">
        <f aca="false">'18_DEBT'!AJ29</f>
        <v>0</v>
      </c>
      <c r="AL25" s="58" t="n">
        <f aca="false">'18_DEBT'!AK29</f>
        <v>0</v>
      </c>
      <c r="AM25" s="58" t="n">
        <f aca="false">'18_DEBT'!AL29</f>
        <v>0</v>
      </c>
      <c r="AN25" s="58" t="n">
        <f aca="false">'18_DEBT'!AM29</f>
        <v>0</v>
      </c>
      <c r="AO25" s="58" t="n">
        <f aca="false">'18_DEBT'!AN29</f>
        <v>0</v>
      </c>
      <c r="AP25" s="58" t="n">
        <f aca="false">'18_DEBT'!AO29</f>
        <v>0</v>
      </c>
      <c r="AQ25" s="58" t="n">
        <f aca="false">'18_DEBT'!AP29</f>
        <v>0</v>
      </c>
      <c r="AR25" s="58" t="n">
        <f aca="false">'18_DEBT'!AQ29</f>
        <v>0</v>
      </c>
    </row>
    <row r="26" customFormat="false" ht="15" hidden="false" customHeight="true" outlineLevel="0" collapsed="false">
      <c r="A26" s="23" t="s">
        <v>883</v>
      </c>
      <c r="B26" s="23" t="s">
        <v>121</v>
      </c>
      <c r="C26" s="58" t="n">
        <f aca="false">SUM('18_DEBT'!$E$26:$AR$26)</f>
        <v>0</v>
      </c>
      <c r="E26" s="58" t="n">
        <f aca="false">'17_PROJECT_FINANCE'!$C$16*'06_CONSTRUCTION'!E23</f>
        <v>0</v>
      </c>
      <c r="F26" s="58" t="n">
        <f aca="false">'17_PROJECT_FINANCE'!$C$16*'06_CONSTRUCTION'!F23</f>
        <v>0</v>
      </c>
      <c r="G26" s="58" t="n">
        <f aca="false">'17_PROJECT_FINANCE'!$C$16*'06_CONSTRUCTION'!G23</f>
        <v>0</v>
      </c>
      <c r="H26" s="58" t="n">
        <f aca="false">'17_PROJECT_FINANCE'!$C$16*'06_CONSTRUCTION'!H23</f>
        <v>0</v>
      </c>
      <c r="I26" s="58" t="n">
        <f aca="false">'17_PROJECT_FINANCE'!$C$16*'06_CONSTRUCTION'!I23</f>
        <v>0</v>
      </c>
      <c r="J26" s="58" t="n">
        <f aca="false">'17_PROJECT_FINANCE'!$C$16*'06_CONSTRUCTION'!J23</f>
        <v>0</v>
      </c>
      <c r="K26" s="58" t="n">
        <f aca="false">'17_PROJECT_FINANCE'!$C$16*'06_CONSTRUCTION'!K23</f>
        <v>0</v>
      </c>
      <c r="L26" s="58" t="n">
        <f aca="false">'17_PROJECT_FINANCE'!$C$16*'06_CONSTRUCTION'!L23</f>
        <v>0</v>
      </c>
      <c r="M26" s="58" t="n">
        <f aca="false">'17_PROJECT_FINANCE'!$C$16*'06_CONSTRUCTION'!M23</f>
        <v>0</v>
      </c>
      <c r="N26" s="58" t="n">
        <f aca="false">'17_PROJECT_FINANCE'!$C$16*'06_CONSTRUCTION'!N23</f>
        <v>0</v>
      </c>
      <c r="O26" s="58" t="n">
        <f aca="false">'17_PROJECT_FINANCE'!$C$16*'06_CONSTRUCTION'!O23</f>
        <v>0</v>
      </c>
      <c r="P26" s="58" t="n">
        <f aca="false">'17_PROJECT_FINANCE'!$C$16*'06_CONSTRUCTION'!P23</f>
        <v>0</v>
      </c>
      <c r="Q26" s="58" t="n">
        <f aca="false">'17_PROJECT_FINANCE'!$C$16*'06_CONSTRUCTION'!Q23</f>
        <v>0</v>
      </c>
      <c r="R26" s="58" t="n">
        <f aca="false">'17_PROJECT_FINANCE'!$C$16*'06_CONSTRUCTION'!R23</f>
        <v>0</v>
      </c>
      <c r="S26" s="58" t="n">
        <f aca="false">'17_PROJECT_FINANCE'!$C$16*'06_CONSTRUCTION'!S23</f>
        <v>0</v>
      </c>
      <c r="T26" s="58" t="n">
        <f aca="false">'17_PROJECT_FINANCE'!$C$16*'06_CONSTRUCTION'!T23</f>
        <v>0</v>
      </c>
      <c r="U26" s="58" t="n">
        <f aca="false">'17_PROJECT_FINANCE'!$C$16*'06_CONSTRUCTION'!U23</f>
        <v>0</v>
      </c>
      <c r="V26" s="58" t="n">
        <f aca="false">'17_PROJECT_FINANCE'!$C$16*'06_CONSTRUCTION'!V23</f>
        <v>0</v>
      </c>
      <c r="W26" s="58" t="n">
        <f aca="false">'17_PROJECT_FINANCE'!$C$16*'06_CONSTRUCTION'!W23</f>
        <v>0</v>
      </c>
      <c r="X26" s="58" t="n">
        <f aca="false">'17_PROJECT_FINANCE'!$C$16*'06_CONSTRUCTION'!X23</f>
        <v>0</v>
      </c>
      <c r="Y26" s="58" t="n">
        <f aca="false">'17_PROJECT_FINANCE'!$C$16*'06_CONSTRUCTION'!Y23</f>
        <v>0</v>
      </c>
      <c r="Z26" s="58" t="n">
        <f aca="false">'17_PROJECT_FINANCE'!$C$16*'06_CONSTRUCTION'!Z23</f>
        <v>0</v>
      </c>
      <c r="AA26" s="58" t="n">
        <f aca="false">'17_PROJECT_FINANCE'!$C$16*'06_CONSTRUCTION'!AA23</f>
        <v>0</v>
      </c>
      <c r="AB26" s="58" t="n">
        <f aca="false">'17_PROJECT_FINANCE'!$C$16*'06_CONSTRUCTION'!AB23</f>
        <v>0</v>
      </c>
      <c r="AC26" s="58" t="n">
        <f aca="false">'17_PROJECT_FINANCE'!$C$16*'06_CONSTRUCTION'!AC23</f>
        <v>0</v>
      </c>
      <c r="AD26" s="58" t="n">
        <f aca="false">'17_PROJECT_FINANCE'!$C$16*'06_CONSTRUCTION'!AD23</f>
        <v>0</v>
      </c>
      <c r="AE26" s="58" t="n">
        <f aca="false">'17_PROJECT_FINANCE'!$C$16*'06_CONSTRUCTION'!AE23</f>
        <v>0</v>
      </c>
      <c r="AF26" s="58" t="n">
        <f aca="false">'17_PROJECT_FINANCE'!$C$16*'06_CONSTRUCTION'!AF23</f>
        <v>0</v>
      </c>
      <c r="AG26" s="58" t="n">
        <f aca="false">'17_PROJECT_FINANCE'!$C$16*'06_CONSTRUCTION'!AG23</f>
        <v>0</v>
      </c>
      <c r="AH26" s="58" t="n">
        <f aca="false">'17_PROJECT_FINANCE'!$C$16*'06_CONSTRUCTION'!AH23</f>
        <v>0</v>
      </c>
      <c r="AI26" s="58" t="n">
        <f aca="false">'17_PROJECT_FINANCE'!$C$16*'06_CONSTRUCTION'!AI23</f>
        <v>0</v>
      </c>
      <c r="AJ26" s="58" t="n">
        <f aca="false">'17_PROJECT_FINANCE'!$C$16*'06_CONSTRUCTION'!AJ23</f>
        <v>0</v>
      </c>
      <c r="AK26" s="58" t="n">
        <f aca="false">'17_PROJECT_FINANCE'!$C$16*'06_CONSTRUCTION'!AK23</f>
        <v>0</v>
      </c>
      <c r="AL26" s="58" t="n">
        <f aca="false">'17_PROJECT_FINANCE'!$C$16*'06_CONSTRUCTION'!AL23</f>
        <v>0</v>
      </c>
      <c r="AM26" s="58" t="n">
        <f aca="false">'17_PROJECT_FINANCE'!$C$16*'06_CONSTRUCTION'!AM23</f>
        <v>0</v>
      </c>
      <c r="AN26" s="58" t="n">
        <f aca="false">'17_PROJECT_FINANCE'!$C$16*'06_CONSTRUCTION'!AN23</f>
        <v>0</v>
      </c>
      <c r="AO26" s="58" t="n">
        <f aca="false">'17_PROJECT_FINANCE'!$C$16*'06_CONSTRUCTION'!AO23</f>
        <v>0</v>
      </c>
      <c r="AP26" s="58" t="n">
        <f aca="false">'17_PROJECT_FINANCE'!$C$16*'06_CONSTRUCTION'!AP23</f>
        <v>0</v>
      </c>
      <c r="AQ26" s="58" t="n">
        <f aca="false">'17_PROJECT_FINANCE'!$C$16*'06_CONSTRUCTION'!AQ23</f>
        <v>0</v>
      </c>
      <c r="AR26" s="58" t="n">
        <f aca="false">'17_PROJECT_FINANCE'!$C$16*'06_CONSTRUCTION'!AR23</f>
        <v>0</v>
      </c>
    </row>
    <row r="27" customFormat="false" ht="15" hidden="false" customHeight="true" outlineLevel="0" collapsed="false">
      <c r="A27" s="23" t="s">
        <v>884</v>
      </c>
      <c r="B27" s="23" t="s">
        <v>121</v>
      </c>
      <c r="C27" s="58" t="n">
        <f aca="false">SUM('18_DEBT'!$E$27:$AR$27)</f>
        <v>0</v>
      </c>
      <c r="E27" s="58" t="n">
        <f aca="false">'17A_STRUCTURES'!$C$17*('18_DEBT'!E25+0.5*'18_DEBT'!E26*'06_CONSTRUCTION'!E13)</f>
        <v>0</v>
      </c>
      <c r="F27" s="58" t="n">
        <f aca="false">'17A_STRUCTURES'!$C$17*('18_DEBT'!F25+0.5*'18_DEBT'!F26*'06_CONSTRUCTION'!F13)</f>
        <v>0</v>
      </c>
      <c r="G27" s="58" t="n">
        <f aca="false">'17A_STRUCTURES'!$C$17*('18_DEBT'!G25+0.5*'18_DEBT'!G26*'06_CONSTRUCTION'!G13)</f>
        <v>0</v>
      </c>
      <c r="H27" s="58" t="n">
        <f aca="false">'17A_STRUCTURES'!$C$17*('18_DEBT'!H25+0.5*'18_DEBT'!H26*'06_CONSTRUCTION'!H13)</f>
        <v>0</v>
      </c>
      <c r="I27" s="58" t="n">
        <f aca="false">'17A_STRUCTURES'!$C$17*('18_DEBT'!I25+0.5*'18_DEBT'!I26*'06_CONSTRUCTION'!I13)</f>
        <v>0</v>
      </c>
      <c r="J27" s="58" t="n">
        <f aca="false">'17A_STRUCTURES'!$C$17*('18_DEBT'!J25+0.5*'18_DEBT'!J26*'06_CONSTRUCTION'!J13)</f>
        <v>0</v>
      </c>
      <c r="K27" s="58" t="n">
        <f aca="false">'17A_STRUCTURES'!$C$17*('18_DEBT'!K25+0.5*'18_DEBT'!K26*'06_CONSTRUCTION'!K13)</f>
        <v>0</v>
      </c>
      <c r="L27" s="58" t="n">
        <f aca="false">'17A_STRUCTURES'!$C$17*('18_DEBT'!L25+0.5*'18_DEBT'!L26*'06_CONSTRUCTION'!L13)</f>
        <v>0</v>
      </c>
      <c r="M27" s="58" t="n">
        <f aca="false">'17A_STRUCTURES'!$C$17*('18_DEBT'!M25+0.5*'18_DEBT'!M26*'06_CONSTRUCTION'!M13)</f>
        <v>0</v>
      </c>
      <c r="N27" s="58" t="n">
        <f aca="false">'17A_STRUCTURES'!$C$17*('18_DEBT'!N25+0.5*'18_DEBT'!N26*'06_CONSTRUCTION'!N13)</f>
        <v>0</v>
      </c>
      <c r="O27" s="58" t="n">
        <f aca="false">'17A_STRUCTURES'!$C$17*('18_DEBT'!O25+0.5*'18_DEBT'!O26*'06_CONSTRUCTION'!O13)</f>
        <v>0</v>
      </c>
      <c r="P27" s="58" t="n">
        <f aca="false">'17A_STRUCTURES'!$C$17*('18_DEBT'!P25+0.5*'18_DEBT'!P26*'06_CONSTRUCTION'!P13)</f>
        <v>0</v>
      </c>
      <c r="Q27" s="58" t="n">
        <f aca="false">'17A_STRUCTURES'!$C$17*('18_DEBT'!Q25+0.5*'18_DEBT'!Q26*'06_CONSTRUCTION'!Q13)</f>
        <v>0</v>
      </c>
      <c r="R27" s="58" t="n">
        <f aca="false">'17A_STRUCTURES'!$C$17*('18_DEBT'!R25+0.5*'18_DEBT'!R26*'06_CONSTRUCTION'!R13)</f>
        <v>0</v>
      </c>
      <c r="S27" s="58" t="n">
        <f aca="false">'17A_STRUCTURES'!$C$17*('18_DEBT'!S25+0.5*'18_DEBT'!S26*'06_CONSTRUCTION'!S13)</f>
        <v>0</v>
      </c>
      <c r="T27" s="58" t="n">
        <f aca="false">'17A_STRUCTURES'!$C$17*('18_DEBT'!T25+0.5*'18_DEBT'!T26*'06_CONSTRUCTION'!T13)</f>
        <v>0</v>
      </c>
      <c r="U27" s="58" t="n">
        <f aca="false">'17A_STRUCTURES'!$C$17*('18_DEBT'!U25+0.5*'18_DEBT'!U26*'06_CONSTRUCTION'!U13)</f>
        <v>0</v>
      </c>
      <c r="V27" s="58" t="n">
        <f aca="false">'17A_STRUCTURES'!$C$17*('18_DEBT'!V25+0.5*'18_DEBT'!V26*'06_CONSTRUCTION'!V13)</f>
        <v>0</v>
      </c>
      <c r="W27" s="58" t="n">
        <f aca="false">'17A_STRUCTURES'!$C$17*('18_DEBT'!W25+0.5*'18_DEBT'!W26*'06_CONSTRUCTION'!W13)</f>
        <v>0</v>
      </c>
      <c r="X27" s="58" t="n">
        <f aca="false">'17A_STRUCTURES'!$C$17*('18_DEBT'!X25+0.5*'18_DEBT'!X26*'06_CONSTRUCTION'!X13)</f>
        <v>0</v>
      </c>
      <c r="Y27" s="58" t="n">
        <f aca="false">'17A_STRUCTURES'!$C$17*('18_DEBT'!Y25+0.5*'18_DEBT'!Y26*'06_CONSTRUCTION'!Y13)</f>
        <v>0</v>
      </c>
      <c r="Z27" s="58" t="n">
        <f aca="false">'17A_STRUCTURES'!$C$17*('18_DEBT'!Z25+0.5*'18_DEBT'!Z26*'06_CONSTRUCTION'!Z13)</f>
        <v>0</v>
      </c>
      <c r="AA27" s="58" t="n">
        <f aca="false">'17A_STRUCTURES'!$C$17*('18_DEBT'!AA25+0.5*'18_DEBT'!AA26*'06_CONSTRUCTION'!AA13)</f>
        <v>0</v>
      </c>
      <c r="AB27" s="58" t="n">
        <f aca="false">'17A_STRUCTURES'!$C$17*('18_DEBT'!AB25+0.5*'18_DEBT'!AB26*'06_CONSTRUCTION'!AB13)</f>
        <v>0</v>
      </c>
      <c r="AC27" s="58" t="n">
        <f aca="false">'17A_STRUCTURES'!$C$17*('18_DEBT'!AC25+0.5*'18_DEBT'!AC26*'06_CONSTRUCTION'!AC13)</f>
        <v>0</v>
      </c>
      <c r="AD27" s="58" t="n">
        <f aca="false">'17A_STRUCTURES'!$C$17*('18_DEBT'!AD25+0.5*'18_DEBT'!AD26*'06_CONSTRUCTION'!AD13)</f>
        <v>0</v>
      </c>
      <c r="AE27" s="58" t="n">
        <f aca="false">'17A_STRUCTURES'!$C$17*('18_DEBT'!AE25+0.5*'18_DEBT'!AE26*'06_CONSTRUCTION'!AE13)</f>
        <v>0</v>
      </c>
      <c r="AF27" s="58" t="n">
        <f aca="false">'17A_STRUCTURES'!$C$17*('18_DEBT'!AF25+0.5*'18_DEBT'!AF26*'06_CONSTRUCTION'!AF13)</f>
        <v>0</v>
      </c>
      <c r="AG27" s="58" t="n">
        <f aca="false">'17A_STRUCTURES'!$C$17*('18_DEBT'!AG25+0.5*'18_DEBT'!AG26*'06_CONSTRUCTION'!AG13)</f>
        <v>0</v>
      </c>
      <c r="AH27" s="58" t="n">
        <f aca="false">'17A_STRUCTURES'!$C$17*('18_DEBT'!AH25+0.5*'18_DEBT'!AH26*'06_CONSTRUCTION'!AH13)</f>
        <v>0</v>
      </c>
      <c r="AI27" s="58" t="n">
        <f aca="false">'17A_STRUCTURES'!$C$17*('18_DEBT'!AI25+0.5*'18_DEBT'!AI26*'06_CONSTRUCTION'!AI13)</f>
        <v>0</v>
      </c>
      <c r="AJ27" s="58" t="n">
        <f aca="false">'17A_STRUCTURES'!$C$17*('18_DEBT'!AJ25+0.5*'18_DEBT'!AJ26*'06_CONSTRUCTION'!AJ13)</f>
        <v>0</v>
      </c>
      <c r="AK27" s="58" t="n">
        <f aca="false">'17A_STRUCTURES'!$C$17*('18_DEBT'!AK25+0.5*'18_DEBT'!AK26*'06_CONSTRUCTION'!AK13)</f>
        <v>0</v>
      </c>
      <c r="AL27" s="58" t="n">
        <f aca="false">'17A_STRUCTURES'!$C$17*('18_DEBT'!AL25+0.5*'18_DEBT'!AL26*'06_CONSTRUCTION'!AL13)</f>
        <v>0</v>
      </c>
      <c r="AM27" s="58" t="n">
        <f aca="false">'17A_STRUCTURES'!$C$17*('18_DEBT'!AM25+0.5*'18_DEBT'!AM26*'06_CONSTRUCTION'!AM13)</f>
        <v>0</v>
      </c>
      <c r="AN27" s="58" t="n">
        <f aca="false">'17A_STRUCTURES'!$C$17*('18_DEBT'!AN25+0.5*'18_DEBT'!AN26*'06_CONSTRUCTION'!AN13)</f>
        <v>0</v>
      </c>
      <c r="AO27" s="58" t="n">
        <f aca="false">'17A_STRUCTURES'!$C$17*('18_DEBT'!AO25+0.5*'18_DEBT'!AO26*'06_CONSTRUCTION'!AO13)</f>
        <v>0</v>
      </c>
      <c r="AP27" s="58" t="n">
        <f aca="false">'17A_STRUCTURES'!$C$17*('18_DEBT'!AP25+0.5*'18_DEBT'!AP26*'06_CONSTRUCTION'!AP13)</f>
        <v>0</v>
      </c>
      <c r="AQ27" s="58" t="n">
        <f aca="false">'17A_STRUCTURES'!$C$17*('18_DEBT'!AQ25+0.5*'18_DEBT'!AQ26*'06_CONSTRUCTION'!AQ13)</f>
        <v>0</v>
      </c>
      <c r="AR27" s="58" t="n">
        <f aca="false">'17A_STRUCTURES'!$C$17*('18_DEBT'!AR25+0.5*'18_DEBT'!AR26*'06_CONSTRUCTION'!AR13)</f>
        <v>0</v>
      </c>
    </row>
    <row r="28" customFormat="false" ht="15" hidden="false" customHeight="true" outlineLevel="0" collapsed="false">
      <c r="A28" s="23" t="s">
        <v>885</v>
      </c>
      <c r="B28" s="23" t="s">
        <v>121</v>
      </c>
      <c r="C28" s="58" t="n">
        <f aca="false">SUM('18_DEBT'!$E$28:$AR$28)</f>
        <v>0</v>
      </c>
      <c r="E28" s="58" t="n">
        <f aca="false">IF(AND('06_CONSTRUCTION'!E5&gt;'17A_STRUCTURES'!$C$18,'06_CONSTRUCTION'!E5&lt;='17A_STRUCTURES'!$C$18+'17A_STRUCTURES'!$C$19),MIN('18_DEBT'!E25,'17_PROJECT_FINANCE'!$C$16/'17A_STRUCTURES'!$C$19),0)</f>
        <v>0</v>
      </c>
      <c r="F28" s="58" t="n">
        <f aca="false">IF(AND('06_CONSTRUCTION'!F5&gt;'17A_STRUCTURES'!$C$18,'06_CONSTRUCTION'!F5&lt;='17A_STRUCTURES'!$C$18+'17A_STRUCTURES'!$C$19),MIN('18_DEBT'!F25,'17_PROJECT_FINANCE'!$C$16/'17A_STRUCTURES'!$C$19),0)</f>
        <v>0</v>
      </c>
      <c r="G28" s="58" t="n">
        <f aca="false">IF(AND('06_CONSTRUCTION'!G5&gt;'17A_STRUCTURES'!$C$18,'06_CONSTRUCTION'!G5&lt;='17A_STRUCTURES'!$C$18+'17A_STRUCTURES'!$C$19),MIN('18_DEBT'!G25,'17_PROJECT_FINANCE'!$C$16/'17A_STRUCTURES'!$C$19),0)</f>
        <v>0</v>
      </c>
      <c r="H28" s="58" t="n">
        <f aca="false">IF(AND('06_CONSTRUCTION'!H5&gt;'17A_STRUCTURES'!$C$18,'06_CONSTRUCTION'!H5&lt;='17A_STRUCTURES'!$C$18+'17A_STRUCTURES'!$C$19),MIN('18_DEBT'!H25,'17_PROJECT_FINANCE'!$C$16/'17A_STRUCTURES'!$C$19),0)</f>
        <v>0</v>
      </c>
      <c r="I28" s="58" t="n">
        <f aca="false">IF(AND('06_CONSTRUCTION'!I5&gt;'17A_STRUCTURES'!$C$18,'06_CONSTRUCTION'!I5&lt;='17A_STRUCTURES'!$C$18+'17A_STRUCTURES'!$C$19),MIN('18_DEBT'!I25,'17_PROJECT_FINANCE'!$C$16/'17A_STRUCTURES'!$C$19),0)</f>
        <v>0</v>
      </c>
      <c r="J28" s="58" t="n">
        <f aca="false">IF(AND('06_CONSTRUCTION'!J5&gt;'17A_STRUCTURES'!$C$18,'06_CONSTRUCTION'!J5&lt;='17A_STRUCTURES'!$C$18+'17A_STRUCTURES'!$C$19),MIN('18_DEBT'!J25,'17_PROJECT_FINANCE'!$C$16/'17A_STRUCTURES'!$C$19),0)</f>
        <v>0</v>
      </c>
      <c r="K28" s="58" t="n">
        <f aca="false">IF(AND('06_CONSTRUCTION'!K5&gt;'17A_STRUCTURES'!$C$18,'06_CONSTRUCTION'!K5&lt;='17A_STRUCTURES'!$C$18+'17A_STRUCTURES'!$C$19),MIN('18_DEBT'!K25,'17_PROJECT_FINANCE'!$C$16/'17A_STRUCTURES'!$C$19),0)</f>
        <v>0</v>
      </c>
      <c r="L28" s="58" t="n">
        <f aca="false">IF(AND('06_CONSTRUCTION'!L5&gt;'17A_STRUCTURES'!$C$18,'06_CONSTRUCTION'!L5&lt;='17A_STRUCTURES'!$C$18+'17A_STRUCTURES'!$C$19),MIN('18_DEBT'!L25,'17_PROJECT_FINANCE'!$C$16/'17A_STRUCTURES'!$C$19),0)</f>
        <v>0</v>
      </c>
      <c r="M28" s="58" t="n">
        <f aca="false">IF(AND('06_CONSTRUCTION'!M5&gt;'17A_STRUCTURES'!$C$18,'06_CONSTRUCTION'!M5&lt;='17A_STRUCTURES'!$C$18+'17A_STRUCTURES'!$C$19),MIN('18_DEBT'!M25,'17_PROJECT_FINANCE'!$C$16/'17A_STRUCTURES'!$C$19),0)</f>
        <v>0</v>
      </c>
      <c r="N28" s="58" t="n">
        <f aca="false">IF(AND('06_CONSTRUCTION'!N5&gt;'17A_STRUCTURES'!$C$18,'06_CONSTRUCTION'!N5&lt;='17A_STRUCTURES'!$C$18+'17A_STRUCTURES'!$C$19),MIN('18_DEBT'!N25,'17_PROJECT_FINANCE'!$C$16/'17A_STRUCTURES'!$C$19),0)</f>
        <v>0</v>
      </c>
      <c r="O28" s="58" t="n">
        <f aca="false">IF(AND('06_CONSTRUCTION'!O5&gt;'17A_STRUCTURES'!$C$18,'06_CONSTRUCTION'!O5&lt;='17A_STRUCTURES'!$C$18+'17A_STRUCTURES'!$C$19),MIN('18_DEBT'!O25,'17_PROJECT_FINANCE'!$C$16/'17A_STRUCTURES'!$C$19),0)</f>
        <v>0</v>
      </c>
      <c r="P28" s="58" t="n">
        <f aca="false">IF(AND('06_CONSTRUCTION'!P5&gt;'17A_STRUCTURES'!$C$18,'06_CONSTRUCTION'!P5&lt;='17A_STRUCTURES'!$C$18+'17A_STRUCTURES'!$C$19),MIN('18_DEBT'!P25,'17_PROJECT_FINANCE'!$C$16/'17A_STRUCTURES'!$C$19),0)</f>
        <v>0</v>
      </c>
      <c r="Q28" s="58" t="n">
        <f aca="false">IF(AND('06_CONSTRUCTION'!Q5&gt;'17A_STRUCTURES'!$C$18,'06_CONSTRUCTION'!Q5&lt;='17A_STRUCTURES'!$C$18+'17A_STRUCTURES'!$C$19),MIN('18_DEBT'!Q25,'17_PROJECT_FINANCE'!$C$16/'17A_STRUCTURES'!$C$19),0)</f>
        <v>0</v>
      </c>
      <c r="R28" s="58" t="n">
        <f aca="false">IF(AND('06_CONSTRUCTION'!R5&gt;'17A_STRUCTURES'!$C$18,'06_CONSTRUCTION'!R5&lt;='17A_STRUCTURES'!$C$18+'17A_STRUCTURES'!$C$19),MIN('18_DEBT'!R25,'17_PROJECT_FINANCE'!$C$16/'17A_STRUCTURES'!$C$19),0)</f>
        <v>0</v>
      </c>
      <c r="S28" s="58" t="n">
        <f aca="false">IF(AND('06_CONSTRUCTION'!S5&gt;'17A_STRUCTURES'!$C$18,'06_CONSTRUCTION'!S5&lt;='17A_STRUCTURES'!$C$18+'17A_STRUCTURES'!$C$19),MIN('18_DEBT'!S25,'17_PROJECT_FINANCE'!$C$16/'17A_STRUCTURES'!$C$19),0)</f>
        <v>0</v>
      </c>
      <c r="T28" s="58" t="n">
        <f aca="false">IF(AND('06_CONSTRUCTION'!T5&gt;'17A_STRUCTURES'!$C$18,'06_CONSTRUCTION'!T5&lt;='17A_STRUCTURES'!$C$18+'17A_STRUCTURES'!$C$19),MIN('18_DEBT'!T25,'17_PROJECT_FINANCE'!$C$16/'17A_STRUCTURES'!$C$19),0)</f>
        <v>0</v>
      </c>
      <c r="U28" s="58" t="n">
        <f aca="false">IF(AND('06_CONSTRUCTION'!U5&gt;'17A_STRUCTURES'!$C$18,'06_CONSTRUCTION'!U5&lt;='17A_STRUCTURES'!$C$18+'17A_STRUCTURES'!$C$19),MIN('18_DEBT'!U25,'17_PROJECT_FINANCE'!$C$16/'17A_STRUCTURES'!$C$19),0)</f>
        <v>0</v>
      </c>
      <c r="V28" s="58" t="n">
        <f aca="false">IF(AND('06_CONSTRUCTION'!V5&gt;'17A_STRUCTURES'!$C$18,'06_CONSTRUCTION'!V5&lt;='17A_STRUCTURES'!$C$18+'17A_STRUCTURES'!$C$19),MIN('18_DEBT'!V25,'17_PROJECT_FINANCE'!$C$16/'17A_STRUCTURES'!$C$19),0)</f>
        <v>0</v>
      </c>
      <c r="W28" s="58" t="n">
        <f aca="false">IF(AND('06_CONSTRUCTION'!W5&gt;'17A_STRUCTURES'!$C$18,'06_CONSTRUCTION'!W5&lt;='17A_STRUCTURES'!$C$18+'17A_STRUCTURES'!$C$19),MIN('18_DEBT'!W25,'17_PROJECT_FINANCE'!$C$16/'17A_STRUCTURES'!$C$19),0)</f>
        <v>0</v>
      </c>
      <c r="X28" s="58" t="n">
        <f aca="false">IF(AND('06_CONSTRUCTION'!X5&gt;'17A_STRUCTURES'!$C$18,'06_CONSTRUCTION'!X5&lt;='17A_STRUCTURES'!$C$18+'17A_STRUCTURES'!$C$19),MIN('18_DEBT'!X25,'17_PROJECT_FINANCE'!$C$16/'17A_STRUCTURES'!$C$19),0)</f>
        <v>0</v>
      </c>
      <c r="Y28" s="58" t="n">
        <f aca="false">IF(AND('06_CONSTRUCTION'!Y5&gt;'17A_STRUCTURES'!$C$18,'06_CONSTRUCTION'!Y5&lt;='17A_STRUCTURES'!$C$18+'17A_STRUCTURES'!$C$19),MIN('18_DEBT'!Y25,'17_PROJECT_FINANCE'!$C$16/'17A_STRUCTURES'!$C$19),0)</f>
        <v>0</v>
      </c>
      <c r="Z28" s="58" t="n">
        <f aca="false">IF(AND('06_CONSTRUCTION'!Z5&gt;'17A_STRUCTURES'!$C$18,'06_CONSTRUCTION'!Z5&lt;='17A_STRUCTURES'!$C$18+'17A_STRUCTURES'!$C$19),MIN('18_DEBT'!Z25,'17_PROJECT_FINANCE'!$C$16/'17A_STRUCTURES'!$C$19),0)</f>
        <v>0</v>
      </c>
      <c r="AA28" s="58" t="n">
        <f aca="false">IF(AND('06_CONSTRUCTION'!AA5&gt;'17A_STRUCTURES'!$C$18,'06_CONSTRUCTION'!AA5&lt;='17A_STRUCTURES'!$C$18+'17A_STRUCTURES'!$C$19),MIN('18_DEBT'!AA25,'17_PROJECT_FINANCE'!$C$16/'17A_STRUCTURES'!$C$19),0)</f>
        <v>0</v>
      </c>
      <c r="AB28" s="58" t="n">
        <f aca="false">IF(AND('06_CONSTRUCTION'!AB5&gt;'17A_STRUCTURES'!$C$18,'06_CONSTRUCTION'!AB5&lt;='17A_STRUCTURES'!$C$18+'17A_STRUCTURES'!$C$19),MIN('18_DEBT'!AB25,'17_PROJECT_FINANCE'!$C$16/'17A_STRUCTURES'!$C$19),0)</f>
        <v>0</v>
      </c>
      <c r="AC28" s="58" t="n">
        <f aca="false">IF(AND('06_CONSTRUCTION'!AC5&gt;'17A_STRUCTURES'!$C$18,'06_CONSTRUCTION'!AC5&lt;='17A_STRUCTURES'!$C$18+'17A_STRUCTURES'!$C$19),MIN('18_DEBT'!AC25,'17_PROJECT_FINANCE'!$C$16/'17A_STRUCTURES'!$C$19),0)</f>
        <v>0</v>
      </c>
      <c r="AD28" s="58" t="n">
        <f aca="false">IF(AND('06_CONSTRUCTION'!AD5&gt;'17A_STRUCTURES'!$C$18,'06_CONSTRUCTION'!AD5&lt;='17A_STRUCTURES'!$C$18+'17A_STRUCTURES'!$C$19),MIN('18_DEBT'!AD25,'17_PROJECT_FINANCE'!$C$16/'17A_STRUCTURES'!$C$19),0)</f>
        <v>0</v>
      </c>
      <c r="AE28" s="58" t="n">
        <f aca="false">IF(AND('06_CONSTRUCTION'!AE5&gt;'17A_STRUCTURES'!$C$18,'06_CONSTRUCTION'!AE5&lt;='17A_STRUCTURES'!$C$18+'17A_STRUCTURES'!$C$19),MIN('18_DEBT'!AE25,'17_PROJECT_FINANCE'!$C$16/'17A_STRUCTURES'!$C$19),0)</f>
        <v>0</v>
      </c>
      <c r="AF28" s="58" t="n">
        <f aca="false">IF(AND('06_CONSTRUCTION'!AF5&gt;'17A_STRUCTURES'!$C$18,'06_CONSTRUCTION'!AF5&lt;='17A_STRUCTURES'!$C$18+'17A_STRUCTURES'!$C$19),MIN('18_DEBT'!AF25,'17_PROJECT_FINANCE'!$C$16/'17A_STRUCTURES'!$C$19),0)</f>
        <v>0</v>
      </c>
      <c r="AG28" s="58" t="n">
        <f aca="false">IF(AND('06_CONSTRUCTION'!AG5&gt;'17A_STRUCTURES'!$C$18,'06_CONSTRUCTION'!AG5&lt;='17A_STRUCTURES'!$C$18+'17A_STRUCTURES'!$C$19),MIN('18_DEBT'!AG25,'17_PROJECT_FINANCE'!$C$16/'17A_STRUCTURES'!$C$19),0)</f>
        <v>0</v>
      </c>
      <c r="AH28" s="58" t="n">
        <f aca="false">IF(AND('06_CONSTRUCTION'!AH5&gt;'17A_STRUCTURES'!$C$18,'06_CONSTRUCTION'!AH5&lt;='17A_STRUCTURES'!$C$18+'17A_STRUCTURES'!$C$19),MIN('18_DEBT'!AH25,'17_PROJECT_FINANCE'!$C$16/'17A_STRUCTURES'!$C$19),0)</f>
        <v>0</v>
      </c>
      <c r="AI28" s="58" t="n">
        <f aca="false">IF(AND('06_CONSTRUCTION'!AI5&gt;'17A_STRUCTURES'!$C$18,'06_CONSTRUCTION'!AI5&lt;='17A_STRUCTURES'!$C$18+'17A_STRUCTURES'!$C$19),MIN('18_DEBT'!AI25,'17_PROJECT_FINANCE'!$C$16/'17A_STRUCTURES'!$C$19),0)</f>
        <v>0</v>
      </c>
      <c r="AJ28" s="58" t="n">
        <f aca="false">IF(AND('06_CONSTRUCTION'!AJ5&gt;'17A_STRUCTURES'!$C$18,'06_CONSTRUCTION'!AJ5&lt;='17A_STRUCTURES'!$C$18+'17A_STRUCTURES'!$C$19),MIN('18_DEBT'!AJ25,'17_PROJECT_FINANCE'!$C$16/'17A_STRUCTURES'!$C$19),0)</f>
        <v>0</v>
      </c>
      <c r="AK28" s="58" t="n">
        <f aca="false">IF(AND('06_CONSTRUCTION'!AK5&gt;'17A_STRUCTURES'!$C$18,'06_CONSTRUCTION'!AK5&lt;='17A_STRUCTURES'!$C$18+'17A_STRUCTURES'!$C$19),MIN('18_DEBT'!AK25,'17_PROJECT_FINANCE'!$C$16/'17A_STRUCTURES'!$C$19),0)</f>
        <v>0</v>
      </c>
      <c r="AL28" s="58" t="n">
        <f aca="false">IF(AND('06_CONSTRUCTION'!AL5&gt;'17A_STRUCTURES'!$C$18,'06_CONSTRUCTION'!AL5&lt;='17A_STRUCTURES'!$C$18+'17A_STRUCTURES'!$C$19),MIN('18_DEBT'!AL25,'17_PROJECT_FINANCE'!$C$16/'17A_STRUCTURES'!$C$19),0)</f>
        <v>0</v>
      </c>
      <c r="AM28" s="58" t="n">
        <f aca="false">IF(AND('06_CONSTRUCTION'!AM5&gt;'17A_STRUCTURES'!$C$18,'06_CONSTRUCTION'!AM5&lt;='17A_STRUCTURES'!$C$18+'17A_STRUCTURES'!$C$19),MIN('18_DEBT'!AM25,'17_PROJECT_FINANCE'!$C$16/'17A_STRUCTURES'!$C$19),0)</f>
        <v>0</v>
      </c>
      <c r="AN28" s="58" t="n">
        <f aca="false">IF(AND('06_CONSTRUCTION'!AN5&gt;'17A_STRUCTURES'!$C$18,'06_CONSTRUCTION'!AN5&lt;='17A_STRUCTURES'!$C$18+'17A_STRUCTURES'!$C$19),MIN('18_DEBT'!AN25,'17_PROJECT_FINANCE'!$C$16/'17A_STRUCTURES'!$C$19),0)</f>
        <v>0</v>
      </c>
      <c r="AO28" s="58" t="n">
        <f aca="false">IF(AND('06_CONSTRUCTION'!AO5&gt;'17A_STRUCTURES'!$C$18,'06_CONSTRUCTION'!AO5&lt;='17A_STRUCTURES'!$C$18+'17A_STRUCTURES'!$C$19),MIN('18_DEBT'!AO25,'17_PROJECT_FINANCE'!$C$16/'17A_STRUCTURES'!$C$19),0)</f>
        <v>0</v>
      </c>
      <c r="AP28" s="58" t="n">
        <f aca="false">IF(AND('06_CONSTRUCTION'!AP5&gt;'17A_STRUCTURES'!$C$18,'06_CONSTRUCTION'!AP5&lt;='17A_STRUCTURES'!$C$18+'17A_STRUCTURES'!$C$19),MIN('18_DEBT'!AP25,'17_PROJECT_FINANCE'!$C$16/'17A_STRUCTURES'!$C$19),0)</f>
        <v>0</v>
      </c>
      <c r="AQ28" s="58" t="n">
        <f aca="false">IF(AND('06_CONSTRUCTION'!AQ5&gt;'17A_STRUCTURES'!$C$18,'06_CONSTRUCTION'!AQ5&lt;='17A_STRUCTURES'!$C$18+'17A_STRUCTURES'!$C$19),MIN('18_DEBT'!AQ25,'17_PROJECT_FINANCE'!$C$16/'17A_STRUCTURES'!$C$19),0)</f>
        <v>0</v>
      </c>
      <c r="AR28" s="58" t="n">
        <f aca="false">IF(AND('06_CONSTRUCTION'!AR5&gt;'17A_STRUCTURES'!$C$18,'06_CONSTRUCTION'!AR5&lt;='17A_STRUCTURES'!$C$18+'17A_STRUCTURES'!$C$19),MIN('18_DEBT'!AR25,'17_PROJECT_FINANCE'!$C$16/'17A_STRUCTURES'!$C$19),0)</f>
        <v>0</v>
      </c>
    </row>
    <row r="29" customFormat="false" ht="15" hidden="false" customHeight="true" outlineLevel="0" collapsed="false">
      <c r="A29" s="23" t="s">
        <v>886</v>
      </c>
      <c r="B29" s="23" t="s">
        <v>121</v>
      </c>
      <c r="E29" s="58" t="n">
        <f aca="false">'18_DEBT'!E25+'18_DEBT'!E26-'18_DEBT'!E28</f>
        <v>0</v>
      </c>
      <c r="F29" s="58" t="n">
        <f aca="false">'18_DEBT'!F25+'18_DEBT'!F26-'18_DEBT'!F28</f>
        <v>0</v>
      </c>
      <c r="G29" s="58" t="n">
        <f aca="false">'18_DEBT'!G25+'18_DEBT'!G26-'18_DEBT'!G28</f>
        <v>0</v>
      </c>
      <c r="H29" s="58" t="n">
        <f aca="false">'18_DEBT'!H25+'18_DEBT'!H26-'18_DEBT'!H28</f>
        <v>0</v>
      </c>
      <c r="I29" s="58" t="n">
        <f aca="false">'18_DEBT'!I25+'18_DEBT'!I26-'18_DEBT'!I28</f>
        <v>0</v>
      </c>
      <c r="J29" s="58" t="n">
        <f aca="false">'18_DEBT'!J25+'18_DEBT'!J26-'18_DEBT'!J28</f>
        <v>0</v>
      </c>
      <c r="K29" s="58" t="n">
        <f aca="false">'18_DEBT'!K25+'18_DEBT'!K26-'18_DEBT'!K28</f>
        <v>0</v>
      </c>
      <c r="L29" s="58" t="n">
        <f aca="false">'18_DEBT'!L25+'18_DEBT'!L26-'18_DEBT'!L28</f>
        <v>0</v>
      </c>
      <c r="M29" s="58" t="n">
        <f aca="false">'18_DEBT'!M25+'18_DEBT'!M26-'18_DEBT'!M28</f>
        <v>0</v>
      </c>
      <c r="N29" s="58" t="n">
        <f aca="false">'18_DEBT'!N25+'18_DEBT'!N26-'18_DEBT'!N28</f>
        <v>0</v>
      </c>
      <c r="O29" s="58" t="n">
        <f aca="false">'18_DEBT'!O25+'18_DEBT'!O26-'18_DEBT'!O28</f>
        <v>0</v>
      </c>
      <c r="P29" s="58" t="n">
        <f aca="false">'18_DEBT'!P25+'18_DEBT'!P26-'18_DEBT'!P28</f>
        <v>0</v>
      </c>
      <c r="Q29" s="58" t="n">
        <f aca="false">'18_DEBT'!Q25+'18_DEBT'!Q26-'18_DEBT'!Q28</f>
        <v>0</v>
      </c>
      <c r="R29" s="58" t="n">
        <f aca="false">'18_DEBT'!R25+'18_DEBT'!R26-'18_DEBT'!R28</f>
        <v>0</v>
      </c>
      <c r="S29" s="58" t="n">
        <f aca="false">'18_DEBT'!S25+'18_DEBT'!S26-'18_DEBT'!S28</f>
        <v>0</v>
      </c>
      <c r="T29" s="58" t="n">
        <f aca="false">'18_DEBT'!T25+'18_DEBT'!T26-'18_DEBT'!T28</f>
        <v>0</v>
      </c>
      <c r="U29" s="58" t="n">
        <f aca="false">'18_DEBT'!U25+'18_DEBT'!U26-'18_DEBT'!U28</f>
        <v>0</v>
      </c>
      <c r="V29" s="58" t="n">
        <f aca="false">'18_DEBT'!V25+'18_DEBT'!V26-'18_DEBT'!V28</f>
        <v>0</v>
      </c>
      <c r="W29" s="58" t="n">
        <f aca="false">'18_DEBT'!W25+'18_DEBT'!W26-'18_DEBT'!W28</f>
        <v>0</v>
      </c>
      <c r="X29" s="58" t="n">
        <f aca="false">'18_DEBT'!X25+'18_DEBT'!X26-'18_DEBT'!X28</f>
        <v>0</v>
      </c>
      <c r="Y29" s="58" t="n">
        <f aca="false">'18_DEBT'!Y25+'18_DEBT'!Y26-'18_DEBT'!Y28</f>
        <v>0</v>
      </c>
      <c r="Z29" s="58" t="n">
        <f aca="false">'18_DEBT'!Z25+'18_DEBT'!Z26-'18_DEBT'!Z28</f>
        <v>0</v>
      </c>
      <c r="AA29" s="58" t="n">
        <f aca="false">'18_DEBT'!AA25+'18_DEBT'!AA26-'18_DEBT'!AA28</f>
        <v>0</v>
      </c>
      <c r="AB29" s="58" t="n">
        <f aca="false">'18_DEBT'!AB25+'18_DEBT'!AB26-'18_DEBT'!AB28</f>
        <v>0</v>
      </c>
      <c r="AC29" s="58" t="n">
        <f aca="false">'18_DEBT'!AC25+'18_DEBT'!AC26-'18_DEBT'!AC28</f>
        <v>0</v>
      </c>
      <c r="AD29" s="58" t="n">
        <f aca="false">'18_DEBT'!AD25+'18_DEBT'!AD26-'18_DEBT'!AD28</f>
        <v>0</v>
      </c>
      <c r="AE29" s="58" t="n">
        <f aca="false">'18_DEBT'!AE25+'18_DEBT'!AE26-'18_DEBT'!AE28</f>
        <v>0</v>
      </c>
      <c r="AF29" s="58" t="n">
        <f aca="false">'18_DEBT'!AF25+'18_DEBT'!AF26-'18_DEBT'!AF28</f>
        <v>0</v>
      </c>
      <c r="AG29" s="58" t="n">
        <f aca="false">'18_DEBT'!AG25+'18_DEBT'!AG26-'18_DEBT'!AG28</f>
        <v>0</v>
      </c>
      <c r="AH29" s="58" t="n">
        <f aca="false">'18_DEBT'!AH25+'18_DEBT'!AH26-'18_DEBT'!AH28</f>
        <v>0</v>
      </c>
      <c r="AI29" s="58" t="n">
        <f aca="false">'18_DEBT'!AI25+'18_DEBT'!AI26-'18_DEBT'!AI28</f>
        <v>0</v>
      </c>
      <c r="AJ29" s="58" t="n">
        <f aca="false">'18_DEBT'!AJ25+'18_DEBT'!AJ26-'18_DEBT'!AJ28</f>
        <v>0</v>
      </c>
      <c r="AK29" s="58" t="n">
        <f aca="false">'18_DEBT'!AK25+'18_DEBT'!AK26-'18_DEBT'!AK28</f>
        <v>0</v>
      </c>
      <c r="AL29" s="58" t="n">
        <f aca="false">'18_DEBT'!AL25+'18_DEBT'!AL26-'18_DEBT'!AL28</f>
        <v>0</v>
      </c>
      <c r="AM29" s="58" t="n">
        <f aca="false">'18_DEBT'!AM25+'18_DEBT'!AM26-'18_DEBT'!AM28</f>
        <v>0</v>
      </c>
      <c r="AN29" s="58" t="n">
        <f aca="false">'18_DEBT'!AN25+'18_DEBT'!AN26-'18_DEBT'!AN28</f>
        <v>0</v>
      </c>
      <c r="AO29" s="58" t="n">
        <f aca="false">'18_DEBT'!AO25+'18_DEBT'!AO26-'18_DEBT'!AO28</f>
        <v>0</v>
      </c>
      <c r="AP29" s="58" t="n">
        <f aca="false">'18_DEBT'!AP25+'18_DEBT'!AP26-'18_DEBT'!AP28</f>
        <v>0</v>
      </c>
      <c r="AQ29" s="58" t="n">
        <f aca="false">'18_DEBT'!AQ25+'18_DEBT'!AQ26-'18_DEBT'!AQ28</f>
        <v>0</v>
      </c>
      <c r="AR29" s="58" t="n">
        <f aca="false">'18_DEBT'!AR25+'18_DEBT'!AR26-'18_DEBT'!AR28</f>
        <v>0</v>
      </c>
    </row>
    <row r="30" customFormat="false" ht="15" hidden="false" customHeight="true" outlineLevel="0" collapsed="false">
      <c r="A30" s="23" t="s">
        <v>887</v>
      </c>
      <c r="B30" s="23" t="s">
        <v>121</v>
      </c>
      <c r="C30" s="58" t="n">
        <f aca="false">SUM('18_DEBT'!$E$30:$AR$30)</f>
        <v>0</v>
      </c>
      <c r="E30" s="58" t="n">
        <f aca="false">'06_CONSTRUCTION'!E14*('18_DEBT'!E27+'18_DEBT'!E28)</f>
        <v>0</v>
      </c>
      <c r="F30" s="58" t="n">
        <f aca="false">'06_CONSTRUCTION'!F14*('18_DEBT'!F27+'18_DEBT'!F28)</f>
        <v>0</v>
      </c>
      <c r="G30" s="58" t="n">
        <f aca="false">'06_CONSTRUCTION'!G14*('18_DEBT'!G27+'18_DEBT'!G28)</f>
        <v>0</v>
      </c>
      <c r="H30" s="58" t="n">
        <f aca="false">'06_CONSTRUCTION'!H14*('18_DEBT'!H27+'18_DEBT'!H28)</f>
        <v>0</v>
      </c>
      <c r="I30" s="58" t="n">
        <f aca="false">'06_CONSTRUCTION'!I14*('18_DEBT'!I27+'18_DEBT'!I28)</f>
        <v>0</v>
      </c>
      <c r="J30" s="58" t="n">
        <f aca="false">'06_CONSTRUCTION'!J14*('18_DEBT'!J27+'18_DEBT'!J28)</f>
        <v>0</v>
      </c>
      <c r="K30" s="58" t="n">
        <f aca="false">'06_CONSTRUCTION'!K14*('18_DEBT'!K27+'18_DEBT'!K28)</f>
        <v>0</v>
      </c>
      <c r="L30" s="58" t="n">
        <f aca="false">'06_CONSTRUCTION'!L14*('18_DEBT'!L27+'18_DEBT'!L28)</f>
        <v>0</v>
      </c>
      <c r="M30" s="58" t="n">
        <f aca="false">'06_CONSTRUCTION'!M14*('18_DEBT'!M27+'18_DEBT'!M28)</f>
        <v>0</v>
      </c>
      <c r="N30" s="58" t="n">
        <f aca="false">'06_CONSTRUCTION'!N14*('18_DEBT'!N27+'18_DEBT'!N28)</f>
        <v>0</v>
      </c>
      <c r="O30" s="58" t="n">
        <f aca="false">'06_CONSTRUCTION'!O14*('18_DEBT'!O27+'18_DEBT'!O28)</f>
        <v>0</v>
      </c>
      <c r="P30" s="58" t="n">
        <f aca="false">'06_CONSTRUCTION'!P14*('18_DEBT'!P27+'18_DEBT'!P28)</f>
        <v>0</v>
      </c>
      <c r="Q30" s="58" t="n">
        <f aca="false">'06_CONSTRUCTION'!Q14*('18_DEBT'!Q27+'18_DEBT'!Q28)</f>
        <v>0</v>
      </c>
      <c r="R30" s="58" t="n">
        <f aca="false">'06_CONSTRUCTION'!R14*('18_DEBT'!R27+'18_DEBT'!R28)</f>
        <v>0</v>
      </c>
      <c r="S30" s="58" t="n">
        <f aca="false">'06_CONSTRUCTION'!S14*('18_DEBT'!S27+'18_DEBT'!S28)</f>
        <v>0</v>
      </c>
      <c r="T30" s="58" t="n">
        <f aca="false">'06_CONSTRUCTION'!T14*('18_DEBT'!T27+'18_DEBT'!T28)</f>
        <v>0</v>
      </c>
      <c r="U30" s="58" t="n">
        <f aca="false">'06_CONSTRUCTION'!U14*('18_DEBT'!U27+'18_DEBT'!U28)</f>
        <v>0</v>
      </c>
      <c r="V30" s="58" t="n">
        <f aca="false">'06_CONSTRUCTION'!V14*('18_DEBT'!V27+'18_DEBT'!V28)</f>
        <v>0</v>
      </c>
      <c r="W30" s="58" t="n">
        <f aca="false">'06_CONSTRUCTION'!W14*('18_DEBT'!W27+'18_DEBT'!W28)</f>
        <v>0</v>
      </c>
      <c r="X30" s="58" t="n">
        <f aca="false">'06_CONSTRUCTION'!X14*('18_DEBT'!X27+'18_DEBT'!X28)</f>
        <v>0</v>
      </c>
      <c r="Y30" s="58" t="n">
        <f aca="false">'06_CONSTRUCTION'!Y14*('18_DEBT'!Y27+'18_DEBT'!Y28)</f>
        <v>0</v>
      </c>
      <c r="Z30" s="58" t="n">
        <f aca="false">'06_CONSTRUCTION'!Z14*('18_DEBT'!Z27+'18_DEBT'!Z28)</f>
        <v>0</v>
      </c>
      <c r="AA30" s="58" t="n">
        <f aca="false">'06_CONSTRUCTION'!AA14*('18_DEBT'!AA27+'18_DEBT'!AA28)</f>
        <v>0</v>
      </c>
      <c r="AB30" s="58" t="n">
        <f aca="false">'06_CONSTRUCTION'!AB14*('18_DEBT'!AB27+'18_DEBT'!AB28)</f>
        <v>0</v>
      </c>
      <c r="AC30" s="58" t="n">
        <f aca="false">'06_CONSTRUCTION'!AC14*('18_DEBT'!AC27+'18_DEBT'!AC28)</f>
        <v>0</v>
      </c>
      <c r="AD30" s="58" t="n">
        <f aca="false">'06_CONSTRUCTION'!AD14*('18_DEBT'!AD27+'18_DEBT'!AD28)</f>
        <v>0</v>
      </c>
      <c r="AE30" s="58" t="n">
        <f aca="false">'06_CONSTRUCTION'!AE14*('18_DEBT'!AE27+'18_DEBT'!AE28)</f>
        <v>0</v>
      </c>
      <c r="AF30" s="58" t="n">
        <f aca="false">'06_CONSTRUCTION'!AF14*('18_DEBT'!AF27+'18_DEBT'!AF28)</f>
        <v>0</v>
      </c>
      <c r="AG30" s="58" t="n">
        <f aca="false">'06_CONSTRUCTION'!AG14*('18_DEBT'!AG27+'18_DEBT'!AG28)</f>
        <v>0</v>
      </c>
      <c r="AH30" s="58" t="n">
        <f aca="false">'06_CONSTRUCTION'!AH14*('18_DEBT'!AH27+'18_DEBT'!AH28)</f>
        <v>0</v>
      </c>
      <c r="AI30" s="58" t="n">
        <f aca="false">'06_CONSTRUCTION'!AI14*('18_DEBT'!AI27+'18_DEBT'!AI28)</f>
        <v>0</v>
      </c>
      <c r="AJ30" s="58" t="n">
        <f aca="false">'06_CONSTRUCTION'!AJ14*('18_DEBT'!AJ27+'18_DEBT'!AJ28)</f>
        <v>0</v>
      </c>
      <c r="AK30" s="58" t="n">
        <f aca="false">'06_CONSTRUCTION'!AK14*('18_DEBT'!AK27+'18_DEBT'!AK28)</f>
        <v>0</v>
      </c>
      <c r="AL30" s="58" t="n">
        <f aca="false">'06_CONSTRUCTION'!AL14*('18_DEBT'!AL27+'18_DEBT'!AL28)</f>
        <v>0</v>
      </c>
      <c r="AM30" s="58" t="n">
        <f aca="false">'06_CONSTRUCTION'!AM14*('18_DEBT'!AM27+'18_DEBT'!AM28)</f>
        <v>0</v>
      </c>
      <c r="AN30" s="58" t="n">
        <f aca="false">'06_CONSTRUCTION'!AN14*('18_DEBT'!AN27+'18_DEBT'!AN28)</f>
        <v>0</v>
      </c>
      <c r="AO30" s="58" t="n">
        <f aca="false">'06_CONSTRUCTION'!AO14*('18_DEBT'!AO27+'18_DEBT'!AO28)</f>
        <v>0</v>
      </c>
      <c r="AP30" s="58" t="n">
        <f aca="false">'06_CONSTRUCTION'!AP14*('18_DEBT'!AP27+'18_DEBT'!AP28)</f>
        <v>0</v>
      </c>
      <c r="AQ30" s="58" t="n">
        <f aca="false">'06_CONSTRUCTION'!AQ14*('18_DEBT'!AQ27+'18_DEBT'!AQ28)</f>
        <v>0</v>
      </c>
      <c r="AR30" s="58" t="n">
        <f aca="false">'06_CONSTRUCTION'!AR14*('18_DEBT'!AR27+'18_DEBT'!AR28)</f>
        <v>0</v>
      </c>
    </row>
    <row r="31" customFormat="false" ht="15" hidden="false" customHeight="true" outlineLevel="0" collapsed="false">
      <c r="A31" s="21" t="s">
        <v>888</v>
      </c>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row>
    <row r="32" customFormat="false" ht="15" hidden="false" customHeight="true" outlineLevel="0" collapsed="false">
      <c r="A32" s="23" t="s">
        <v>882</v>
      </c>
      <c r="B32" s="23" t="s">
        <v>121</v>
      </c>
      <c r="E32" s="58" t="n">
        <f aca="false">'18_DEBT'!D37</f>
        <v>0</v>
      </c>
      <c r="F32" s="58" t="n">
        <f aca="false">'18_DEBT'!E37</f>
        <v>36.3380544774633</v>
      </c>
      <c r="G32" s="58" t="n">
        <f aca="false">'18_DEBT'!F37</f>
        <v>109.01416343239</v>
      </c>
      <c r="H32" s="58" t="n">
        <f aca="false">'18_DEBT'!G37</f>
        <v>145.352217909853</v>
      </c>
      <c r="I32" s="58" t="n">
        <f aca="false">'18_DEBT'!H37</f>
        <v>142.351608684825</v>
      </c>
      <c r="J32" s="58" t="n">
        <f aca="false">'18_DEBT'!I37</f>
        <v>135.66725630927</v>
      </c>
      <c r="K32" s="58" t="n">
        <f aca="false">'18_DEBT'!J37</f>
        <v>128.30553819272</v>
      </c>
      <c r="L32" s="58" t="n">
        <f aca="false">'18_DEBT'!K37</f>
        <v>120.209412724874</v>
      </c>
      <c r="M32" s="58" t="n">
        <f aca="false">'18_DEBT'!L37</f>
        <v>111.317217919591</v>
      </c>
      <c r="N32" s="58" t="n">
        <f aca="false">'18_DEBT'!M37</f>
        <v>105.114069672901</v>
      </c>
      <c r="O32" s="58" t="n">
        <f aca="false">'18_DEBT'!N37</f>
        <v>98.3066078898639</v>
      </c>
      <c r="P32" s="58" t="n">
        <f aca="false">'18_DEBT'!O37</f>
        <v>90.8443262540403</v>
      </c>
      <c r="Q32" s="58" t="n">
        <f aca="false">'18_DEBT'!P37</f>
        <v>82.6726347190042</v>
      </c>
      <c r="R32" s="58" t="n">
        <f aca="false">'18_DEBT'!Q37</f>
        <v>73.7325319454516</v>
      </c>
      <c r="S32" s="58" t="n">
        <f aca="false">'18_DEBT'!R37</f>
        <v>63.960251515987</v>
      </c>
      <c r="T32" s="58" t="n">
        <f aca="false">'18_DEBT'!S37</f>
        <v>53.2868798294568</v>
      </c>
      <c r="U32" s="58" t="n">
        <f aca="false">'18_DEBT'!T37</f>
        <v>41.6379434088416</v>
      </c>
      <c r="V32" s="58" t="n">
        <f aca="false">'18_DEBT'!U37</f>
        <v>28.9329631754314</v>
      </c>
      <c r="W32" s="58" t="n">
        <f aca="false">'18_DEBT'!V37</f>
        <v>15.0849730462197</v>
      </c>
      <c r="X32" s="58" t="n">
        <f aca="false">'18_DEBT'!W37</f>
        <v>0</v>
      </c>
      <c r="Y32" s="58" t="n">
        <f aca="false">'18_DEBT'!X37</f>
        <v>0</v>
      </c>
      <c r="Z32" s="58" t="n">
        <f aca="false">'18_DEBT'!Y37</f>
        <v>0</v>
      </c>
      <c r="AA32" s="58" t="n">
        <f aca="false">'18_DEBT'!Z37</f>
        <v>0</v>
      </c>
      <c r="AB32" s="58" t="n">
        <f aca="false">'18_DEBT'!AA37</f>
        <v>0</v>
      </c>
      <c r="AC32" s="58" t="n">
        <f aca="false">'18_DEBT'!AB37</f>
        <v>0</v>
      </c>
      <c r="AD32" s="58" t="n">
        <f aca="false">'18_DEBT'!AC37</f>
        <v>0</v>
      </c>
      <c r="AE32" s="58" t="n">
        <f aca="false">'18_DEBT'!AD37</f>
        <v>0</v>
      </c>
      <c r="AF32" s="58" t="n">
        <f aca="false">'18_DEBT'!AE37</f>
        <v>0</v>
      </c>
      <c r="AG32" s="58" t="n">
        <f aca="false">'18_DEBT'!AF37</f>
        <v>0</v>
      </c>
      <c r="AH32" s="58" t="n">
        <f aca="false">'18_DEBT'!AG37</f>
        <v>0</v>
      </c>
      <c r="AI32" s="58" t="n">
        <f aca="false">'18_DEBT'!AH37</f>
        <v>0</v>
      </c>
      <c r="AJ32" s="58" t="n">
        <f aca="false">'18_DEBT'!AI37</f>
        <v>0</v>
      </c>
      <c r="AK32" s="58" t="n">
        <f aca="false">'18_DEBT'!AJ37</f>
        <v>0</v>
      </c>
      <c r="AL32" s="58" t="n">
        <f aca="false">'18_DEBT'!AK37</f>
        <v>0</v>
      </c>
      <c r="AM32" s="58" t="n">
        <f aca="false">'18_DEBT'!AL37</f>
        <v>0</v>
      </c>
      <c r="AN32" s="58" t="n">
        <f aca="false">'18_DEBT'!AM37</f>
        <v>0</v>
      </c>
      <c r="AO32" s="58" t="n">
        <f aca="false">'18_DEBT'!AN37</f>
        <v>0</v>
      </c>
      <c r="AP32" s="58" t="n">
        <f aca="false">'18_DEBT'!AO37</f>
        <v>0</v>
      </c>
      <c r="AQ32" s="58" t="n">
        <f aca="false">'18_DEBT'!AP37</f>
        <v>0</v>
      </c>
      <c r="AR32" s="58" t="n">
        <f aca="false">'18_DEBT'!AQ37</f>
        <v>0</v>
      </c>
    </row>
    <row r="33" customFormat="false" ht="15" hidden="false" customHeight="true" outlineLevel="0" collapsed="false">
      <c r="A33" s="23" t="s">
        <v>883</v>
      </c>
      <c r="B33" s="23" t="s">
        <v>121</v>
      </c>
      <c r="C33" s="58" t="n">
        <f aca="false">SUM('18_DEBT'!$E$33:$AR$33)</f>
        <v>145.352217909853</v>
      </c>
      <c r="E33" s="58" t="n">
        <f aca="false">'17_PROJECT_FINANCE'!$C$17*'06_CONSTRUCTION'!E23</f>
        <v>36.3380544774633</v>
      </c>
      <c r="F33" s="58" t="n">
        <f aca="false">'17_PROJECT_FINANCE'!$C$17*'06_CONSTRUCTION'!F23</f>
        <v>72.6761089549265</v>
      </c>
      <c r="G33" s="58" t="n">
        <f aca="false">'17_PROJECT_FINANCE'!$C$17*'06_CONSTRUCTION'!G23</f>
        <v>36.3380544774633</v>
      </c>
      <c r="H33" s="58" t="n">
        <f aca="false">'17_PROJECT_FINANCE'!$C$17*'06_CONSTRUCTION'!H23</f>
        <v>0</v>
      </c>
      <c r="I33" s="58" t="n">
        <f aca="false">'17_PROJECT_FINANCE'!$C$17*'06_CONSTRUCTION'!I23</f>
        <v>0</v>
      </c>
      <c r="J33" s="58" t="n">
        <f aca="false">'17_PROJECT_FINANCE'!$C$17*'06_CONSTRUCTION'!J23</f>
        <v>0</v>
      </c>
      <c r="K33" s="58" t="n">
        <f aca="false">'17_PROJECT_FINANCE'!$C$17*'06_CONSTRUCTION'!K23</f>
        <v>0</v>
      </c>
      <c r="L33" s="58" t="n">
        <f aca="false">'17_PROJECT_FINANCE'!$C$17*'06_CONSTRUCTION'!L23</f>
        <v>0</v>
      </c>
      <c r="M33" s="58" t="n">
        <f aca="false">'17_PROJECT_FINANCE'!$C$17*'06_CONSTRUCTION'!M23</f>
        <v>0</v>
      </c>
      <c r="N33" s="58" t="n">
        <f aca="false">'17_PROJECT_FINANCE'!$C$17*'06_CONSTRUCTION'!N23</f>
        <v>0</v>
      </c>
      <c r="O33" s="58" t="n">
        <f aca="false">'17_PROJECT_FINANCE'!$C$17*'06_CONSTRUCTION'!O23</f>
        <v>0</v>
      </c>
      <c r="P33" s="58" t="n">
        <f aca="false">'17_PROJECT_FINANCE'!$C$17*'06_CONSTRUCTION'!P23</f>
        <v>0</v>
      </c>
      <c r="Q33" s="58" t="n">
        <f aca="false">'17_PROJECT_FINANCE'!$C$17*'06_CONSTRUCTION'!Q23</f>
        <v>0</v>
      </c>
      <c r="R33" s="58" t="n">
        <f aca="false">'17_PROJECT_FINANCE'!$C$17*'06_CONSTRUCTION'!R23</f>
        <v>0</v>
      </c>
      <c r="S33" s="58" t="n">
        <f aca="false">'17_PROJECT_FINANCE'!$C$17*'06_CONSTRUCTION'!S23</f>
        <v>0</v>
      </c>
      <c r="T33" s="58" t="n">
        <f aca="false">'17_PROJECT_FINANCE'!$C$17*'06_CONSTRUCTION'!T23</f>
        <v>0</v>
      </c>
      <c r="U33" s="58" t="n">
        <f aca="false">'17_PROJECT_FINANCE'!$C$17*'06_CONSTRUCTION'!U23</f>
        <v>0</v>
      </c>
      <c r="V33" s="58" t="n">
        <f aca="false">'17_PROJECT_FINANCE'!$C$17*'06_CONSTRUCTION'!V23</f>
        <v>0</v>
      </c>
      <c r="W33" s="58" t="n">
        <f aca="false">'17_PROJECT_FINANCE'!$C$17*'06_CONSTRUCTION'!W23</f>
        <v>0</v>
      </c>
      <c r="X33" s="58" t="n">
        <f aca="false">'17_PROJECT_FINANCE'!$C$17*'06_CONSTRUCTION'!X23</f>
        <v>0</v>
      </c>
      <c r="Y33" s="58" t="n">
        <f aca="false">'17_PROJECT_FINANCE'!$C$17*'06_CONSTRUCTION'!Y23</f>
        <v>0</v>
      </c>
      <c r="Z33" s="58" t="n">
        <f aca="false">'17_PROJECT_FINANCE'!$C$17*'06_CONSTRUCTION'!Z23</f>
        <v>0</v>
      </c>
      <c r="AA33" s="58" t="n">
        <f aca="false">'17_PROJECT_FINANCE'!$C$17*'06_CONSTRUCTION'!AA23</f>
        <v>0</v>
      </c>
      <c r="AB33" s="58" t="n">
        <f aca="false">'17_PROJECT_FINANCE'!$C$17*'06_CONSTRUCTION'!AB23</f>
        <v>0</v>
      </c>
      <c r="AC33" s="58" t="n">
        <f aca="false">'17_PROJECT_FINANCE'!$C$17*'06_CONSTRUCTION'!AC23</f>
        <v>0</v>
      </c>
      <c r="AD33" s="58" t="n">
        <f aca="false">'17_PROJECT_FINANCE'!$C$17*'06_CONSTRUCTION'!AD23</f>
        <v>0</v>
      </c>
      <c r="AE33" s="58" t="n">
        <f aca="false">'17_PROJECT_FINANCE'!$C$17*'06_CONSTRUCTION'!AE23</f>
        <v>0</v>
      </c>
      <c r="AF33" s="58" t="n">
        <f aca="false">'17_PROJECT_FINANCE'!$C$17*'06_CONSTRUCTION'!AF23</f>
        <v>0</v>
      </c>
      <c r="AG33" s="58" t="n">
        <f aca="false">'17_PROJECT_FINANCE'!$C$17*'06_CONSTRUCTION'!AG23</f>
        <v>0</v>
      </c>
      <c r="AH33" s="58" t="n">
        <f aca="false">'17_PROJECT_FINANCE'!$C$17*'06_CONSTRUCTION'!AH23</f>
        <v>0</v>
      </c>
      <c r="AI33" s="58" t="n">
        <f aca="false">'17_PROJECT_FINANCE'!$C$17*'06_CONSTRUCTION'!AI23</f>
        <v>0</v>
      </c>
      <c r="AJ33" s="58" t="n">
        <f aca="false">'17_PROJECT_FINANCE'!$C$17*'06_CONSTRUCTION'!AJ23</f>
        <v>0</v>
      </c>
      <c r="AK33" s="58" t="n">
        <f aca="false">'17_PROJECT_FINANCE'!$C$17*'06_CONSTRUCTION'!AK23</f>
        <v>0</v>
      </c>
      <c r="AL33" s="58" t="n">
        <f aca="false">'17_PROJECT_FINANCE'!$C$17*'06_CONSTRUCTION'!AL23</f>
        <v>0</v>
      </c>
      <c r="AM33" s="58" t="n">
        <f aca="false">'17_PROJECT_FINANCE'!$C$17*'06_CONSTRUCTION'!AM23</f>
        <v>0</v>
      </c>
      <c r="AN33" s="58" t="n">
        <f aca="false">'17_PROJECT_FINANCE'!$C$17*'06_CONSTRUCTION'!AN23</f>
        <v>0</v>
      </c>
      <c r="AO33" s="58" t="n">
        <f aca="false">'17_PROJECT_FINANCE'!$C$17*'06_CONSTRUCTION'!AO23</f>
        <v>0</v>
      </c>
      <c r="AP33" s="58" t="n">
        <f aca="false">'17_PROJECT_FINANCE'!$C$17*'06_CONSTRUCTION'!AP23</f>
        <v>0</v>
      </c>
      <c r="AQ33" s="58" t="n">
        <f aca="false">'17_PROJECT_FINANCE'!$C$17*'06_CONSTRUCTION'!AQ23</f>
        <v>0</v>
      </c>
      <c r="AR33" s="58" t="n">
        <f aca="false">'17_PROJECT_FINANCE'!$C$17*'06_CONSTRUCTION'!AR23</f>
        <v>0</v>
      </c>
    </row>
    <row r="34" customFormat="false" ht="15" hidden="false" customHeight="true" outlineLevel="0" collapsed="false">
      <c r="A34" s="23" t="s">
        <v>884</v>
      </c>
      <c r="B34" s="23" t="s">
        <v>121</v>
      </c>
      <c r="C34" s="58" t="n">
        <f aca="false">SUM('18_DEBT'!$E$34:$AR$34)</f>
        <v>132.384380805049</v>
      </c>
      <c r="E34" s="58" t="n">
        <f aca="false">'18_DEBT'!$C$11*('18_DEBT'!E32+0.5*'18_DEBT'!E33*'06_CONSTRUCTION'!E13)</f>
        <v>1.45352217909853</v>
      </c>
      <c r="F34" s="58" t="n">
        <f aca="false">'18_DEBT'!$C$11*('18_DEBT'!F32+0.5*'18_DEBT'!F33*'06_CONSTRUCTION'!F13)</f>
        <v>5.81408871639412</v>
      </c>
      <c r="G34" s="58" t="n">
        <f aca="false">'18_DEBT'!$C$11*('18_DEBT'!G32+0.5*'18_DEBT'!G33*'06_CONSTRUCTION'!G13)</f>
        <v>10.1746552536897</v>
      </c>
      <c r="H34" s="58" t="n">
        <f aca="false">'18_DEBT'!$C$11*('18_DEBT'!H32+0.5*'18_DEBT'!H33*'06_CONSTRUCTION'!H13)</f>
        <v>11.6281774327882</v>
      </c>
      <c r="I34" s="58" t="n">
        <f aca="false">'18_DEBT'!$C$11*('18_DEBT'!I32+0.5*'18_DEBT'!I33*'06_CONSTRUCTION'!I13)</f>
        <v>11.388128694786</v>
      </c>
      <c r="J34" s="58" t="n">
        <f aca="false">'18_DEBT'!$C$11*('18_DEBT'!J32+0.5*'18_DEBT'!J33*'06_CONSTRUCTION'!J13)</f>
        <v>10.8533805047416</v>
      </c>
      <c r="K34" s="58" t="n">
        <f aca="false">'18_DEBT'!$C$11*('18_DEBT'!K32+0.5*'18_DEBT'!K33*'06_CONSTRUCTION'!K13)</f>
        <v>10.2644430554176</v>
      </c>
      <c r="L34" s="58" t="n">
        <f aca="false">'18_DEBT'!$C$11*('18_DEBT'!L32+0.5*'18_DEBT'!L33*'06_CONSTRUCTION'!L13)</f>
        <v>9.61675301798996</v>
      </c>
      <c r="M34" s="58" t="n">
        <f aca="false">'18_DEBT'!$C$11*('18_DEBT'!M32+0.5*'18_DEBT'!M33*'06_CONSTRUCTION'!M13)</f>
        <v>8.90537743356728</v>
      </c>
      <c r="N34" s="58" t="n">
        <f aca="false">'18_DEBT'!$C$11*('18_DEBT'!N32+0.5*'18_DEBT'!N33*'06_CONSTRUCTION'!N13)</f>
        <v>8.40912557383207</v>
      </c>
      <c r="O34" s="58" t="n">
        <f aca="false">'18_DEBT'!$C$11*('18_DEBT'!O32+0.5*'18_DEBT'!O33*'06_CONSTRUCTION'!O13)</f>
        <v>7.86452863118912</v>
      </c>
      <c r="P34" s="58" t="n">
        <f aca="false">'18_DEBT'!$C$11*('18_DEBT'!P32+0.5*'18_DEBT'!P33*'06_CONSTRUCTION'!P13)</f>
        <v>7.26754610032323</v>
      </c>
      <c r="Q34" s="58" t="n">
        <f aca="false">'18_DEBT'!$C$11*('18_DEBT'!Q32+0.5*'18_DEBT'!Q33*'06_CONSTRUCTION'!Q13)</f>
        <v>6.61381077752033</v>
      </c>
      <c r="R34" s="58" t="n">
        <f aca="false">'18_DEBT'!$C$11*('18_DEBT'!R32+0.5*'18_DEBT'!R33*'06_CONSTRUCTION'!R13)</f>
        <v>5.89860255563613</v>
      </c>
      <c r="S34" s="58" t="n">
        <f aca="false">'18_DEBT'!$C$11*('18_DEBT'!S32+0.5*'18_DEBT'!S33*'06_CONSTRUCTION'!S13)</f>
        <v>5.11682012127896</v>
      </c>
      <c r="T34" s="58" t="n">
        <f aca="false">'18_DEBT'!$C$11*('18_DEBT'!T32+0.5*'18_DEBT'!T33*'06_CONSTRUCTION'!T13)</f>
        <v>4.26295038635654</v>
      </c>
      <c r="U34" s="58" t="n">
        <f aca="false">'18_DEBT'!$C$11*('18_DEBT'!U32+0.5*'18_DEBT'!U33*'06_CONSTRUCTION'!U13)</f>
        <v>3.33103547270733</v>
      </c>
      <c r="V34" s="58" t="n">
        <f aca="false">'18_DEBT'!$C$11*('18_DEBT'!V32+0.5*'18_DEBT'!V33*'06_CONSTRUCTION'!V13)</f>
        <v>2.31463705403451</v>
      </c>
      <c r="W34" s="58" t="n">
        <f aca="false">'18_DEBT'!$C$11*('18_DEBT'!W32+0.5*'18_DEBT'!W33*'06_CONSTRUCTION'!W13)</f>
        <v>1.20679784369758</v>
      </c>
      <c r="X34" s="58" t="n">
        <f aca="false">'18_DEBT'!$C$11*('18_DEBT'!X32+0.5*'18_DEBT'!X33*'06_CONSTRUCTION'!X13)</f>
        <v>0</v>
      </c>
      <c r="Y34" s="58" t="n">
        <f aca="false">'18_DEBT'!$C$11*('18_DEBT'!Y32+0.5*'18_DEBT'!Y33*'06_CONSTRUCTION'!Y13)</f>
        <v>0</v>
      </c>
      <c r="Z34" s="58" t="n">
        <f aca="false">'18_DEBT'!$C$11*('18_DEBT'!Z32+0.5*'18_DEBT'!Z33*'06_CONSTRUCTION'!Z13)</f>
        <v>0</v>
      </c>
      <c r="AA34" s="58" t="n">
        <f aca="false">'18_DEBT'!$C$11*('18_DEBT'!AA32+0.5*'18_DEBT'!AA33*'06_CONSTRUCTION'!AA13)</f>
        <v>0</v>
      </c>
      <c r="AB34" s="58" t="n">
        <f aca="false">'18_DEBT'!$C$11*('18_DEBT'!AB32+0.5*'18_DEBT'!AB33*'06_CONSTRUCTION'!AB13)</f>
        <v>0</v>
      </c>
      <c r="AC34" s="58" t="n">
        <f aca="false">'18_DEBT'!$C$11*('18_DEBT'!AC32+0.5*'18_DEBT'!AC33*'06_CONSTRUCTION'!AC13)</f>
        <v>0</v>
      </c>
      <c r="AD34" s="58" t="n">
        <f aca="false">'18_DEBT'!$C$11*('18_DEBT'!AD32+0.5*'18_DEBT'!AD33*'06_CONSTRUCTION'!AD13)</f>
        <v>0</v>
      </c>
      <c r="AE34" s="58" t="n">
        <f aca="false">'18_DEBT'!$C$11*('18_DEBT'!AE32+0.5*'18_DEBT'!AE33*'06_CONSTRUCTION'!AE13)</f>
        <v>0</v>
      </c>
      <c r="AF34" s="58" t="n">
        <f aca="false">'18_DEBT'!$C$11*('18_DEBT'!AF32+0.5*'18_DEBT'!AF33*'06_CONSTRUCTION'!AF13)</f>
        <v>0</v>
      </c>
      <c r="AG34" s="58" t="n">
        <f aca="false">'18_DEBT'!$C$11*('18_DEBT'!AG32+0.5*'18_DEBT'!AG33*'06_CONSTRUCTION'!AG13)</f>
        <v>0</v>
      </c>
      <c r="AH34" s="58" t="n">
        <f aca="false">'18_DEBT'!$C$11*('18_DEBT'!AH32+0.5*'18_DEBT'!AH33*'06_CONSTRUCTION'!AH13)</f>
        <v>0</v>
      </c>
      <c r="AI34" s="58" t="n">
        <f aca="false">'18_DEBT'!$C$11*('18_DEBT'!AI32+0.5*'18_DEBT'!AI33*'06_CONSTRUCTION'!AI13)</f>
        <v>0</v>
      </c>
      <c r="AJ34" s="58" t="n">
        <f aca="false">'18_DEBT'!$C$11*('18_DEBT'!AJ32+0.5*'18_DEBT'!AJ33*'06_CONSTRUCTION'!AJ13)</f>
        <v>0</v>
      </c>
      <c r="AK34" s="58" t="n">
        <f aca="false">'18_DEBT'!$C$11*('18_DEBT'!AK32+0.5*'18_DEBT'!AK33*'06_CONSTRUCTION'!AK13)</f>
        <v>0</v>
      </c>
      <c r="AL34" s="58" t="n">
        <f aca="false">'18_DEBT'!$C$11*('18_DEBT'!AL32+0.5*'18_DEBT'!AL33*'06_CONSTRUCTION'!AL13)</f>
        <v>0</v>
      </c>
      <c r="AM34" s="58" t="n">
        <f aca="false">'18_DEBT'!$C$11*('18_DEBT'!AM32+0.5*'18_DEBT'!AM33*'06_CONSTRUCTION'!AM13)</f>
        <v>0</v>
      </c>
      <c r="AN34" s="58" t="n">
        <f aca="false">'18_DEBT'!$C$11*('18_DEBT'!AN32+0.5*'18_DEBT'!AN33*'06_CONSTRUCTION'!AN13)</f>
        <v>0</v>
      </c>
      <c r="AO34" s="58" t="n">
        <f aca="false">'18_DEBT'!$C$11*('18_DEBT'!AO32+0.5*'18_DEBT'!AO33*'06_CONSTRUCTION'!AO13)</f>
        <v>0</v>
      </c>
      <c r="AP34" s="58" t="n">
        <f aca="false">'18_DEBT'!$C$11*('18_DEBT'!AP32+0.5*'18_DEBT'!AP33*'06_CONSTRUCTION'!AP13)</f>
        <v>0</v>
      </c>
      <c r="AQ34" s="58" t="n">
        <f aca="false">'18_DEBT'!$C$11*('18_DEBT'!AQ32+0.5*'18_DEBT'!AQ33*'06_CONSTRUCTION'!AQ13)</f>
        <v>0</v>
      </c>
      <c r="AR34" s="58" t="n">
        <f aca="false">'18_DEBT'!$C$11*('18_DEBT'!AR32+0.5*'18_DEBT'!AR33*'06_CONSTRUCTION'!AR13)</f>
        <v>0</v>
      </c>
    </row>
    <row r="35" customFormat="false" ht="15" hidden="false" customHeight="true" outlineLevel="0" collapsed="false">
      <c r="A35" s="23" t="s">
        <v>889</v>
      </c>
      <c r="B35" s="23" t="s">
        <v>121</v>
      </c>
      <c r="E35" s="58" t="n">
        <f aca="false">IF('18_DEBT'!E18=1,IF('01_CONTROL_PANEL'!$C$11=1,IF('17_PROJECT_FINANCE'!$C$23&gt;0,'18_DEBT'!E23*'17_PROJECT_FINANCE'!$C$17/'17_PROJECT_FINANCE'!$C$23,0),IF('18_DEBT'!$C$6&gt;0,INDEX('18_DEBT'!$E$12:$AR$12,1,'06_CONSTRUCTION'!E5)*'17_PROJECT_FINANCE'!$C$17/'18_DEBT'!$C$6,0)+'18_DEBT'!E34),0)</f>
        <v>0</v>
      </c>
      <c r="F35" s="58" t="n">
        <f aca="false">IF('18_DEBT'!F18=1,IF('01_CONTROL_PANEL'!$C$11=1,IF('17_PROJECT_FINANCE'!$C$23&gt;0,'18_DEBT'!F23*'17_PROJECT_FINANCE'!$C$17/'17_PROJECT_FINANCE'!$C$23,0),IF('18_DEBT'!$C$6&gt;0,INDEX('18_DEBT'!$E$12:$AR$12,1,'06_CONSTRUCTION'!F5)*'17_PROJECT_FINANCE'!$C$17/'18_DEBT'!$C$6,0)+'18_DEBT'!F34),0)</f>
        <v>0</v>
      </c>
      <c r="G35" s="58" t="n">
        <f aca="false">IF('18_DEBT'!G18=1,IF('01_CONTROL_PANEL'!$C$11=1,IF('17_PROJECT_FINANCE'!$C$23&gt;0,'18_DEBT'!G23*'17_PROJECT_FINANCE'!$C$17/'17_PROJECT_FINANCE'!$C$23,0),IF('18_DEBT'!$C$6&gt;0,INDEX('18_DEBT'!$E$12:$AR$12,1,'06_CONSTRUCTION'!G5)*'17_PROJECT_FINANCE'!$C$17/'18_DEBT'!$C$6,0)+'18_DEBT'!G34),0)</f>
        <v>0</v>
      </c>
      <c r="H35" s="58" t="n">
        <f aca="false">IF('18_DEBT'!H18=1,IF('01_CONTROL_PANEL'!$C$11=1,IF('17_PROJECT_FINANCE'!$C$23&gt;0,'18_DEBT'!H23*'17_PROJECT_FINANCE'!$C$17/'17_PROJECT_FINANCE'!$C$23,0),IF('18_DEBT'!$C$6&gt;0,INDEX('18_DEBT'!$E$12:$AR$12,1,'06_CONSTRUCTION'!H5)*'17_PROJECT_FINANCE'!$C$17/'18_DEBT'!$C$6,0)+'18_DEBT'!H34),0)</f>
        <v>14.6287866578167</v>
      </c>
      <c r="I35" s="58" t="n">
        <f aca="false">IF('18_DEBT'!I18=1,IF('01_CONTROL_PANEL'!$C$11=1,IF('17_PROJECT_FINANCE'!$C$23&gt;0,'18_DEBT'!I23*'17_PROJECT_FINANCE'!$C$17/'17_PROJECT_FINANCE'!$C$23,0),IF('18_DEBT'!$C$6&gt;0,INDEX('18_DEBT'!$E$12:$AR$12,1,'06_CONSTRUCTION'!I5)*'17_PROJECT_FINANCE'!$C$17/'18_DEBT'!$C$6,0)+'18_DEBT'!I34),0)</f>
        <v>18.0724810703403</v>
      </c>
      <c r="J35" s="58" t="n">
        <f aca="false">IF('18_DEBT'!J18=1,IF('01_CONTROL_PANEL'!$C$11=1,IF('17_PROJECT_FINANCE'!$C$23&gt;0,'18_DEBT'!J23*'17_PROJECT_FINANCE'!$C$17/'17_PROJECT_FINANCE'!$C$23,0),IF('18_DEBT'!$C$6&gt;0,INDEX('18_DEBT'!$E$12:$AR$12,1,'06_CONSTRUCTION'!J5)*'17_PROJECT_FINANCE'!$C$17/'18_DEBT'!$C$6,0)+'18_DEBT'!J34),0)</f>
        <v>18.2150986212921</v>
      </c>
      <c r="K35" s="58" t="n">
        <f aca="false">IF('18_DEBT'!K18=1,IF('01_CONTROL_PANEL'!$C$11=1,IF('17_PROJECT_FINANCE'!$C$23&gt;0,'18_DEBT'!K23*'17_PROJECT_FINANCE'!$C$17/'17_PROJECT_FINANCE'!$C$23,0),IF('18_DEBT'!$C$6&gt;0,INDEX('18_DEBT'!$E$12:$AR$12,1,'06_CONSTRUCTION'!K5)*'17_PROJECT_FINANCE'!$C$17/'18_DEBT'!$C$6,0)+'18_DEBT'!K34),0)</f>
        <v>18.360568523263</v>
      </c>
      <c r="L35" s="58" t="n">
        <f aca="false">IF('18_DEBT'!L18=1,IF('01_CONTROL_PANEL'!$C$11=1,IF('17_PROJECT_FINANCE'!$C$23&gt;0,'18_DEBT'!L23*'17_PROJECT_FINANCE'!$C$17/'17_PROJECT_FINANCE'!$C$23,0),IF('18_DEBT'!$C$6&gt;0,INDEX('18_DEBT'!$E$12:$AR$12,1,'06_CONSTRUCTION'!L5)*'17_PROJECT_FINANCE'!$C$17/'18_DEBT'!$C$6,0)+'18_DEBT'!L34),0)</f>
        <v>18.5089478232734</v>
      </c>
      <c r="M35" s="58" t="n">
        <f aca="false">IF('18_DEBT'!M18=1,IF('01_CONTROL_PANEL'!$C$11=1,IF('17_PROJECT_FINANCE'!$C$23&gt;0,'18_DEBT'!M23*'17_PROJECT_FINANCE'!$C$17/'17_PROJECT_FINANCE'!$C$23,0),IF('18_DEBT'!$C$6&gt;0,INDEX('18_DEBT'!$E$12:$AR$12,1,'06_CONSTRUCTION'!M5)*'17_PROJECT_FINANCE'!$C$17/'18_DEBT'!$C$6,0)+'18_DEBT'!M34),0)</f>
        <v>15.1085256802575</v>
      </c>
      <c r="N35" s="58" t="n">
        <f aca="false">IF('18_DEBT'!N18=1,IF('01_CONTROL_PANEL'!$C$11=1,IF('17_PROJECT_FINANCE'!$C$23&gt;0,'18_DEBT'!N23*'17_PROJECT_FINANCE'!$C$17/'17_PROJECT_FINANCE'!$C$23,0),IF('18_DEBT'!$C$6&gt;0,INDEX('18_DEBT'!$E$12:$AR$12,1,'06_CONSTRUCTION'!N5)*'17_PROJECT_FINANCE'!$C$17/'18_DEBT'!$C$6,0)+'18_DEBT'!N34),0)</f>
        <v>15.216587356869</v>
      </c>
      <c r="O35" s="58" t="n">
        <f aca="false">IF('18_DEBT'!O18=1,IF('01_CONTROL_PANEL'!$C$11=1,IF('17_PROJECT_FINANCE'!$C$23&gt;0,'18_DEBT'!O23*'17_PROJECT_FINANCE'!$C$17/'17_PROJECT_FINANCE'!$C$23,0),IF('18_DEBT'!$C$6&gt;0,INDEX('18_DEBT'!$E$12:$AR$12,1,'06_CONSTRUCTION'!O5)*'17_PROJECT_FINANCE'!$C$17/'18_DEBT'!$C$6,0)+'18_DEBT'!O34),0)</f>
        <v>15.3268102670127</v>
      </c>
      <c r="P35" s="58" t="n">
        <f aca="false">IF('18_DEBT'!P18=1,IF('01_CONTROL_PANEL'!$C$11=1,IF('17_PROJECT_FINANCE'!$C$23&gt;0,'18_DEBT'!P23*'17_PROJECT_FINANCE'!$C$17/'17_PROJECT_FINANCE'!$C$23,0),IF('18_DEBT'!$C$6&gt;0,INDEX('18_DEBT'!$E$12:$AR$12,1,'06_CONSTRUCTION'!P5)*'17_PROJECT_FINANCE'!$C$17/'18_DEBT'!$C$6,0)+'18_DEBT'!P34),0)</f>
        <v>15.4392376353594</v>
      </c>
      <c r="Q35" s="58" t="n">
        <f aca="false">IF('18_DEBT'!Q18=1,IF('01_CONTROL_PANEL'!$C$11=1,IF('17_PROJECT_FINANCE'!$C$23&gt;0,'18_DEBT'!Q23*'17_PROJECT_FINANCE'!$C$17/'17_PROJECT_FINANCE'!$C$23,0),IF('18_DEBT'!$C$6&gt;0,INDEX('18_DEBT'!$E$12:$AR$12,1,'06_CONSTRUCTION'!Q5)*'17_PROJECT_FINANCE'!$C$17/'18_DEBT'!$C$6,0)+'18_DEBT'!Q34),0)</f>
        <v>15.5539135510729</v>
      </c>
      <c r="R35" s="58" t="n">
        <f aca="false">IF('18_DEBT'!R18=1,IF('01_CONTROL_PANEL'!$C$11=1,IF('17_PROJECT_FINANCE'!$C$23&gt;0,'18_DEBT'!R23*'17_PROJECT_FINANCE'!$C$17/'17_PROJECT_FINANCE'!$C$23,0),IF('18_DEBT'!$C$6&gt;0,INDEX('18_DEBT'!$E$12:$AR$12,1,'06_CONSTRUCTION'!R5)*'17_PROJECT_FINANCE'!$C$17/'18_DEBT'!$C$6,0)+'18_DEBT'!R34),0)</f>
        <v>15.6708829851008</v>
      </c>
      <c r="S35" s="58" t="n">
        <f aca="false">IF('18_DEBT'!S18=1,IF('01_CONTROL_PANEL'!$C$11=1,IF('17_PROJECT_FINANCE'!$C$23&gt;0,'18_DEBT'!S23*'17_PROJECT_FINANCE'!$C$17/'17_PROJECT_FINANCE'!$C$23,0),IF('18_DEBT'!$C$6&gt;0,INDEX('18_DEBT'!$E$12:$AR$12,1,'06_CONSTRUCTION'!S5)*'17_PROJECT_FINANCE'!$C$17/'18_DEBT'!$C$6,0)+'18_DEBT'!S34),0)</f>
        <v>15.7901918078091</v>
      </c>
      <c r="T35" s="58" t="n">
        <f aca="false">IF('18_DEBT'!T18=1,IF('01_CONTROL_PANEL'!$C$11=1,IF('17_PROJECT_FINANCE'!$C$23&gt;0,'18_DEBT'!T23*'17_PROJECT_FINANCE'!$C$17/'17_PROJECT_FINANCE'!$C$23,0),IF('18_DEBT'!$C$6&gt;0,INDEX('18_DEBT'!$E$12:$AR$12,1,'06_CONSTRUCTION'!T5)*'17_PROJECT_FINANCE'!$C$17/'18_DEBT'!$C$6,0)+'18_DEBT'!T34),0)</f>
        <v>15.9118868069717</v>
      </c>
      <c r="U35" s="58" t="n">
        <f aca="false">IF('18_DEBT'!U18=1,IF('01_CONTROL_PANEL'!$C$11=1,IF('17_PROJECT_FINANCE'!$C$23&gt;0,'18_DEBT'!U23*'17_PROJECT_FINANCE'!$C$17/'17_PROJECT_FINANCE'!$C$23,0),IF('18_DEBT'!$C$6&gt;0,INDEX('18_DEBT'!$E$12:$AR$12,1,'06_CONSTRUCTION'!U5)*'17_PROJECT_FINANCE'!$C$17/'18_DEBT'!$C$6,0)+'18_DEBT'!U34),0)</f>
        <v>16.0360157061175</v>
      </c>
      <c r="V35" s="58" t="n">
        <f aca="false">IF('18_DEBT'!V18=1,IF('01_CONTROL_PANEL'!$C$11=1,IF('17_PROJECT_FINANCE'!$C$23&gt;0,'18_DEBT'!V23*'17_PROJECT_FINANCE'!$C$17/'17_PROJECT_FINANCE'!$C$23,0),IF('18_DEBT'!$C$6&gt;0,INDEX('18_DEBT'!$E$12:$AR$12,1,'06_CONSTRUCTION'!V5)*'17_PROJECT_FINANCE'!$C$17/'18_DEBT'!$C$6,0)+'18_DEBT'!V34),0)</f>
        <v>16.1626271832462</v>
      </c>
      <c r="W35" s="58" t="n">
        <f aca="false">IF('18_DEBT'!W18=1,IF('01_CONTROL_PANEL'!$C$11=1,IF('17_PROJECT_FINANCE'!$C$23&gt;0,'18_DEBT'!W23*'17_PROJECT_FINANCE'!$C$17/'17_PROJECT_FINANCE'!$C$23,0),IF('18_DEBT'!$C$6&gt;0,INDEX('18_DEBT'!$E$12:$AR$12,1,'06_CONSTRUCTION'!W5)*'17_PROJECT_FINANCE'!$C$17/'18_DEBT'!$C$6,0)+'18_DEBT'!W34),0)</f>
        <v>16.2917708899175</v>
      </c>
      <c r="X35" s="58" t="n">
        <f aca="false">IF('18_DEBT'!X18=1,IF('01_CONTROL_PANEL'!$C$11=1,IF('17_PROJECT_FINANCE'!$C$23&gt;0,'18_DEBT'!X23*'17_PROJECT_FINANCE'!$C$17/'17_PROJECT_FINANCE'!$C$23,0),IF('18_DEBT'!$C$6&gt;0,INDEX('18_DEBT'!$E$12:$AR$12,1,'06_CONSTRUCTION'!X5)*'17_PROJECT_FINANCE'!$C$17/'18_DEBT'!$C$6,0)+'18_DEBT'!X34),0)</f>
        <v>0</v>
      </c>
      <c r="Y35" s="58" t="n">
        <f aca="false">IF('18_DEBT'!Y18=1,IF('01_CONTROL_PANEL'!$C$11=1,IF('17_PROJECT_FINANCE'!$C$23&gt;0,'18_DEBT'!Y23*'17_PROJECT_FINANCE'!$C$17/'17_PROJECT_FINANCE'!$C$23,0),IF('18_DEBT'!$C$6&gt;0,INDEX('18_DEBT'!$E$12:$AR$12,1,'06_CONSTRUCTION'!Y5)*'17_PROJECT_FINANCE'!$C$17/'18_DEBT'!$C$6,0)+'18_DEBT'!Y34),0)</f>
        <v>0</v>
      </c>
      <c r="Z35" s="58" t="n">
        <f aca="false">IF('18_DEBT'!Z18=1,IF('01_CONTROL_PANEL'!$C$11=1,IF('17_PROJECT_FINANCE'!$C$23&gt;0,'18_DEBT'!Z23*'17_PROJECT_FINANCE'!$C$17/'17_PROJECT_FINANCE'!$C$23,0),IF('18_DEBT'!$C$6&gt;0,INDEX('18_DEBT'!$E$12:$AR$12,1,'06_CONSTRUCTION'!Z5)*'17_PROJECT_FINANCE'!$C$17/'18_DEBT'!$C$6,0)+'18_DEBT'!Z34),0)</f>
        <v>0</v>
      </c>
      <c r="AA35" s="58" t="n">
        <f aca="false">IF('18_DEBT'!AA18=1,IF('01_CONTROL_PANEL'!$C$11=1,IF('17_PROJECT_FINANCE'!$C$23&gt;0,'18_DEBT'!AA23*'17_PROJECT_FINANCE'!$C$17/'17_PROJECT_FINANCE'!$C$23,0),IF('18_DEBT'!$C$6&gt;0,INDEX('18_DEBT'!$E$12:$AR$12,1,'06_CONSTRUCTION'!AA5)*'17_PROJECT_FINANCE'!$C$17/'18_DEBT'!$C$6,0)+'18_DEBT'!AA34),0)</f>
        <v>0</v>
      </c>
      <c r="AB35" s="58" t="n">
        <f aca="false">IF('18_DEBT'!AB18=1,IF('01_CONTROL_PANEL'!$C$11=1,IF('17_PROJECT_FINANCE'!$C$23&gt;0,'18_DEBT'!AB23*'17_PROJECT_FINANCE'!$C$17/'17_PROJECT_FINANCE'!$C$23,0),IF('18_DEBT'!$C$6&gt;0,INDEX('18_DEBT'!$E$12:$AR$12,1,'06_CONSTRUCTION'!AB5)*'17_PROJECT_FINANCE'!$C$17/'18_DEBT'!$C$6,0)+'18_DEBT'!AB34),0)</f>
        <v>0</v>
      </c>
      <c r="AC35" s="58" t="n">
        <f aca="false">IF('18_DEBT'!AC18=1,IF('01_CONTROL_PANEL'!$C$11=1,IF('17_PROJECT_FINANCE'!$C$23&gt;0,'18_DEBT'!AC23*'17_PROJECT_FINANCE'!$C$17/'17_PROJECT_FINANCE'!$C$23,0),IF('18_DEBT'!$C$6&gt;0,INDEX('18_DEBT'!$E$12:$AR$12,1,'06_CONSTRUCTION'!AC5)*'17_PROJECT_FINANCE'!$C$17/'18_DEBT'!$C$6,0)+'18_DEBT'!AC34),0)</f>
        <v>0</v>
      </c>
      <c r="AD35" s="58" t="n">
        <f aca="false">IF('18_DEBT'!AD18=1,IF('01_CONTROL_PANEL'!$C$11=1,IF('17_PROJECT_FINANCE'!$C$23&gt;0,'18_DEBT'!AD23*'17_PROJECT_FINANCE'!$C$17/'17_PROJECT_FINANCE'!$C$23,0),IF('18_DEBT'!$C$6&gt;0,INDEX('18_DEBT'!$E$12:$AR$12,1,'06_CONSTRUCTION'!AD5)*'17_PROJECT_FINANCE'!$C$17/'18_DEBT'!$C$6,0)+'18_DEBT'!AD34),0)</f>
        <v>0</v>
      </c>
      <c r="AE35" s="58" t="n">
        <f aca="false">IF('18_DEBT'!AE18=1,IF('01_CONTROL_PANEL'!$C$11=1,IF('17_PROJECT_FINANCE'!$C$23&gt;0,'18_DEBT'!AE23*'17_PROJECT_FINANCE'!$C$17/'17_PROJECT_FINANCE'!$C$23,0),IF('18_DEBT'!$C$6&gt;0,INDEX('18_DEBT'!$E$12:$AR$12,1,'06_CONSTRUCTION'!AE5)*'17_PROJECT_FINANCE'!$C$17/'18_DEBT'!$C$6,0)+'18_DEBT'!AE34),0)</f>
        <v>0</v>
      </c>
      <c r="AF35" s="58" t="n">
        <f aca="false">IF('18_DEBT'!AF18=1,IF('01_CONTROL_PANEL'!$C$11=1,IF('17_PROJECT_FINANCE'!$C$23&gt;0,'18_DEBT'!AF23*'17_PROJECT_FINANCE'!$C$17/'17_PROJECT_FINANCE'!$C$23,0),IF('18_DEBT'!$C$6&gt;0,INDEX('18_DEBT'!$E$12:$AR$12,1,'06_CONSTRUCTION'!AF5)*'17_PROJECT_FINANCE'!$C$17/'18_DEBT'!$C$6,0)+'18_DEBT'!AF34),0)</f>
        <v>0</v>
      </c>
      <c r="AG35" s="58" t="n">
        <f aca="false">IF('18_DEBT'!AG18=1,IF('01_CONTROL_PANEL'!$C$11=1,IF('17_PROJECT_FINANCE'!$C$23&gt;0,'18_DEBT'!AG23*'17_PROJECT_FINANCE'!$C$17/'17_PROJECT_FINANCE'!$C$23,0),IF('18_DEBT'!$C$6&gt;0,INDEX('18_DEBT'!$E$12:$AR$12,1,'06_CONSTRUCTION'!AG5)*'17_PROJECT_FINANCE'!$C$17/'18_DEBT'!$C$6,0)+'18_DEBT'!AG34),0)</f>
        <v>0</v>
      </c>
      <c r="AH35" s="58" t="n">
        <f aca="false">IF('18_DEBT'!AH18=1,IF('01_CONTROL_PANEL'!$C$11=1,IF('17_PROJECT_FINANCE'!$C$23&gt;0,'18_DEBT'!AH23*'17_PROJECT_FINANCE'!$C$17/'17_PROJECT_FINANCE'!$C$23,0),IF('18_DEBT'!$C$6&gt;0,INDEX('18_DEBT'!$E$12:$AR$12,1,'06_CONSTRUCTION'!AH5)*'17_PROJECT_FINANCE'!$C$17/'18_DEBT'!$C$6,0)+'18_DEBT'!AH34),0)</f>
        <v>0</v>
      </c>
      <c r="AI35" s="58" t="n">
        <f aca="false">IF('18_DEBT'!AI18=1,IF('01_CONTROL_PANEL'!$C$11=1,IF('17_PROJECT_FINANCE'!$C$23&gt;0,'18_DEBT'!AI23*'17_PROJECT_FINANCE'!$C$17/'17_PROJECT_FINANCE'!$C$23,0),IF('18_DEBT'!$C$6&gt;0,INDEX('18_DEBT'!$E$12:$AR$12,1,'06_CONSTRUCTION'!AI5)*'17_PROJECT_FINANCE'!$C$17/'18_DEBT'!$C$6,0)+'18_DEBT'!AI34),0)</f>
        <v>0</v>
      </c>
      <c r="AJ35" s="58" t="n">
        <f aca="false">IF('18_DEBT'!AJ18=1,IF('01_CONTROL_PANEL'!$C$11=1,IF('17_PROJECT_FINANCE'!$C$23&gt;0,'18_DEBT'!AJ23*'17_PROJECT_FINANCE'!$C$17/'17_PROJECT_FINANCE'!$C$23,0),IF('18_DEBT'!$C$6&gt;0,INDEX('18_DEBT'!$E$12:$AR$12,1,'06_CONSTRUCTION'!AJ5)*'17_PROJECT_FINANCE'!$C$17/'18_DEBT'!$C$6,0)+'18_DEBT'!AJ34),0)</f>
        <v>0</v>
      </c>
      <c r="AK35" s="58" t="n">
        <f aca="false">IF('18_DEBT'!AK18=1,IF('01_CONTROL_PANEL'!$C$11=1,IF('17_PROJECT_FINANCE'!$C$23&gt;0,'18_DEBT'!AK23*'17_PROJECT_FINANCE'!$C$17/'17_PROJECT_FINANCE'!$C$23,0),IF('18_DEBT'!$C$6&gt;0,INDEX('18_DEBT'!$E$12:$AR$12,1,'06_CONSTRUCTION'!AK5)*'17_PROJECT_FINANCE'!$C$17/'18_DEBT'!$C$6,0)+'18_DEBT'!AK34),0)</f>
        <v>0</v>
      </c>
      <c r="AL35" s="58" t="n">
        <f aca="false">IF('18_DEBT'!AL18=1,IF('01_CONTROL_PANEL'!$C$11=1,IF('17_PROJECT_FINANCE'!$C$23&gt;0,'18_DEBT'!AL23*'17_PROJECT_FINANCE'!$C$17/'17_PROJECT_FINANCE'!$C$23,0),IF('18_DEBT'!$C$6&gt;0,INDEX('18_DEBT'!$E$12:$AR$12,1,'06_CONSTRUCTION'!AL5)*'17_PROJECT_FINANCE'!$C$17/'18_DEBT'!$C$6,0)+'18_DEBT'!AL34),0)</f>
        <v>0</v>
      </c>
      <c r="AM35" s="58" t="n">
        <f aca="false">IF('18_DEBT'!AM18=1,IF('01_CONTROL_PANEL'!$C$11=1,IF('17_PROJECT_FINANCE'!$C$23&gt;0,'18_DEBT'!AM23*'17_PROJECT_FINANCE'!$C$17/'17_PROJECT_FINANCE'!$C$23,0),IF('18_DEBT'!$C$6&gt;0,INDEX('18_DEBT'!$E$12:$AR$12,1,'06_CONSTRUCTION'!AM5)*'17_PROJECT_FINANCE'!$C$17/'18_DEBT'!$C$6,0)+'18_DEBT'!AM34),0)</f>
        <v>0</v>
      </c>
      <c r="AN35" s="58" t="n">
        <f aca="false">IF('18_DEBT'!AN18=1,IF('01_CONTROL_PANEL'!$C$11=1,IF('17_PROJECT_FINANCE'!$C$23&gt;0,'18_DEBT'!AN23*'17_PROJECT_FINANCE'!$C$17/'17_PROJECT_FINANCE'!$C$23,0),IF('18_DEBT'!$C$6&gt;0,INDEX('18_DEBT'!$E$12:$AR$12,1,'06_CONSTRUCTION'!AN5)*'17_PROJECT_FINANCE'!$C$17/'18_DEBT'!$C$6,0)+'18_DEBT'!AN34),0)</f>
        <v>0</v>
      </c>
      <c r="AO35" s="58" t="n">
        <f aca="false">IF('18_DEBT'!AO18=1,IF('01_CONTROL_PANEL'!$C$11=1,IF('17_PROJECT_FINANCE'!$C$23&gt;0,'18_DEBT'!AO23*'17_PROJECT_FINANCE'!$C$17/'17_PROJECT_FINANCE'!$C$23,0),IF('18_DEBT'!$C$6&gt;0,INDEX('18_DEBT'!$E$12:$AR$12,1,'06_CONSTRUCTION'!AO5)*'17_PROJECT_FINANCE'!$C$17/'18_DEBT'!$C$6,0)+'18_DEBT'!AO34),0)</f>
        <v>0</v>
      </c>
      <c r="AP35" s="58" t="n">
        <f aca="false">IF('18_DEBT'!AP18=1,IF('01_CONTROL_PANEL'!$C$11=1,IF('17_PROJECT_FINANCE'!$C$23&gt;0,'18_DEBT'!AP23*'17_PROJECT_FINANCE'!$C$17/'17_PROJECT_FINANCE'!$C$23,0),IF('18_DEBT'!$C$6&gt;0,INDEX('18_DEBT'!$E$12:$AR$12,1,'06_CONSTRUCTION'!AP5)*'17_PROJECT_FINANCE'!$C$17/'18_DEBT'!$C$6,0)+'18_DEBT'!AP34),0)</f>
        <v>0</v>
      </c>
      <c r="AQ35" s="58" t="n">
        <f aca="false">IF('18_DEBT'!AQ18=1,IF('01_CONTROL_PANEL'!$C$11=1,IF('17_PROJECT_FINANCE'!$C$23&gt;0,'18_DEBT'!AQ23*'17_PROJECT_FINANCE'!$C$17/'17_PROJECT_FINANCE'!$C$23,0),IF('18_DEBT'!$C$6&gt;0,INDEX('18_DEBT'!$E$12:$AR$12,1,'06_CONSTRUCTION'!AQ5)*'17_PROJECT_FINANCE'!$C$17/'18_DEBT'!$C$6,0)+'18_DEBT'!AQ34),0)</f>
        <v>0</v>
      </c>
      <c r="AR35" s="58" t="n">
        <f aca="false">IF('18_DEBT'!AR18=1,IF('01_CONTROL_PANEL'!$C$11=1,IF('17_PROJECT_FINANCE'!$C$23&gt;0,'18_DEBT'!AR23*'17_PROJECT_FINANCE'!$C$17/'17_PROJECT_FINANCE'!$C$23,0),IF('18_DEBT'!$C$6&gt;0,INDEX('18_DEBT'!$E$12:$AR$12,1,'06_CONSTRUCTION'!AR5)*'17_PROJECT_FINANCE'!$C$17/'18_DEBT'!$C$6,0)+'18_DEBT'!AR34),0)</f>
        <v>0</v>
      </c>
    </row>
    <row r="36" customFormat="false" ht="15" hidden="false" customHeight="true" outlineLevel="0" collapsed="false">
      <c r="A36" s="23" t="s">
        <v>885</v>
      </c>
      <c r="B36" s="23" t="s">
        <v>121</v>
      </c>
      <c r="C36" s="58" t="n">
        <f aca="false">SUM('18_DEBT'!$E$36:$AR$36)</f>
        <v>145.352217909853</v>
      </c>
      <c r="E36" s="58" t="n">
        <f aca="false">IF('18_DEBT'!E18=1,MAX(0,MIN('18_DEBT'!E32,IF('06_CONSTRUCTION'!E5='17A_STRUCTURES'!$C$21,'18_DEBT'!E32,'18_DEBT'!E35-'18_DEBT'!E34))),0)</f>
        <v>0</v>
      </c>
      <c r="F36" s="58" t="n">
        <f aca="false">IF('18_DEBT'!F18=1,MAX(0,MIN('18_DEBT'!F32,IF('06_CONSTRUCTION'!F5='17A_STRUCTURES'!$C$21,'18_DEBT'!F32,'18_DEBT'!F35-'18_DEBT'!F34))),0)</f>
        <v>0</v>
      </c>
      <c r="G36" s="58" t="n">
        <f aca="false">IF('18_DEBT'!G18=1,MAX(0,MIN('18_DEBT'!G32,IF('06_CONSTRUCTION'!G5='17A_STRUCTURES'!$C$21,'18_DEBT'!G32,'18_DEBT'!G35-'18_DEBT'!G34))),0)</f>
        <v>0</v>
      </c>
      <c r="H36" s="58" t="n">
        <f aca="false">IF('18_DEBT'!H18=1,MAX(0,MIN('18_DEBT'!H32,IF('06_CONSTRUCTION'!H5='17A_STRUCTURES'!$C$21,'18_DEBT'!H32,'18_DEBT'!H35-'18_DEBT'!H34))),0)</f>
        <v>3.00060922502841</v>
      </c>
      <c r="I36" s="58" t="n">
        <f aca="false">IF('18_DEBT'!I18=1,MAX(0,MIN('18_DEBT'!I32,IF('06_CONSTRUCTION'!I5='17A_STRUCTURES'!$C$21,'18_DEBT'!I32,'18_DEBT'!I35-'18_DEBT'!I34))),0)</f>
        <v>6.68435237555428</v>
      </c>
      <c r="J36" s="58" t="n">
        <f aca="false">IF('18_DEBT'!J18=1,MAX(0,MIN('18_DEBT'!J32,IF('06_CONSTRUCTION'!J5='17A_STRUCTURES'!$C$21,'18_DEBT'!J32,'18_DEBT'!J35-'18_DEBT'!J34))),0)</f>
        <v>7.3617181165505</v>
      </c>
      <c r="K36" s="58" t="n">
        <f aca="false">IF('18_DEBT'!K18=1,MAX(0,MIN('18_DEBT'!K32,IF('06_CONSTRUCTION'!K5='17A_STRUCTURES'!$C$21,'18_DEBT'!K32,'18_DEBT'!K35-'18_DEBT'!K34))),0)</f>
        <v>8.09612546784546</v>
      </c>
      <c r="L36" s="58" t="n">
        <f aca="false">IF('18_DEBT'!L18=1,MAX(0,MIN('18_DEBT'!L32,IF('06_CONSTRUCTION'!L5='17A_STRUCTURES'!$C$21,'18_DEBT'!L32,'18_DEBT'!L35-'18_DEBT'!L34))),0)</f>
        <v>8.89219480528341</v>
      </c>
      <c r="M36" s="58" t="n">
        <f aca="false">IF('18_DEBT'!M18=1,MAX(0,MIN('18_DEBT'!M32,IF('06_CONSTRUCTION'!M5='17A_STRUCTURES'!$C$21,'18_DEBT'!M32,'18_DEBT'!M35-'18_DEBT'!M34))),0)</f>
        <v>6.20314824669018</v>
      </c>
      <c r="N36" s="58" t="n">
        <f aca="false">IF('18_DEBT'!N18=1,MAX(0,MIN('18_DEBT'!N32,IF('06_CONSTRUCTION'!N5='17A_STRUCTURES'!$C$21,'18_DEBT'!N32,'18_DEBT'!N35-'18_DEBT'!N34))),0)</f>
        <v>6.80746178303692</v>
      </c>
      <c r="O36" s="58" t="n">
        <f aca="false">IF('18_DEBT'!O18=1,MAX(0,MIN('18_DEBT'!O32,IF('06_CONSTRUCTION'!O5='17A_STRUCTURES'!$C$21,'18_DEBT'!O32,'18_DEBT'!O35-'18_DEBT'!O34))),0)</f>
        <v>7.46228163582362</v>
      </c>
      <c r="P36" s="58" t="n">
        <f aca="false">IF('18_DEBT'!P18=1,MAX(0,MIN('18_DEBT'!P32,IF('06_CONSTRUCTION'!P5='17A_STRUCTURES'!$C$21,'18_DEBT'!P32,'18_DEBT'!P35-'18_DEBT'!P34))),0)</f>
        <v>8.17169153503614</v>
      </c>
      <c r="Q36" s="58" t="n">
        <f aca="false">IF('18_DEBT'!Q18=1,MAX(0,MIN('18_DEBT'!Q32,IF('06_CONSTRUCTION'!Q5='17A_STRUCTURES'!$C$21,'18_DEBT'!Q32,'18_DEBT'!Q35-'18_DEBT'!Q34))),0)</f>
        <v>8.9401027735526</v>
      </c>
      <c r="R36" s="58" t="n">
        <f aca="false">IF('18_DEBT'!R18=1,MAX(0,MIN('18_DEBT'!R32,IF('06_CONSTRUCTION'!R5='17A_STRUCTURES'!$C$21,'18_DEBT'!R32,'18_DEBT'!R35-'18_DEBT'!R34))),0)</f>
        <v>9.77228042946463</v>
      </c>
      <c r="S36" s="58" t="n">
        <f aca="false">IF('18_DEBT'!S18=1,MAX(0,MIN('18_DEBT'!S32,IF('06_CONSTRUCTION'!S5='17A_STRUCTURES'!$C$21,'18_DEBT'!S32,'18_DEBT'!S35-'18_DEBT'!S34))),0)</f>
        <v>10.6733716865302</v>
      </c>
      <c r="T36" s="58" t="n">
        <f aca="false">IF('18_DEBT'!T18=1,MAX(0,MIN('18_DEBT'!T32,IF('06_CONSTRUCTION'!T5='17A_STRUCTURES'!$C$21,'18_DEBT'!T32,'18_DEBT'!T35-'18_DEBT'!T34))),0)</f>
        <v>11.6489364206152</v>
      </c>
      <c r="U36" s="58" t="n">
        <f aca="false">IF('18_DEBT'!U18=1,MAX(0,MIN('18_DEBT'!U32,IF('06_CONSTRUCTION'!U5='17A_STRUCTURES'!$C$21,'18_DEBT'!U32,'18_DEBT'!U35-'18_DEBT'!U34))),0)</f>
        <v>12.7049802334102</v>
      </c>
      <c r="V36" s="58" t="n">
        <f aca="false">IF('18_DEBT'!V18=1,MAX(0,MIN('18_DEBT'!V32,IF('06_CONSTRUCTION'!V5='17A_STRUCTURES'!$C$21,'18_DEBT'!V32,'18_DEBT'!V35-'18_DEBT'!V34))),0)</f>
        <v>13.8479901292117</v>
      </c>
      <c r="W36" s="58" t="n">
        <f aca="false">IF('18_DEBT'!W18=1,MAX(0,MIN('18_DEBT'!W32,IF('06_CONSTRUCTION'!W5='17A_STRUCTURES'!$C$21,'18_DEBT'!W32,'18_DEBT'!W35-'18_DEBT'!W34))),0)</f>
        <v>15.0849730462197</v>
      </c>
      <c r="X36" s="58" t="n">
        <f aca="false">IF('18_DEBT'!X18=1,MAX(0,MIN('18_DEBT'!X32,IF('06_CONSTRUCTION'!X5='17A_STRUCTURES'!$C$21,'18_DEBT'!X32,'18_DEBT'!X35-'18_DEBT'!X34))),0)</f>
        <v>0</v>
      </c>
      <c r="Y36" s="58" t="n">
        <f aca="false">IF('18_DEBT'!Y18=1,MAX(0,MIN('18_DEBT'!Y32,IF('06_CONSTRUCTION'!Y5='17A_STRUCTURES'!$C$21,'18_DEBT'!Y32,'18_DEBT'!Y35-'18_DEBT'!Y34))),0)</f>
        <v>0</v>
      </c>
      <c r="Z36" s="58" t="n">
        <f aca="false">IF('18_DEBT'!Z18=1,MAX(0,MIN('18_DEBT'!Z32,IF('06_CONSTRUCTION'!Z5='17A_STRUCTURES'!$C$21,'18_DEBT'!Z32,'18_DEBT'!Z35-'18_DEBT'!Z34))),0)</f>
        <v>0</v>
      </c>
      <c r="AA36" s="58" t="n">
        <f aca="false">IF('18_DEBT'!AA18=1,MAX(0,MIN('18_DEBT'!AA32,IF('06_CONSTRUCTION'!AA5='17A_STRUCTURES'!$C$21,'18_DEBT'!AA32,'18_DEBT'!AA35-'18_DEBT'!AA34))),0)</f>
        <v>0</v>
      </c>
      <c r="AB36" s="58" t="n">
        <f aca="false">IF('18_DEBT'!AB18=1,MAX(0,MIN('18_DEBT'!AB32,IF('06_CONSTRUCTION'!AB5='17A_STRUCTURES'!$C$21,'18_DEBT'!AB32,'18_DEBT'!AB35-'18_DEBT'!AB34))),0)</f>
        <v>0</v>
      </c>
      <c r="AC36" s="58" t="n">
        <f aca="false">IF('18_DEBT'!AC18=1,MAX(0,MIN('18_DEBT'!AC32,IF('06_CONSTRUCTION'!AC5='17A_STRUCTURES'!$C$21,'18_DEBT'!AC32,'18_DEBT'!AC35-'18_DEBT'!AC34))),0)</f>
        <v>0</v>
      </c>
      <c r="AD36" s="58" t="n">
        <f aca="false">IF('18_DEBT'!AD18=1,MAX(0,MIN('18_DEBT'!AD32,IF('06_CONSTRUCTION'!AD5='17A_STRUCTURES'!$C$21,'18_DEBT'!AD32,'18_DEBT'!AD35-'18_DEBT'!AD34))),0)</f>
        <v>0</v>
      </c>
      <c r="AE36" s="58" t="n">
        <f aca="false">IF('18_DEBT'!AE18=1,MAX(0,MIN('18_DEBT'!AE32,IF('06_CONSTRUCTION'!AE5='17A_STRUCTURES'!$C$21,'18_DEBT'!AE32,'18_DEBT'!AE35-'18_DEBT'!AE34))),0)</f>
        <v>0</v>
      </c>
      <c r="AF36" s="58" t="n">
        <f aca="false">IF('18_DEBT'!AF18=1,MAX(0,MIN('18_DEBT'!AF32,IF('06_CONSTRUCTION'!AF5='17A_STRUCTURES'!$C$21,'18_DEBT'!AF32,'18_DEBT'!AF35-'18_DEBT'!AF34))),0)</f>
        <v>0</v>
      </c>
      <c r="AG36" s="58" t="n">
        <f aca="false">IF('18_DEBT'!AG18=1,MAX(0,MIN('18_DEBT'!AG32,IF('06_CONSTRUCTION'!AG5='17A_STRUCTURES'!$C$21,'18_DEBT'!AG32,'18_DEBT'!AG35-'18_DEBT'!AG34))),0)</f>
        <v>0</v>
      </c>
      <c r="AH36" s="58" t="n">
        <f aca="false">IF('18_DEBT'!AH18=1,MAX(0,MIN('18_DEBT'!AH32,IF('06_CONSTRUCTION'!AH5='17A_STRUCTURES'!$C$21,'18_DEBT'!AH32,'18_DEBT'!AH35-'18_DEBT'!AH34))),0)</f>
        <v>0</v>
      </c>
      <c r="AI36" s="58" t="n">
        <f aca="false">IF('18_DEBT'!AI18=1,MAX(0,MIN('18_DEBT'!AI32,IF('06_CONSTRUCTION'!AI5='17A_STRUCTURES'!$C$21,'18_DEBT'!AI32,'18_DEBT'!AI35-'18_DEBT'!AI34))),0)</f>
        <v>0</v>
      </c>
      <c r="AJ36" s="58" t="n">
        <f aca="false">IF('18_DEBT'!AJ18=1,MAX(0,MIN('18_DEBT'!AJ32,IF('06_CONSTRUCTION'!AJ5='17A_STRUCTURES'!$C$21,'18_DEBT'!AJ32,'18_DEBT'!AJ35-'18_DEBT'!AJ34))),0)</f>
        <v>0</v>
      </c>
      <c r="AK36" s="58" t="n">
        <f aca="false">IF('18_DEBT'!AK18=1,MAX(0,MIN('18_DEBT'!AK32,IF('06_CONSTRUCTION'!AK5='17A_STRUCTURES'!$C$21,'18_DEBT'!AK32,'18_DEBT'!AK35-'18_DEBT'!AK34))),0)</f>
        <v>0</v>
      </c>
      <c r="AL36" s="58" t="n">
        <f aca="false">IF('18_DEBT'!AL18=1,MAX(0,MIN('18_DEBT'!AL32,IF('06_CONSTRUCTION'!AL5='17A_STRUCTURES'!$C$21,'18_DEBT'!AL32,'18_DEBT'!AL35-'18_DEBT'!AL34))),0)</f>
        <v>0</v>
      </c>
      <c r="AM36" s="58" t="n">
        <f aca="false">IF('18_DEBT'!AM18=1,MAX(0,MIN('18_DEBT'!AM32,IF('06_CONSTRUCTION'!AM5='17A_STRUCTURES'!$C$21,'18_DEBT'!AM32,'18_DEBT'!AM35-'18_DEBT'!AM34))),0)</f>
        <v>0</v>
      </c>
      <c r="AN36" s="58" t="n">
        <f aca="false">IF('18_DEBT'!AN18=1,MAX(0,MIN('18_DEBT'!AN32,IF('06_CONSTRUCTION'!AN5='17A_STRUCTURES'!$C$21,'18_DEBT'!AN32,'18_DEBT'!AN35-'18_DEBT'!AN34))),0)</f>
        <v>0</v>
      </c>
      <c r="AO36" s="58" t="n">
        <f aca="false">IF('18_DEBT'!AO18=1,MAX(0,MIN('18_DEBT'!AO32,IF('06_CONSTRUCTION'!AO5='17A_STRUCTURES'!$C$21,'18_DEBT'!AO32,'18_DEBT'!AO35-'18_DEBT'!AO34))),0)</f>
        <v>0</v>
      </c>
      <c r="AP36" s="58" t="n">
        <f aca="false">IF('18_DEBT'!AP18=1,MAX(0,MIN('18_DEBT'!AP32,IF('06_CONSTRUCTION'!AP5='17A_STRUCTURES'!$C$21,'18_DEBT'!AP32,'18_DEBT'!AP35-'18_DEBT'!AP34))),0)</f>
        <v>0</v>
      </c>
      <c r="AQ36" s="58" t="n">
        <f aca="false">IF('18_DEBT'!AQ18=1,MAX(0,MIN('18_DEBT'!AQ32,IF('06_CONSTRUCTION'!AQ5='17A_STRUCTURES'!$C$21,'18_DEBT'!AQ32,'18_DEBT'!AQ35-'18_DEBT'!AQ34))),0)</f>
        <v>0</v>
      </c>
      <c r="AR36" s="58" t="n">
        <f aca="false">IF('18_DEBT'!AR18=1,MAX(0,MIN('18_DEBT'!AR32,IF('06_CONSTRUCTION'!AR5='17A_STRUCTURES'!$C$21,'18_DEBT'!AR32,'18_DEBT'!AR35-'18_DEBT'!AR34))),0)</f>
        <v>0</v>
      </c>
    </row>
    <row r="37" customFormat="false" ht="15" hidden="false" customHeight="true" outlineLevel="0" collapsed="false">
      <c r="A37" s="23" t="s">
        <v>886</v>
      </c>
      <c r="B37" s="23" t="s">
        <v>121</v>
      </c>
      <c r="E37" s="58" t="n">
        <f aca="false">'18_DEBT'!E32+'18_DEBT'!E33-'18_DEBT'!E36</f>
        <v>36.3380544774633</v>
      </c>
      <c r="F37" s="58" t="n">
        <f aca="false">'18_DEBT'!F32+'18_DEBT'!F33-'18_DEBT'!F36</f>
        <v>109.01416343239</v>
      </c>
      <c r="G37" s="58" t="n">
        <f aca="false">'18_DEBT'!G32+'18_DEBT'!G33-'18_DEBT'!G36</f>
        <v>145.352217909853</v>
      </c>
      <c r="H37" s="58" t="n">
        <f aca="false">'18_DEBT'!H32+'18_DEBT'!H33-'18_DEBT'!H36</f>
        <v>142.351608684825</v>
      </c>
      <c r="I37" s="58" t="n">
        <f aca="false">'18_DEBT'!I32+'18_DEBT'!I33-'18_DEBT'!I36</f>
        <v>135.66725630927</v>
      </c>
      <c r="J37" s="58" t="n">
        <f aca="false">'18_DEBT'!J32+'18_DEBT'!J33-'18_DEBT'!J36</f>
        <v>128.30553819272</v>
      </c>
      <c r="K37" s="58" t="n">
        <f aca="false">'18_DEBT'!K32+'18_DEBT'!K33-'18_DEBT'!K36</f>
        <v>120.209412724874</v>
      </c>
      <c r="L37" s="58" t="n">
        <f aca="false">'18_DEBT'!L32+'18_DEBT'!L33-'18_DEBT'!L36</f>
        <v>111.317217919591</v>
      </c>
      <c r="M37" s="58" t="n">
        <f aca="false">'18_DEBT'!M32+'18_DEBT'!M33-'18_DEBT'!M36</f>
        <v>105.114069672901</v>
      </c>
      <c r="N37" s="58" t="n">
        <f aca="false">'18_DEBT'!N32+'18_DEBT'!N33-'18_DEBT'!N36</f>
        <v>98.3066078898639</v>
      </c>
      <c r="O37" s="58" t="n">
        <f aca="false">'18_DEBT'!O32+'18_DEBT'!O33-'18_DEBT'!O36</f>
        <v>90.8443262540403</v>
      </c>
      <c r="P37" s="58" t="n">
        <f aca="false">'18_DEBT'!P32+'18_DEBT'!P33-'18_DEBT'!P36</f>
        <v>82.6726347190042</v>
      </c>
      <c r="Q37" s="58" t="n">
        <f aca="false">'18_DEBT'!Q32+'18_DEBT'!Q33-'18_DEBT'!Q36</f>
        <v>73.7325319454516</v>
      </c>
      <c r="R37" s="58" t="n">
        <f aca="false">'18_DEBT'!R32+'18_DEBT'!R33-'18_DEBT'!R36</f>
        <v>63.960251515987</v>
      </c>
      <c r="S37" s="58" t="n">
        <f aca="false">'18_DEBT'!S32+'18_DEBT'!S33-'18_DEBT'!S36</f>
        <v>53.2868798294568</v>
      </c>
      <c r="T37" s="58" t="n">
        <f aca="false">'18_DEBT'!T32+'18_DEBT'!T33-'18_DEBT'!T36</f>
        <v>41.6379434088416</v>
      </c>
      <c r="U37" s="58" t="n">
        <f aca="false">'18_DEBT'!U32+'18_DEBT'!U33-'18_DEBT'!U36</f>
        <v>28.9329631754314</v>
      </c>
      <c r="V37" s="58" t="n">
        <f aca="false">'18_DEBT'!V32+'18_DEBT'!V33-'18_DEBT'!V36</f>
        <v>15.0849730462197</v>
      </c>
      <c r="W37" s="58" t="n">
        <f aca="false">'18_DEBT'!W32+'18_DEBT'!W33-'18_DEBT'!W36</f>
        <v>0</v>
      </c>
      <c r="X37" s="58" t="n">
        <f aca="false">'18_DEBT'!X32+'18_DEBT'!X33-'18_DEBT'!X36</f>
        <v>0</v>
      </c>
      <c r="Y37" s="58" t="n">
        <f aca="false">'18_DEBT'!Y32+'18_DEBT'!Y33-'18_DEBT'!Y36</f>
        <v>0</v>
      </c>
      <c r="Z37" s="58" t="n">
        <f aca="false">'18_DEBT'!Z32+'18_DEBT'!Z33-'18_DEBT'!Z36</f>
        <v>0</v>
      </c>
      <c r="AA37" s="58" t="n">
        <f aca="false">'18_DEBT'!AA32+'18_DEBT'!AA33-'18_DEBT'!AA36</f>
        <v>0</v>
      </c>
      <c r="AB37" s="58" t="n">
        <f aca="false">'18_DEBT'!AB32+'18_DEBT'!AB33-'18_DEBT'!AB36</f>
        <v>0</v>
      </c>
      <c r="AC37" s="58" t="n">
        <f aca="false">'18_DEBT'!AC32+'18_DEBT'!AC33-'18_DEBT'!AC36</f>
        <v>0</v>
      </c>
      <c r="AD37" s="58" t="n">
        <f aca="false">'18_DEBT'!AD32+'18_DEBT'!AD33-'18_DEBT'!AD36</f>
        <v>0</v>
      </c>
      <c r="AE37" s="58" t="n">
        <f aca="false">'18_DEBT'!AE32+'18_DEBT'!AE33-'18_DEBT'!AE36</f>
        <v>0</v>
      </c>
      <c r="AF37" s="58" t="n">
        <f aca="false">'18_DEBT'!AF32+'18_DEBT'!AF33-'18_DEBT'!AF36</f>
        <v>0</v>
      </c>
      <c r="AG37" s="58" t="n">
        <f aca="false">'18_DEBT'!AG32+'18_DEBT'!AG33-'18_DEBT'!AG36</f>
        <v>0</v>
      </c>
      <c r="AH37" s="58" t="n">
        <f aca="false">'18_DEBT'!AH32+'18_DEBT'!AH33-'18_DEBT'!AH36</f>
        <v>0</v>
      </c>
      <c r="AI37" s="58" t="n">
        <f aca="false">'18_DEBT'!AI32+'18_DEBT'!AI33-'18_DEBT'!AI36</f>
        <v>0</v>
      </c>
      <c r="AJ37" s="58" t="n">
        <f aca="false">'18_DEBT'!AJ32+'18_DEBT'!AJ33-'18_DEBT'!AJ36</f>
        <v>0</v>
      </c>
      <c r="AK37" s="58" t="n">
        <f aca="false">'18_DEBT'!AK32+'18_DEBT'!AK33-'18_DEBT'!AK36</f>
        <v>0</v>
      </c>
      <c r="AL37" s="58" t="n">
        <f aca="false">'18_DEBT'!AL32+'18_DEBT'!AL33-'18_DEBT'!AL36</f>
        <v>0</v>
      </c>
      <c r="AM37" s="58" t="n">
        <f aca="false">'18_DEBT'!AM32+'18_DEBT'!AM33-'18_DEBT'!AM36</f>
        <v>0</v>
      </c>
      <c r="AN37" s="58" t="n">
        <f aca="false">'18_DEBT'!AN32+'18_DEBT'!AN33-'18_DEBT'!AN36</f>
        <v>0</v>
      </c>
      <c r="AO37" s="58" t="n">
        <f aca="false">'18_DEBT'!AO32+'18_DEBT'!AO33-'18_DEBT'!AO36</f>
        <v>0</v>
      </c>
      <c r="AP37" s="58" t="n">
        <f aca="false">'18_DEBT'!AP32+'18_DEBT'!AP33-'18_DEBT'!AP36</f>
        <v>0</v>
      </c>
      <c r="AQ37" s="58" t="n">
        <f aca="false">'18_DEBT'!AQ32+'18_DEBT'!AQ33-'18_DEBT'!AQ36</f>
        <v>0</v>
      </c>
      <c r="AR37" s="58" t="n">
        <f aca="false">'18_DEBT'!AR32+'18_DEBT'!AR33-'18_DEBT'!AR36</f>
        <v>0</v>
      </c>
    </row>
    <row r="38" customFormat="false" ht="15" hidden="false" customHeight="true" outlineLevel="0" collapsed="false">
      <c r="A38" s="23" t="s">
        <v>887</v>
      </c>
      <c r="B38" s="23" t="s">
        <v>121</v>
      </c>
      <c r="C38" s="58" t="n">
        <f aca="false">SUM('18_DEBT'!$E$38:$AR$38)</f>
        <v>260.29433256572</v>
      </c>
      <c r="E38" s="58" t="n">
        <f aca="false">'06_CONSTRUCTION'!E14*('18_DEBT'!E34+'18_DEBT'!E36)</f>
        <v>0</v>
      </c>
      <c r="F38" s="58" t="n">
        <f aca="false">'06_CONSTRUCTION'!F14*('18_DEBT'!F34+'18_DEBT'!F36)</f>
        <v>0</v>
      </c>
      <c r="G38" s="58" t="n">
        <f aca="false">'06_CONSTRUCTION'!G14*('18_DEBT'!G34+'18_DEBT'!G36)</f>
        <v>0</v>
      </c>
      <c r="H38" s="58" t="n">
        <f aca="false">'06_CONSTRUCTION'!H14*('18_DEBT'!H34+'18_DEBT'!H36)</f>
        <v>14.6287866578167</v>
      </c>
      <c r="I38" s="58" t="n">
        <f aca="false">'06_CONSTRUCTION'!I14*('18_DEBT'!I34+'18_DEBT'!I36)</f>
        <v>18.0724810703403</v>
      </c>
      <c r="J38" s="58" t="n">
        <f aca="false">'06_CONSTRUCTION'!J14*('18_DEBT'!J34+'18_DEBT'!J36)</f>
        <v>18.2150986212921</v>
      </c>
      <c r="K38" s="58" t="n">
        <f aca="false">'06_CONSTRUCTION'!K14*('18_DEBT'!K34+'18_DEBT'!K36)</f>
        <v>18.360568523263</v>
      </c>
      <c r="L38" s="58" t="n">
        <f aca="false">'06_CONSTRUCTION'!L14*('18_DEBT'!L34+'18_DEBT'!L36)</f>
        <v>18.5089478232734</v>
      </c>
      <c r="M38" s="58" t="n">
        <f aca="false">'06_CONSTRUCTION'!M14*('18_DEBT'!M34+'18_DEBT'!M36)</f>
        <v>15.1085256802575</v>
      </c>
      <c r="N38" s="58" t="n">
        <f aca="false">'06_CONSTRUCTION'!N14*('18_DEBT'!N34+'18_DEBT'!N36)</f>
        <v>15.216587356869</v>
      </c>
      <c r="O38" s="58" t="n">
        <f aca="false">'06_CONSTRUCTION'!O14*('18_DEBT'!O34+'18_DEBT'!O36)</f>
        <v>15.3268102670127</v>
      </c>
      <c r="P38" s="58" t="n">
        <f aca="false">'06_CONSTRUCTION'!P14*('18_DEBT'!P34+'18_DEBT'!P36)</f>
        <v>15.4392376353594</v>
      </c>
      <c r="Q38" s="58" t="n">
        <f aca="false">'06_CONSTRUCTION'!Q14*('18_DEBT'!Q34+'18_DEBT'!Q36)</f>
        <v>15.5539135510729</v>
      </c>
      <c r="R38" s="58" t="n">
        <f aca="false">'06_CONSTRUCTION'!R14*('18_DEBT'!R34+'18_DEBT'!R36)</f>
        <v>15.6708829851008</v>
      </c>
      <c r="S38" s="58" t="n">
        <f aca="false">'06_CONSTRUCTION'!S14*('18_DEBT'!S34+'18_DEBT'!S36)</f>
        <v>15.7901918078091</v>
      </c>
      <c r="T38" s="58" t="n">
        <f aca="false">'06_CONSTRUCTION'!T14*('18_DEBT'!T34+'18_DEBT'!T36)</f>
        <v>15.9118868069717</v>
      </c>
      <c r="U38" s="58" t="n">
        <f aca="false">'06_CONSTRUCTION'!U14*('18_DEBT'!U34+'18_DEBT'!U36)</f>
        <v>16.0360157061175</v>
      </c>
      <c r="V38" s="58" t="n">
        <f aca="false">'06_CONSTRUCTION'!V14*('18_DEBT'!V34+'18_DEBT'!V36)</f>
        <v>16.1626271832462</v>
      </c>
      <c r="W38" s="58" t="n">
        <f aca="false">'06_CONSTRUCTION'!W14*('18_DEBT'!W34+'18_DEBT'!W36)</f>
        <v>16.2917708899173</v>
      </c>
      <c r="X38" s="58" t="n">
        <f aca="false">'06_CONSTRUCTION'!X14*('18_DEBT'!X34+'18_DEBT'!X36)</f>
        <v>0</v>
      </c>
      <c r="Y38" s="58" t="n">
        <f aca="false">'06_CONSTRUCTION'!Y14*('18_DEBT'!Y34+'18_DEBT'!Y36)</f>
        <v>0</v>
      </c>
      <c r="Z38" s="58" t="n">
        <f aca="false">'06_CONSTRUCTION'!Z14*('18_DEBT'!Z34+'18_DEBT'!Z36)</f>
        <v>0</v>
      </c>
      <c r="AA38" s="58" t="n">
        <f aca="false">'06_CONSTRUCTION'!AA14*('18_DEBT'!AA34+'18_DEBT'!AA36)</f>
        <v>0</v>
      </c>
      <c r="AB38" s="58" t="n">
        <f aca="false">'06_CONSTRUCTION'!AB14*('18_DEBT'!AB34+'18_DEBT'!AB36)</f>
        <v>0</v>
      </c>
      <c r="AC38" s="58" t="n">
        <f aca="false">'06_CONSTRUCTION'!AC14*('18_DEBT'!AC34+'18_DEBT'!AC36)</f>
        <v>0</v>
      </c>
      <c r="AD38" s="58" t="n">
        <f aca="false">'06_CONSTRUCTION'!AD14*('18_DEBT'!AD34+'18_DEBT'!AD36)</f>
        <v>0</v>
      </c>
      <c r="AE38" s="58" t="n">
        <f aca="false">'06_CONSTRUCTION'!AE14*('18_DEBT'!AE34+'18_DEBT'!AE36)</f>
        <v>0</v>
      </c>
      <c r="AF38" s="58" t="n">
        <f aca="false">'06_CONSTRUCTION'!AF14*('18_DEBT'!AF34+'18_DEBT'!AF36)</f>
        <v>0</v>
      </c>
      <c r="AG38" s="58" t="n">
        <f aca="false">'06_CONSTRUCTION'!AG14*('18_DEBT'!AG34+'18_DEBT'!AG36)</f>
        <v>0</v>
      </c>
      <c r="AH38" s="58" t="n">
        <f aca="false">'06_CONSTRUCTION'!AH14*('18_DEBT'!AH34+'18_DEBT'!AH36)</f>
        <v>0</v>
      </c>
      <c r="AI38" s="58" t="n">
        <f aca="false">'06_CONSTRUCTION'!AI14*('18_DEBT'!AI34+'18_DEBT'!AI36)</f>
        <v>0</v>
      </c>
      <c r="AJ38" s="58" t="n">
        <f aca="false">'06_CONSTRUCTION'!AJ14*('18_DEBT'!AJ34+'18_DEBT'!AJ36)</f>
        <v>0</v>
      </c>
      <c r="AK38" s="58" t="n">
        <f aca="false">'06_CONSTRUCTION'!AK14*('18_DEBT'!AK34+'18_DEBT'!AK36)</f>
        <v>0</v>
      </c>
      <c r="AL38" s="58" t="n">
        <f aca="false">'06_CONSTRUCTION'!AL14*('18_DEBT'!AL34+'18_DEBT'!AL36)</f>
        <v>0</v>
      </c>
      <c r="AM38" s="58" t="n">
        <f aca="false">'06_CONSTRUCTION'!AM14*('18_DEBT'!AM34+'18_DEBT'!AM36)</f>
        <v>0</v>
      </c>
      <c r="AN38" s="58" t="n">
        <f aca="false">'06_CONSTRUCTION'!AN14*('18_DEBT'!AN34+'18_DEBT'!AN36)</f>
        <v>0</v>
      </c>
      <c r="AO38" s="58" t="n">
        <f aca="false">'06_CONSTRUCTION'!AO14*('18_DEBT'!AO34+'18_DEBT'!AO36)</f>
        <v>0</v>
      </c>
      <c r="AP38" s="58" t="n">
        <f aca="false">'06_CONSTRUCTION'!AP14*('18_DEBT'!AP34+'18_DEBT'!AP36)</f>
        <v>0</v>
      </c>
      <c r="AQ38" s="58" t="n">
        <f aca="false">'06_CONSTRUCTION'!AQ14*('18_DEBT'!AQ34+'18_DEBT'!AQ36)</f>
        <v>0</v>
      </c>
      <c r="AR38" s="58" t="n">
        <f aca="false">'06_CONSTRUCTION'!AR14*('18_DEBT'!AR34+'18_DEBT'!AR36)</f>
        <v>0</v>
      </c>
    </row>
    <row r="39" customFormat="false" ht="15" hidden="false" customHeight="true" outlineLevel="0" collapsed="false">
      <c r="A39" s="21" t="s">
        <v>890</v>
      </c>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row>
    <row r="40" customFormat="false" ht="15" hidden="false" customHeight="true" outlineLevel="0" collapsed="false">
      <c r="A40" s="19" t="s">
        <v>891</v>
      </c>
      <c r="B40" s="23" t="s">
        <v>121</v>
      </c>
      <c r="C40" s="58" t="n">
        <f aca="false">SUM('18_DEBT'!$E$40:$AR$40)</f>
        <v>260.29433256572</v>
      </c>
      <c r="E40" s="72" t="n">
        <f aca="false">'18_DEBT'!E30+'18_DEBT'!E38</f>
        <v>0</v>
      </c>
      <c r="F40" s="72" t="n">
        <f aca="false">'18_DEBT'!F30+'18_DEBT'!F38</f>
        <v>0</v>
      </c>
      <c r="G40" s="72" t="n">
        <f aca="false">'18_DEBT'!G30+'18_DEBT'!G38</f>
        <v>0</v>
      </c>
      <c r="H40" s="72" t="n">
        <f aca="false">'18_DEBT'!H30+'18_DEBT'!H38</f>
        <v>14.6287866578167</v>
      </c>
      <c r="I40" s="72" t="n">
        <f aca="false">'18_DEBT'!I30+'18_DEBT'!I38</f>
        <v>18.0724810703403</v>
      </c>
      <c r="J40" s="72" t="n">
        <f aca="false">'18_DEBT'!J30+'18_DEBT'!J38</f>
        <v>18.2150986212921</v>
      </c>
      <c r="K40" s="72" t="n">
        <f aca="false">'18_DEBT'!K30+'18_DEBT'!K38</f>
        <v>18.360568523263</v>
      </c>
      <c r="L40" s="72" t="n">
        <f aca="false">'18_DEBT'!L30+'18_DEBT'!L38</f>
        <v>18.5089478232734</v>
      </c>
      <c r="M40" s="72" t="n">
        <f aca="false">'18_DEBT'!M30+'18_DEBT'!M38</f>
        <v>15.1085256802575</v>
      </c>
      <c r="N40" s="72" t="n">
        <f aca="false">'18_DEBT'!N30+'18_DEBT'!N38</f>
        <v>15.216587356869</v>
      </c>
      <c r="O40" s="72" t="n">
        <f aca="false">'18_DEBT'!O30+'18_DEBT'!O38</f>
        <v>15.3268102670127</v>
      </c>
      <c r="P40" s="72" t="n">
        <f aca="false">'18_DEBT'!P30+'18_DEBT'!P38</f>
        <v>15.4392376353594</v>
      </c>
      <c r="Q40" s="72" t="n">
        <f aca="false">'18_DEBT'!Q30+'18_DEBT'!Q38</f>
        <v>15.5539135510729</v>
      </c>
      <c r="R40" s="72" t="n">
        <f aca="false">'18_DEBT'!R30+'18_DEBT'!R38</f>
        <v>15.6708829851008</v>
      </c>
      <c r="S40" s="72" t="n">
        <f aca="false">'18_DEBT'!S30+'18_DEBT'!S38</f>
        <v>15.7901918078091</v>
      </c>
      <c r="T40" s="72" t="n">
        <f aca="false">'18_DEBT'!T30+'18_DEBT'!T38</f>
        <v>15.9118868069717</v>
      </c>
      <c r="U40" s="72" t="n">
        <f aca="false">'18_DEBT'!U30+'18_DEBT'!U38</f>
        <v>16.0360157061175</v>
      </c>
      <c r="V40" s="72" t="n">
        <f aca="false">'18_DEBT'!V30+'18_DEBT'!V38</f>
        <v>16.1626271832462</v>
      </c>
      <c r="W40" s="72" t="n">
        <f aca="false">'18_DEBT'!W30+'18_DEBT'!W38</f>
        <v>16.2917708899173</v>
      </c>
      <c r="X40" s="72" t="n">
        <f aca="false">'18_DEBT'!X30+'18_DEBT'!X38</f>
        <v>0</v>
      </c>
      <c r="Y40" s="72" t="n">
        <f aca="false">'18_DEBT'!Y30+'18_DEBT'!Y38</f>
        <v>0</v>
      </c>
      <c r="Z40" s="72" t="n">
        <f aca="false">'18_DEBT'!Z30+'18_DEBT'!Z38</f>
        <v>0</v>
      </c>
      <c r="AA40" s="72" t="n">
        <f aca="false">'18_DEBT'!AA30+'18_DEBT'!AA38</f>
        <v>0</v>
      </c>
      <c r="AB40" s="72" t="n">
        <f aca="false">'18_DEBT'!AB30+'18_DEBT'!AB38</f>
        <v>0</v>
      </c>
      <c r="AC40" s="72" t="n">
        <f aca="false">'18_DEBT'!AC30+'18_DEBT'!AC38</f>
        <v>0</v>
      </c>
      <c r="AD40" s="72" t="n">
        <f aca="false">'18_DEBT'!AD30+'18_DEBT'!AD38</f>
        <v>0</v>
      </c>
      <c r="AE40" s="72" t="n">
        <f aca="false">'18_DEBT'!AE30+'18_DEBT'!AE38</f>
        <v>0</v>
      </c>
      <c r="AF40" s="72" t="n">
        <f aca="false">'18_DEBT'!AF30+'18_DEBT'!AF38</f>
        <v>0</v>
      </c>
      <c r="AG40" s="72" t="n">
        <f aca="false">'18_DEBT'!AG30+'18_DEBT'!AG38</f>
        <v>0</v>
      </c>
      <c r="AH40" s="72" t="n">
        <f aca="false">'18_DEBT'!AH30+'18_DEBT'!AH38</f>
        <v>0</v>
      </c>
      <c r="AI40" s="72" t="n">
        <f aca="false">'18_DEBT'!AI30+'18_DEBT'!AI38</f>
        <v>0</v>
      </c>
      <c r="AJ40" s="72" t="n">
        <f aca="false">'18_DEBT'!AJ30+'18_DEBT'!AJ38</f>
        <v>0</v>
      </c>
      <c r="AK40" s="72" t="n">
        <f aca="false">'18_DEBT'!AK30+'18_DEBT'!AK38</f>
        <v>0</v>
      </c>
      <c r="AL40" s="72" t="n">
        <f aca="false">'18_DEBT'!AL30+'18_DEBT'!AL38</f>
        <v>0</v>
      </c>
      <c r="AM40" s="72" t="n">
        <f aca="false">'18_DEBT'!AM30+'18_DEBT'!AM38</f>
        <v>0</v>
      </c>
      <c r="AN40" s="72" t="n">
        <f aca="false">'18_DEBT'!AN30+'18_DEBT'!AN38</f>
        <v>0</v>
      </c>
      <c r="AO40" s="72" t="n">
        <f aca="false">'18_DEBT'!AO30+'18_DEBT'!AO38</f>
        <v>0</v>
      </c>
      <c r="AP40" s="72" t="n">
        <f aca="false">'18_DEBT'!AP30+'18_DEBT'!AP38</f>
        <v>0</v>
      </c>
      <c r="AQ40" s="72" t="n">
        <f aca="false">'18_DEBT'!AQ30+'18_DEBT'!AQ38</f>
        <v>0</v>
      </c>
      <c r="AR40" s="72" t="n">
        <f aca="false">'18_DEBT'!AR30+'18_DEBT'!AR38</f>
        <v>0</v>
      </c>
    </row>
    <row r="41" customFormat="false" ht="15" hidden="false" customHeight="true" outlineLevel="0" collapsed="false">
      <c r="A41" s="23" t="s">
        <v>892</v>
      </c>
      <c r="B41" s="23" t="s">
        <v>121</v>
      </c>
      <c r="C41" s="58" t="n">
        <f aca="false">SUM('18_DEBT'!$E$41:$AR$41)</f>
        <v>17.4422661491824</v>
      </c>
      <c r="E41" s="58" t="n">
        <f aca="false">'06_CONSTRUCTION'!E13*('18_DEBT'!E27+'18_DEBT'!E34)</f>
        <v>1.45352217909853</v>
      </c>
      <c r="F41" s="58" t="n">
        <f aca="false">'06_CONSTRUCTION'!F13*('18_DEBT'!F27+'18_DEBT'!F34)</f>
        <v>5.81408871639412</v>
      </c>
      <c r="G41" s="58" t="n">
        <f aca="false">'06_CONSTRUCTION'!G13*('18_DEBT'!G27+'18_DEBT'!G34)</f>
        <v>10.1746552536897</v>
      </c>
      <c r="H41" s="58" t="n">
        <f aca="false">'06_CONSTRUCTION'!H13*('18_DEBT'!H27+'18_DEBT'!H34)</f>
        <v>0</v>
      </c>
      <c r="I41" s="58" t="n">
        <f aca="false">'06_CONSTRUCTION'!I13*('18_DEBT'!I27+'18_DEBT'!I34)</f>
        <v>0</v>
      </c>
      <c r="J41" s="58" t="n">
        <f aca="false">'06_CONSTRUCTION'!J13*('18_DEBT'!J27+'18_DEBT'!J34)</f>
        <v>0</v>
      </c>
      <c r="K41" s="58" t="n">
        <f aca="false">'06_CONSTRUCTION'!K13*('18_DEBT'!K27+'18_DEBT'!K34)</f>
        <v>0</v>
      </c>
      <c r="L41" s="58" t="n">
        <f aca="false">'06_CONSTRUCTION'!L13*('18_DEBT'!L27+'18_DEBT'!L34)</f>
        <v>0</v>
      </c>
      <c r="M41" s="58" t="n">
        <f aca="false">'06_CONSTRUCTION'!M13*('18_DEBT'!M27+'18_DEBT'!M34)</f>
        <v>0</v>
      </c>
      <c r="N41" s="58" t="n">
        <f aca="false">'06_CONSTRUCTION'!N13*('18_DEBT'!N27+'18_DEBT'!N34)</f>
        <v>0</v>
      </c>
      <c r="O41" s="58" t="n">
        <f aca="false">'06_CONSTRUCTION'!O13*('18_DEBT'!O27+'18_DEBT'!O34)</f>
        <v>0</v>
      </c>
      <c r="P41" s="58" t="n">
        <f aca="false">'06_CONSTRUCTION'!P13*('18_DEBT'!P27+'18_DEBT'!P34)</f>
        <v>0</v>
      </c>
      <c r="Q41" s="58" t="n">
        <f aca="false">'06_CONSTRUCTION'!Q13*('18_DEBT'!Q27+'18_DEBT'!Q34)</f>
        <v>0</v>
      </c>
      <c r="R41" s="58" t="n">
        <f aca="false">'06_CONSTRUCTION'!R13*('18_DEBT'!R27+'18_DEBT'!R34)</f>
        <v>0</v>
      </c>
      <c r="S41" s="58" t="n">
        <f aca="false">'06_CONSTRUCTION'!S13*('18_DEBT'!S27+'18_DEBT'!S34)</f>
        <v>0</v>
      </c>
      <c r="T41" s="58" t="n">
        <f aca="false">'06_CONSTRUCTION'!T13*('18_DEBT'!T27+'18_DEBT'!T34)</f>
        <v>0</v>
      </c>
      <c r="U41" s="58" t="n">
        <f aca="false">'06_CONSTRUCTION'!U13*('18_DEBT'!U27+'18_DEBT'!U34)</f>
        <v>0</v>
      </c>
      <c r="V41" s="58" t="n">
        <f aca="false">'06_CONSTRUCTION'!V13*('18_DEBT'!V27+'18_DEBT'!V34)</f>
        <v>0</v>
      </c>
      <c r="W41" s="58" t="n">
        <f aca="false">'06_CONSTRUCTION'!W13*('18_DEBT'!W27+'18_DEBT'!W34)</f>
        <v>0</v>
      </c>
      <c r="X41" s="58" t="n">
        <f aca="false">'06_CONSTRUCTION'!X13*('18_DEBT'!X27+'18_DEBT'!X34)</f>
        <v>0</v>
      </c>
      <c r="Y41" s="58" t="n">
        <f aca="false">'06_CONSTRUCTION'!Y13*('18_DEBT'!Y27+'18_DEBT'!Y34)</f>
        <v>0</v>
      </c>
      <c r="Z41" s="58" t="n">
        <f aca="false">'06_CONSTRUCTION'!Z13*('18_DEBT'!Z27+'18_DEBT'!Z34)</f>
        <v>0</v>
      </c>
      <c r="AA41" s="58" t="n">
        <f aca="false">'06_CONSTRUCTION'!AA13*('18_DEBT'!AA27+'18_DEBT'!AA34)</f>
        <v>0</v>
      </c>
      <c r="AB41" s="58" t="n">
        <f aca="false">'06_CONSTRUCTION'!AB13*('18_DEBT'!AB27+'18_DEBT'!AB34)</f>
        <v>0</v>
      </c>
      <c r="AC41" s="58" t="n">
        <f aca="false">'06_CONSTRUCTION'!AC13*('18_DEBT'!AC27+'18_DEBT'!AC34)</f>
        <v>0</v>
      </c>
      <c r="AD41" s="58" t="n">
        <f aca="false">'06_CONSTRUCTION'!AD13*('18_DEBT'!AD27+'18_DEBT'!AD34)</f>
        <v>0</v>
      </c>
      <c r="AE41" s="58" t="n">
        <f aca="false">'06_CONSTRUCTION'!AE13*('18_DEBT'!AE27+'18_DEBT'!AE34)</f>
        <v>0</v>
      </c>
      <c r="AF41" s="58" t="n">
        <f aca="false">'06_CONSTRUCTION'!AF13*('18_DEBT'!AF27+'18_DEBT'!AF34)</f>
        <v>0</v>
      </c>
      <c r="AG41" s="58" t="n">
        <f aca="false">'06_CONSTRUCTION'!AG13*('18_DEBT'!AG27+'18_DEBT'!AG34)</f>
        <v>0</v>
      </c>
      <c r="AH41" s="58" t="n">
        <f aca="false">'06_CONSTRUCTION'!AH13*('18_DEBT'!AH27+'18_DEBT'!AH34)</f>
        <v>0</v>
      </c>
      <c r="AI41" s="58" t="n">
        <f aca="false">'06_CONSTRUCTION'!AI13*('18_DEBT'!AI27+'18_DEBT'!AI34)</f>
        <v>0</v>
      </c>
      <c r="AJ41" s="58" t="n">
        <f aca="false">'06_CONSTRUCTION'!AJ13*('18_DEBT'!AJ27+'18_DEBT'!AJ34)</f>
        <v>0</v>
      </c>
      <c r="AK41" s="58" t="n">
        <f aca="false">'06_CONSTRUCTION'!AK13*('18_DEBT'!AK27+'18_DEBT'!AK34)</f>
        <v>0</v>
      </c>
      <c r="AL41" s="58" t="n">
        <f aca="false">'06_CONSTRUCTION'!AL13*('18_DEBT'!AL27+'18_DEBT'!AL34)</f>
        <v>0</v>
      </c>
      <c r="AM41" s="58" t="n">
        <f aca="false">'06_CONSTRUCTION'!AM13*('18_DEBT'!AM27+'18_DEBT'!AM34)</f>
        <v>0</v>
      </c>
      <c r="AN41" s="58" t="n">
        <f aca="false">'06_CONSTRUCTION'!AN13*('18_DEBT'!AN27+'18_DEBT'!AN34)</f>
        <v>0</v>
      </c>
      <c r="AO41" s="58" t="n">
        <f aca="false">'06_CONSTRUCTION'!AO13*('18_DEBT'!AO27+'18_DEBT'!AO34)</f>
        <v>0</v>
      </c>
      <c r="AP41" s="58" t="n">
        <f aca="false">'06_CONSTRUCTION'!AP13*('18_DEBT'!AP27+'18_DEBT'!AP34)</f>
        <v>0</v>
      </c>
      <c r="AQ41" s="58" t="n">
        <f aca="false">'06_CONSTRUCTION'!AQ13*('18_DEBT'!AQ27+'18_DEBT'!AQ34)</f>
        <v>0</v>
      </c>
      <c r="AR41" s="58" t="n">
        <f aca="false">'06_CONSTRUCTION'!AR13*('18_DEBT'!AR27+'18_DEBT'!AR34)</f>
        <v>0</v>
      </c>
    </row>
    <row r="42" customFormat="false" ht="15" hidden="false" customHeight="true" outlineLevel="0" collapsed="false">
      <c r="A42" s="23" t="s">
        <v>893</v>
      </c>
      <c r="B42" s="23" t="s">
        <v>121</v>
      </c>
      <c r="E42" s="58" t="n">
        <f aca="false">'18_DEBT'!E29+'18_DEBT'!E37</f>
        <v>36.3380544774633</v>
      </c>
      <c r="F42" s="58" t="n">
        <f aca="false">'18_DEBT'!F29+'18_DEBT'!F37</f>
        <v>109.01416343239</v>
      </c>
      <c r="G42" s="58" t="n">
        <f aca="false">'18_DEBT'!G29+'18_DEBT'!G37</f>
        <v>145.352217909853</v>
      </c>
      <c r="H42" s="58" t="n">
        <f aca="false">'18_DEBT'!H29+'18_DEBT'!H37</f>
        <v>142.351608684825</v>
      </c>
      <c r="I42" s="58" t="n">
        <f aca="false">'18_DEBT'!I29+'18_DEBT'!I37</f>
        <v>135.66725630927</v>
      </c>
      <c r="J42" s="58" t="n">
        <f aca="false">'18_DEBT'!J29+'18_DEBT'!J37</f>
        <v>128.30553819272</v>
      </c>
      <c r="K42" s="58" t="n">
        <f aca="false">'18_DEBT'!K29+'18_DEBT'!K37</f>
        <v>120.209412724874</v>
      </c>
      <c r="L42" s="58" t="n">
        <f aca="false">'18_DEBT'!L29+'18_DEBT'!L37</f>
        <v>111.317217919591</v>
      </c>
      <c r="M42" s="58" t="n">
        <f aca="false">'18_DEBT'!M29+'18_DEBT'!M37</f>
        <v>105.114069672901</v>
      </c>
      <c r="N42" s="58" t="n">
        <f aca="false">'18_DEBT'!N29+'18_DEBT'!N37</f>
        <v>98.3066078898639</v>
      </c>
      <c r="O42" s="58" t="n">
        <f aca="false">'18_DEBT'!O29+'18_DEBT'!O37</f>
        <v>90.8443262540403</v>
      </c>
      <c r="P42" s="58" t="n">
        <f aca="false">'18_DEBT'!P29+'18_DEBT'!P37</f>
        <v>82.6726347190042</v>
      </c>
      <c r="Q42" s="58" t="n">
        <f aca="false">'18_DEBT'!Q29+'18_DEBT'!Q37</f>
        <v>73.7325319454516</v>
      </c>
      <c r="R42" s="58" t="n">
        <f aca="false">'18_DEBT'!R29+'18_DEBT'!R37</f>
        <v>63.960251515987</v>
      </c>
      <c r="S42" s="58" t="n">
        <f aca="false">'18_DEBT'!S29+'18_DEBT'!S37</f>
        <v>53.2868798294568</v>
      </c>
      <c r="T42" s="58" t="n">
        <f aca="false">'18_DEBT'!T29+'18_DEBT'!T37</f>
        <v>41.6379434088416</v>
      </c>
      <c r="U42" s="58" t="n">
        <f aca="false">'18_DEBT'!U29+'18_DEBT'!U37</f>
        <v>28.9329631754314</v>
      </c>
      <c r="V42" s="58" t="n">
        <f aca="false">'18_DEBT'!V29+'18_DEBT'!V37</f>
        <v>15.0849730462197</v>
      </c>
      <c r="W42" s="58" t="n">
        <f aca="false">'18_DEBT'!W29+'18_DEBT'!W37</f>
        <v>0</v>
      </c>
      <c r="X42" s="58" t="n">
        <f aca="false">'18_DEBT'!X29+'18_DEBT'!X37</f>
        <v>0</v>
      </c>
      <c r="Y42" s="58" t="n">
        <f aca="false">'18_DEBT'!Y29+'18_DEBT'!Y37</f>
        <v>0</v>
      </c>
      <c r="Z42" s="58" t="n">
        <f aca="false">'18_DEBT'!Z29+'18_DEBT'!Z37</f>
        <v>0</v>
      </c>
      <c r="AA42" s="58" t="n">
        <f aca="false">'18_DEBT'!AA29+'18_DEBT'!AA37</f>
        <v>0</v>
      </c>
      <c r="AB42" s="58" t="n">
        <f aca="false">'18_DEBT'!AB29+'18_DEBT'!AB37</f>
        <v>0</v>
      </c>
      <c r="AC42" s="58" t="n">
        <f aca="false">'18_DEBT'!AC29+'18_DEBT'!AC37</f>
        <v>0</v>
      </c>
      <c r="AD42" s="58" t="n">
        <f aca="false">'18_DEBT'!AD29+'18_DEBT'!AD37</f>
        <v>0</v>
      </c>
      <c r="AE42" s="58" t="n">
        <f aca="false">'18_DEBT'!AE29+'18_DEBT'!AE37</f>
        <v>0</v>
      </c>
      <c r="AF42" s="58" t="n">
        <f aca="false">'18_DEBT'!AF29+'18_DEBT'!AF37</f>
        <v>0</v>
      </c>
      <c r="AG42" s="58" t="n">
        <f aca="false">'18_DEBT'!AG29+'18_DEBT'!AG37</f>
        <v>0</v>
      </c>
      <c r="AH42" s="58" t="n">
        <f aca="false">'18_DEBT'!AH29+'18_DEBT'!AH37</f>
        <v>0</v>
      </c>
      <c r="AI42" s="58" t="n">
        <f aca="false">'18_DEBT'!AI29+'18_DEBT'!AI37</f>
        <v>0</v>
      </c>
      <c r="AJ42" s="58" t="n">
        <f aca="false">'18_DEBT'!AJ29+'18_DEBT'!AJ37</f>
        <v>0</v>
      </c>
      <c r="AK42" s="58" t="n">
        <f aca="false">'18_DEBT'!AK29+'18_DEBT'!AK37</f>
        <v>0</v>
      </c>
      <c r="AL42" s="58" t="n">
        <f aca="false">'18_DEBT'!AL29+'18_DEBT'!AL37</f>
        <v>0</v>
      </c>
      <c r="AM42" s="58" t="n">
        <f aca="false">'18_DEBT'!AM29+'18_DEBT'!AM37</f>
        <v>0</v>
      </c>
      <c r="AN42" s="58" t="n">
        <f aca="false">'18_DEBT'!AN29+'18_DEBT'!AN37</f>
        <v>0</v>
      </c>
      <c r="AO42" s="58" t="n">
        <f aca="false">'18_DEBT'!AO29+'18_DEBT'!AO37</f>
        <v>0</v>
      </c>
      <c r="AP42" s="58" t="n">
        <f aca="false">'18_DEBT'!AP29+'18_DEBT'!AP37</f>
        <v>0</v>
      </c>
      <c r="AQ42" s="58" t="n">
        <f aca="false">'18_DEBT'!AQ29+'18_DEBT'!AQ37</f>
        <v>0</v>
      </c>
      <c r="AR42" s="58" t="n">
        <f aca="false">'18_DEBT'!AR29+'18_DEBT'!AR37</f>
        <v>0</v>
      </c>
    </row>
    <row r="43" customFormat="false" ht="15" hidden="false" customHeight="true" outlineLevel="0" collapsed="false">
      <c r="A43" s="23" t="s">
        <v>894</v>
      </c>
      <c r="B43" s="23" t="s">
        <v>121</v>
      </c>
      <c r="E43" s="58" t="n">
        <f aca="false">IF(OR('06_CONSTRUCTION'!E14=1,'06_CONSTRUCTION'!E15=1),'17A_STRUCTURES'!$C$27/12*'18_DEBT'!F40,0)</f>
        <v>0</v>
      </c>
      <c r="F43" s="58" t="n">
        <f aca="false">IF(OR('06_CONSTRUCTION'!F14=1,'06_CONSTRUCTION'!F15=1),'17A_STRUCTURES'!$C$27/12*'18_DEBT'!G40,0)</f>
        <v>0</v>
      </c>
      <c r="G43" s="58" t="n">
        <f aca="false">IF(OR('06_CONSTRUCTION'!G14=1,'06_CONSTRUCTION'!G15=1),'17A_STRUCTURES'!$C$27/12*'18_DEBT'!H40,0)</f>
        <v>7.31439332890833</v>
      </c>
      <c r="H43" s="58" t="n">
        <f aca="false">IF(OR('06_CONSTRUCTION'!H14=1,'06_CONSTRUCTION'!H15=1),'17A_STRUCTURES'!$C$27/12*'18_DEBT'!I40,0)</f>
        <v>9.03624053517013</v>
      </c>
      <c r="I43" s="58" t="n">
        <f aca="false">IF(OR('06_CONSTRUCTION'!I14=1,'06_CONSTRUCTION'!I15=1),'17A_STRUCTURES'!$C$27/12*'18_DEBT'!J40,0)</f>
        <v>9.10754931064607</v>
      </c>
      <c r="J43" s="58" t="n">
        <f aca="false">IF(OR('06_CONSTRUCTION'!J14=1,'06_CONSTRUCTION'!J15=1),'17A_STRUCTURES'!$C$27/12*'18_DEBT'!K40,0)</f>
        <v>9.18028426163152</v>
      </c>
      <c r="K43" s="58" t="n">
        <f aca="false">IF(OR('06_CONSTRUCTION'!K14=1,'06_CONSTRUCTION'!K15=1),'17A_STRUCTURES'!$C$27/12*'18_DEBT'!L40,0)</f>
        <v>9.25447391163668</v>
      </c>
      <c r="L43" s="58" t="n">
        <f aca="false">IF(OR('06_CONSTRUCTION'!L14=1,'06_CONSTRUCTION'!L15=1),'17A_STRUCTURES'!$C$27/12*'18_DEBT'!M40,0)</f>
        <v>7.55426284012873</v>
      </c>
      <c r="M43" s="58" t="n">
        <f aca="false">IF(OR('06_CONSTRUCTION'!M14=1,'06_CONSTRUCTION'!M15=1),'17A_STRUCTURES'!$C$27/12*'18_DEBT'!N40,0)</f>
        <v>7.60829367843449</v>
      </c>
      <c r="N43" s="58" t="n">
        <f aca="false">IF(OR('06_CONSTRUCTION'!N14=1,'06_CONSTRUCTION'!N15=1),'17A_STRUCTURES'!$C$27/12*'18_DEBT'!O40,0)</f>
        <v>7.66340513350637</v>
      </c>
      <c r="O43" s="58" t="n">
        <f aca="false">IF(OR('06_CONSTRUCTION'!O14=1,'06_CONSTRUCTION'!O15=1),'17A_STRUCTURES'!$C$27/12*'18_DEBT'!P40,0)</f>
        <v>7.71961881767968</v>
      </c>
      <c r="P43" s="58" t="n">
        <f aca="false">IF(OR('06_CONSTRUCTION'!P14=1,'06_CONSTRUCTION'!P15=1),'17A_STRUCTURES'!$C$27/12*'18_DEBT'!Q40,0)</f>
        <v>7.77695677553647</v>
      </c>
      <c r="Q43" s="58" t="n">
        <f aca="false">IF(OR('06_CONSTRUCTION'!Q14=1,'06_CONSTRUCTION'!Q15=1),'17A_STRUCTURES'!$C$27/12*'18_DEBT'!R40,0)</f>
        <v>7.83544149255038</v>
      </c>
      <c r="R43" s="58" t="n">
        <f aca="false">IF(OR('06_CONSTRUCTION'!R14=1,'06_CONSTRUCTION'!R15=1),'17A_STRUCTURES'!$C$27/12*'18_DEBT'!S40,0)</f>
        <v>7.89509590390457</v>
      </c>
      <c r="S43" s="58" t="n">
        <f aca="false">IF(OR('06_CONSTRUCTION'!S14=1,'06_CONSTRUCTION'!S15=1),'17A_STRUCTURES'!$C$27/12*'18_DEBT'!T40,0)</f>
        <v>7.95594340348585</v>
      </c>
      <c r="T43" s="58" t="n">
        <f aca="false">IF(OR('06_CONSTRUCTION'!T14=1,'06_CONSTRUCTION'!T15=1),'17A_STRUCTURES'!$C$27/12*'18_DEBT'!U40,0)</f>
        <v>8.01800785305876</v>
      </c>
      <c r="U43" s="58" t="n">
        <f aca="false">IF(OR('06_CONSTRUCTION'!U14=1,'06_CONSTRUCTION'!U15=1),'17A_STRUCTURES'!$C$27/12*'18_DEBT'!V40,0)</f>
        <v>8.08131359162312</v>
      </c>
      <c r="V43" s="58" t="n">
        <f aca="false">IF(OR('06_CONSTRUCTION'!V14=1,'06_CONSTRUCTION'!V15=1),'17A_STRUCTURES'!$C$27/12*'18_DEBT'!W40,0)</f>
        <v>8.14588544495864</v>
      </c>
      <c r="W43" s="58" t="n">
        <f aca="false">IF(OR('06_CONSTRUCTION'!W14=1,'06_CONSTRUCTION'!W15=1),'17A_STRUCTURES'!$C$27/12*'18_DEBT'!X40,0)</f>
        <v>0</v>
      </c>
      <c r="X43" s="58" t="n">
        <f aca="false">IF(OR('06_CONSTRUCTION'!X14=1,'06_CONSTRUCTION'!X15=1),'17A_STRUCTURES'!$C$27/12*'18_DEBT'!Y40,0)</f>
        <v>0</v>
      </c>
      <c r="Y43" s="58" t="n">
        <f aca="false">IF(OR('06_CONSTRUCTION'!Y14=1,'06_CONSTRUCTION'!Y15=1),'17A_STRUCTURES'!$C$27/12*'18_DEBT'!Z40,0)</f>
        <v>0</v>
      </c>
      <c r="Z43" s="58" t="n">
        <f aca="false">IF(OR('06_CONSTRUCTION'!Z14=1,'06_CONSTRUCTION'!Z15=1),'17A_STRUCTURES'!$C$27/12*'18_DEBT'!AA40,0)</f>
        <v>0</v>
      </c>
      <c r="AA43" s="58" t="n">
        <f aca="false">IF(OR('06_CONSTRUCTION'!AA14=1,'06_CONSTRUCTION'!AA15=1),'17A_STRUCTURES'!$C$27/12*'18_DEBT'!AB40,0)</f>
        <v>0</v>
      </c>
      <c r="AB43" s="58" t="n">
        <f aca="false">IF(OR('06_CONSTRUCTION'!AB14=1,'06_CONSTRUCTION'!AB15=1),'17A_STRUCTURES'!$C$27/12*'18_DEBT'!AC40,0)</f>
        <v>0</v>
      </c>
      <c r="AC43" s="58" t="n">
        <f aca="false">IF(OR('06_CONSTRUCTION'!AC14=1,'06_CONSTRUCTION'!AC15=1),'17A_STRUCTURES'!$C$27/12*'18_DEBT'!AD40,0)</f>
        <v>0</v>
      </c>
      <c r="AD43" s="58" t="n">
        <f aca="false">IF(OR('06_CONSTRUCTION'!AD14=1,'06_CONSTRUCTION'!AD15=1),'17A_STRUCTURES'!$C$27/12*'18_DEBT'!AE40,0)</f>
        <v>0</v>
      </c>
      <c r="AE43" s="58" t="n">
        <f aca="false">IF(OR('06_CONSTRUCTION'!AE14=1,'06_CONSTRUCTION'!AE15=1),'17A_STRUCTURES'!$C$27/12*'18_DEBT'!AF40,0)</f>
        <v>0</v>
      </c>
      <c r="AF43" s="58" t="n">
        <f aca="false">IF(OR('06_CONSTRUCTION'!AF14=1,'06_CONSTRUCTION'!AF15=1),'17A_STRUCTURES'!$C$27/12*'18_DEBT'!AG40,0)</f>
        <v>0</v>
      </c>
      <c r="AG43" s="58" t="n">
        <f aca="false">IF(OR('06_CONSTRUCTION'!AG14=1,'06_CONSTRUCTION'!AG15=1),'17A_STRUCTURES'!$C$27/12*'18_DEBT'!AH40,0)</f>
        <v>0</v>
      </c>
      <c r="AH43" s="58" t="n">
        <f aca="false">IF(OR('06_CONSTRUCTION'!AH14=1,'06_CONSTRUCTION'!AH15=1),'17A_STRUCTURES'!$C$27/12*'18_DEBT'!AI40,0)</f>
        <v>0</v>
      </c>
      <c r="AI43" s="58" t="n">
        <f aca="false">IF(OR('06_CONSTRUCTION'!AI14=1,'06_CONSTRUCTION'!AI15=1),'17A_STRUCTURES'!$C$27/12*'18_DEBT'!AJ40,0)</f>
        <v>0</v>
      </c>
      <c r="AJ43" s="58" t="n">
        <f aca="false">IF(OR('06_CONSTRUCTION'!AJ14=1,'06_CONSTRUCTION'!AJ15=1),'17A_STRUCTURES'!$C$27/12*'18_DEBT'!AK40,0)</f>
        <v>0</v>
      </c>
      <c r="AK43" s="58" t="n">
        <f aca="false">IF(OR('06_CONSTRUCTION'!AK14=1,'06_CONSTRUCTION'!AK15=1),'17A_STRUCTURES'!$C$27/12*'18_DEBT'!AL40,0)</f>
        <v>0</v>
      </c>
      <c r="AL43" s="58" t="n">
        <f aca="false">IF(OR('06_CONSTRUCTION'!AL14=1,'06_CONSTRUCTION'!AL15=1),'17A_STRUCTURES'!$C$27/12*'18_DEBT'!AM40,0)</f>
        <v>0</v>
      </c>
      <c r="AM43" s="58" t="n">
        <f aca="false">IF(OR('06_CONSTRUCTION'!AM14=1,'06_CONSTRUCTION'!AM15=1),'17A_STRUCTURES'!$C$27/12*'18_DEBT'!AN40,0)</f>
        <v>0</v>
      </c>
      <c r="AN43" s="58" t="n">
        <f aca="false">IF(OR('06_CONSTRUCTION'!AN14=1,'06_CONSTRUCTION'!AN15=1),'17A_STRUCTURES'!$C$27/12*'18_DEBT'!AO40,0)</f>
        <v>0</v>
      </c>
      <c r="AO43" s="58" t="n">
        <f aca="false">IF(OR('06_CONSTRUCTION'!AO14=1,'06_CONSTRUCTION'!AO15=1),'17A_STRUCTURES'!$C$27/12*'18_DEBT'!AP40,0)</f>
        <v>0</v>
      </c>
      <c r="AP43" s="58" t="n">
        <f aca="false">IF(OR('06_CONSTRUCTION'!AP14=1,'06_CONSTRUCTION'!AP15=1),'17A_STRUCTURES'!$C$27/12*'18_DEBT'!AQ40,0)</f>
        <v>0</v>
      </c>
      <c r="AQ43" s="58" t="n">
        <f aca="false">IF(OR('06_CONSTRUCTION'!AQ14=1,'06_CONSTRUCTION'!AQ15=1),'17A_STRUCTURES'!$C$27/12*'18_DEBT'!AR40,0)</f>
        <v>0</v>
      </c>
      <c r="AR43" s="58" t="n">
        <f aca="false">IF(OR('06_CONSTRUCTION'!AR14=1,'06_CONSTRUCTION'!AR15=1),'17A_STRUCTURES'!$C$27/12*'18_DEBT'!AS40,0)</f>
        <v>0</v>
      </c>
    </row>
    <row r="44" customFormat="false" ht="15" hidden="false" customHeight="true" outlineLevel="0" collapsed="false">
      <c r="A44" s="23" t="s">
        <v>895</v>
      </c>
      <c r="B44" s="23" t="s">
        <v>121</v>
      </c>
      <c r="C44" s="58" t="n">
        <f aca="false">SUM('18_DEBT'!$E$44:$AR$44)</f>
        <v>7.31439332890833</v>
      </c>
      <c r="E44" s="58" t="n">
        <f aca="false">'06_CONSTRUCTION'!E15*'18_DEBT'!E43</f>
        <v>0</v>
      </c>
      <c r="F44" s="58" t="n">
        <f aca="false">'06_CONSTRUCTION'!F15*'18_DEBT'!F43</f>
        <v>0</v>
      </c>
      <c r="G44" s="58" t="n">
        <f aca="false">'06_CONSTRUCTION'!G15*'18_DEBT'!G43</f>
        <v>7.31439332890833</v>
      </c>
      <c r="H44" s="58" t="n">
        <f aca="false">'06_CONSTRUCTION'!H15*'18_DEBT'!H43</f>
        <v>0</v>
      </c>
      <c r="I44" s="58" t="n">
        <f aca="false">'06_CONSTRUCTION'!I15*'18_DEBT'!I43</f>
        <v>0</v>
      </c>
      <c r="J44" s="58" t="n">
        <f aca="false">'06_CONSTRUCTION'!J15*'18_DEBT'!J43</f>
        <v>0</v>
      </c>
      <c r="K44" s="58" t="n">
        <f aca="false">'06_CONSTRUCTION'!K15*'18_DEBT'!K43</f>
        <v>0</v>
      </c>
      <c r="L44" s="58" t="n">
        <f aca="false">'06_CONSTRUCTION'!L15*'18_DEBT'!L43</f>
        <v>0</v>
      </c>
      <c r="M44" s="58" t="n">
        <f aca="false">'06_CONSTRUCTION'!M15*'18_DEBT'!M43</f>
        <v>0</v>
      </c>
      <c r="N44" s="58" t="n">
        <f aca="false">'06_CONSTRUCTION'!N15*'18_DEBT'!N43</f>
        <v>0</v>
      </c>
      <c r="O44" s="58" t="n">
        <f aca="false">'06_CONSTRUCTION'!O15*'18_DEBT'!O43</f>
        <v>0</v>
      </c>
      <c r="P44" s="58" t="n">
        <f aca="false">'06_CONSTRUCTION'!P15*'18_DEBT'!P43</f>
        <v>0</v>
      </c>
      <c r="Q44" s="58" t="n">
        <f aca="false">'06_CONSTRUCTION'!Q15*'18_DEBT'!Q43</f>
        <v>0</v>
      </c>
      <c r="R44" s="58" t="n">
        <f aca="false">'06_CONSTRUCTION'!R15*'18_DEBT'!R43</f>
        <v>0</v>
      </c>
      <c r="S44" s="58" t="n">
        <f aca="false">'06_CONSTRUCTION'!S15*'18_DEBT'!S43</f>
        <v>0</v>
      </c>
      <c r="T44" s="58" t="n">
        <f aca="false">'06_CONSTRUCTION'!T15*'18_DEBT'!T43</f>
        <v>0</v>
      </c>
      <c r="U44" s="58" t="n">
        <f aca="false">'06_CONSTRUCTION'!U15*'18_DEBT'!U43</f>
        <v>0</v>
      </c>
      <c r="V44" s="58" t="n">
        <f aca="false">'06_CONSTRUCTION'!V15*'18_DEBT'!V43</f>
        <v>0</v>
      </c>
      <c r="W44" s="58" t="n">
        <f aca="false">'06_CONSTRUCTION'!W15*'18_DEBT'!W43</f>
        <v>0</v>
      </c>
      <c r="X44" s="58" t="n">
        <f aca="false">'06_CONSTRUCTION'!X15*'18_DEBT'!X43</f>
        <v>0</v>
      </c>
      <c r="Y44" s="58" t="n">
        <f aca="false">'06_CONSTRUCTION'!Y15*'18_DEBT'!Y43</f>
        <v>0</v>
      </c>
      <c r="Z44" s="58" t="n">
        <f aca="false">'06_CONSTRUCTION'!Z15*'18_DEBT'!Z43</f>
        <v>0</v>
      </c>
      <c r="AA44" s="58" t="n">
        <f aca="false">'06_CONSTRUCTION'!AA15*'18_DEBT'!AA43</f>
        <v>0</v>
      </c>
      <c r="AB44" s="58" t="n">
        <f aca="false">'06_CONSTRUCTION'!AB15*'18_DEBT'!AB43</f>
        <v>0</v>
      </c>
      <c r="AC44" s="58" t="n">
        <f aca="false">'06_CONSTRUCTION'!AC15*'18_DEBT'!AC43</f>
        <v>0</v>
      </c>
      <c r="AD44" s="58" t="n">
        <f aca="false">'06_CONSTRUCTION'!AD15*'18_DEBT'!AD43</f>
        <v>0</v>
      </c>
      <c r="AE44" s="58" t="n">
        <f aca="false">'06_CONSTRUCTION'!AE15*'18_DEBT'!AE43</f>
        <v>0</v>
      </c>
      <c r="AF44" s="58" t="n">
        <f aca="false">'06_CONSTRUCTION'!AF15*'18_DEBT'!AF43</f>
        <v>0</v>
      </c>
      <c r="AG44" s="58" t="n">
        <f aca="false">'06_CONSTRUCTION'!AG15*'18_DEBT'!AG43</f>
        <v>0</v>
      </c>
      <c r="AH44" s="58" t="n">
        <f aca="false">'06_CONSTRUCTION'!AH15*'18_DEBT'!AH43</f>
        <v>0</v>
      </c>
      <c r="AI44" s="58" t="n">
        <f aca="false">'06_CONSTRUCTION'!AI15*'18_DEBT'!AI43</f>
        <v>0</v>
      </c>
      <c r="AJ44" s="58" t="n">
        <f aca="false">'06_CONSTRUCTION'!AJ15*'18_DEBT'!AJ43</f>
        <v>0</v>
      </c>
      <c r="AK44" s="58" t="n">
        <f aca="false">'06_CONSTRUCTION'!AK15*'18_DEBT'!AK43</f>
        <v>0</v>
      </c>
      <c r="AL44" s="58" t="n">
        <f aca="false">'06_CONSTRUCTION'!AL15*'18_DEBT'!AL43</f>
        <v>0</v>
      </c>
      <c r="AM44" s="58" t="n">
        <f aca="false">'06_CONSTRUCTION'!AM15*'18_DEBT'!AM43</f>
        <v>0</v>
      </c>
      <c r="AN44" s="58" t="n">
        <f aca="false">'06_CONSTRUCTION'!AN15*'18_DEBT'!AN43</f>
        <v>0</v>
      </c>
      <c r="AO44" s="58" t="n">
        <f aca="false">'06_CONSTRUCTION'!AO15*'18_DEBT'!AO43</f>
        <v>0</v>
      </c>
      <c r="AP44" s="58" t="n">
        <f aca="false">'06_CONSTRUCTION'!AP15*'18_DEBT'!AP43</f>
        <v>0</v>
      </c>
      <c r="AQ44" s="58" t="n">
        <f aca="false">'06_CONSTRUCTION'!AQ15*'18_DEBT'!AQ43</f>
        <v>0</v>
      </c>
      <c r="AR44" s="58" t="n">
        <f aca="false">'06_CONSTRUCTION'!AR15*'18_DEBT'!AR43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AR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896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3" t="s">
        <v>897</v>
      </c>
      <c r="B6" s="23" t="s">
        <v>121</v>
      </c>
      <c r="C6" s="60" t="n">
        <f aca="false">'17_PROJECT_FINANCE'!$C$18+'17_PROJECT_FINANCE'!$C$15</f>
        <v>69.6082010045596</v>
      </c>
    </row>
    <row r="7" customFormat="false" ht="15" hidden="false" customHeight="true" outlineLevel="0" collapsed="false">
      <c r="A7" s="23" t="s">
        <v>898</v>
      </c>
      <c r="B7" s="23" t="s">
        <v>93</v>
      </c>
      <c r="C7" s="77" t="n">
        <f aca="false">IF('19_EQUITY'!$C$6&gt;0,('17_PROJECT_FINANCE'!$C$15+'17_PROJECT_FINANCE'!$C$19)/'19_EQUITY'!$C$6,0)</f>
        <v>0</v>
      </c>
    </row>
    <row r="8" customFormat="false" ht="15" hidden="false" customHeight="true" outlineLevel="0" collapsed="false">
      <c r="A8" s="19" t="s">
        <v>117</v>
      </c>
      <c r="B8" s="23" t="s">
        <v>93</v>
      </c>
      <c r="C8" s="30" t="n">
        <f aca="false">'17_PROJECT_FINANCE'!$C$33</f>
        <v>0.137581200828486</v>
      </c>
    </row>
    <row r="9" customFormat="false" ht="15" hidden="false" customHeight="true" outlineLevel="0" collapsed="false">
      <c r="A9" s="23" t="s">
        <v>899</v>
      </c>
      <c r="B9" s="23" t="s">
        <v>93</v>
      </c>
      <c r="C9" s="101" t="n">
        <f aca="false">'17A_STRUCTURES'!$C$23</f>
        <v>0.15</v>
      </c>
    </row>
    <row r="10" customFormat="false" ht="15" hidden="false" customHeight="true" outlineLevel="0" collapsed="false">
      <c r="A10" s="19" t="s">
        <v>900</v>
      </c>
      <c r="B10" s="23" t="s">
        <v>93</v>
      </c>
      <c r="C10" s="30" t="str">
        <f aca="false">'17_PROJECT_FINANCE'!$C$34</f>
        <v>n/a</v>
      </c>
    </row>
    <row r="11" customFormat="false" ht="15" hidden="false" customHeight="true" outlineLevel="0" collapsed="false">
      <c r="A11" s="23" t="s">
        <v>901</v>
      </c>
      <c r="B11" s="23" t="s">
        <v>119</v>
      </c>
      <c r="C11" s="68" t="n">
        <f aca="false">IFERROR(SUMIF('20_CASH_FLOW'!$E$41:$AR$41,"&gt;0")/-SUMIF('20_CASH_FLOW'!$E$41:$AR$41,"&lt;0"),0)</f>
        <v>5.49056983748424</v>
      </c>
    </row>
    <row r="13" customFormat="false" ht="15" hidden="false" customHeight="true" outlineLevel="0" collapsed="false">
      <c r="A13" s="23" t="s">
        <v>902</v>
      </c>
      <c r="B13" s="23" t="s">
        <v>121</v>
      </c>
      <c r="C13" s="58" t="n">
        <f aca="false">SUM('19_EQUITY'!$E$13:$AR$13)</f>
        <v>69.6082010045597</v>
      </c>
      <c r="E13" s="79" t="n">
        <f aca="false">'20_CASH_FLOW'!E12</f>
        <v>12.9236870598323</v>
      </c>
      <c r="F13" s="79" t="n">
        <f aca="false">'20_CASH_FLOW'!F12</f>
        <v>24.3112172614676</v>
      </c>
      <c r="G13" s="79" t="n">
        <f aca="false">'20_CASH_FLOW'!G12</f>
        <v>32.3732966832598</v>
      </c>
      <c r="H13" s="79" t="n">
        <f aca="false">'20_CASH_FLOW'!H12</f>
        <v>0</v>
      </c>
      <c r="I13" s="79" t="n">
        <f aca="false">'20_CASH_FLOW'!I12</f>
        <v>0</v>
      </c>
      <c r="J13" s="79" t="n">
        <f aca="false">'20_CASH_FLOW'!J12</f>
        <v>0</v>
      </c>
      <c r="K13" s="79" t="n">
        <f aca="false">'20_CASH_FLOW'!K12</f>
        <v>0</v>
      </c>
      <c r="L13" s="79" t="n">
        <f aca="false">'20_CASH_FLOW'!L12</f>
        <v>0</v>
      </c>
      <c r="M13" s="79" t="n">
        <f aca="false">'20_CASH_FLOW'!M12</f>
        <v>0</v>
      </c>
      <c r="N13" s="79" t="n">
        <f aca="false">'20_CASH_FLOW'!N12</f>
        <v>0</v>
      </c>
      <c r="O13" s="79" t="n">
        <f aca="false">'20_CASH_FLOW'!O12</f>
        <v>0</v>
      </c>
      <c r="P13" s="79" t="n">
        <f aca="false">'20_CASH_FLOW'!P12</f>
        <v>0</v>
      </c>
      <c r="Q13" s="79" t="n">
        <f aca="false">'20_CASH_FLOW'!Q12</f>
        <v>0</v>
      </c>
      <c r="R13" s="79" t="n">
        <f aca="false">'20_CASH_FLOW'!R12</f>
        <v>0</v>
      </c>
      <c r="S13" s="79" t="n">
        <f aca="false">'20_CASH_FLOW'!S12</f>
        <v>0</v>
      </c>
      <c r="T13" s="79" t="n">
        <f aca="false">'20_CASH_FLOW'!T12</f>
        <v>0</v>
      </c>
      <c r="U13" s="79" t="n">
        <f aca="false">'20_CASH_FLOW'!U12</f>
        <v>0</v>
      </c>
      <c r="V13" s="79" t="n">
        <f aca="false">'20_CASH_FLOW'!V12</f>
        <v>0</v>
      </c>
      <c r="W13" s="79" t="n">
        <f aca="false">'20_CASH_FLOW'!W12</f>
        <v>0</v>
      </c>
      <c r="X13" s="79" t="n">
        <f aca="false">'20_CASH_FLOW'!X12</f>
        <v>0</v>
      </c>
      <c r="Y13" s="79" t="n">
        <f aca="false">'20_CASH_FLOW'!Y12</f>
        <v>0</v>
      </c>
      <c r="Z13" s="79" t="n">
        <f aca="false">'20_CASH_FLOW'!Z12</f>
        <v>0</v>
      </c>
      <c r="AA13" s="79" t="n">
        <f aca="false">'20_CASH_FLOW'!AA12</f>
        <v>0</v>
      </c>
      <c r="AB13" s="79" t="n">
        <f aca="false">'20_CASH_FLOW'!AB12</f>
        <v>0</v>
      </c>
      <c r="AC13" s="79" t="n">
        <f aca="false">'20_CASH_FLOW'!AC12</f>
        <v>0</v>
      </c>
      <c r="AD13" s="79" t="n">
        <f aca="false">'20_CASH_FLOW'!AD12</f>
        <v>0</v>
      </c>
      <c r="AE13" s="79" t="n">
        <f aca="false">'20_CASH_FLOW'!AE12</f>
        <v>0</v>
      </c>
      <c r="AF13" s="79" t="n">
        <f aca="false">'20_CASH_FLOW'!AF12</f>
        <v>0</v>
      </c>
      <c r="AG13" s="79" t="n">
        <f aca="false">'20_CASH_FLOW'!AG12</f>
        <v>0</v>
      </c>
      <c r="AH13" s="79" t="n">
        <f aca="false">'20_CASH_FLOW'!AH12</f>
        <v>0</v>
      </c>
      <c r="AI13" s="79" t="n">
        <f aca="false">'20_CASH_FLOW'!AI12</f>
        <v>0</v>
      </c>
      <c r="AJ13" s="79" t="n">
        <f aca="false">'20_CASH_FLOW'!AJ12</f>
        <v>0</v>
      </c>
      <c r="AK13" s="79" t="n">
        <f aca="false">'20_CASH_FLOW'!AK12</f>
        <v>0</v>
      </c>
      <c r="AL13" s="79" t="n">
        <f aca="false">'20_CASH_FLOW'!AL12</f>
        <v>0</v>
      </c>
      <c r="AM13" s="79" t="n">
        <f aca="false">'20_CASH_FLOW'!AM12</f>
        <v>0</v>
      </c>
      <c r="AN13" s="79" t="n">
        <f aca="false">'20_CASH_FLOW'!AN12</f>
        <v>0</v>
      </c>
      <c r="AO13" s="79" t="n">
        <f aca="false">'20_CASH_FLOW'!AO12</f>
        <v>0</v>
      </c>
      <c r="AP13" s="79" t="n">
        <f aca="false">'20_CASH_FLOW'!AP12</f>
        <v>0</v>
      </c>
      <c r="AQ13" s="79" t="n">
        <f aca="false">'20_CASH_FLOW'!AQ12</f>
        <v>0</v>
      </c>
      <c r="AR13" s="79" t="n">
        <f aca="false">'20_CASH_FLOW'!AR12</f>
        <v>0</v>
      </c>
    </row>
    <row r="14" customFormat="false" ht="15" hidden="false" customHeight="true" outlineLevel="0" collapsed="false">
      <c r="A14" s="23" t="s">
        <v>903</v>
      </c>
      <c r="B14" s="23" t="s">
        <v>121</v>
      </c>
      <c r="C14" s="58" t="n">
        <f aca="false">SUM('19_EQUITY'!$E$14:$AR$14)</f>
        <v>382.188688877176</v>
      </c>
      <c r="E14" s="58" t="n">
        <f aca="false">'20_CASH_FLOW'!E34*(1-'19_EQUITY'!$C$7)</f>
        <v>0</v>
      </c>
      <c r="F14" s="58" t="n">
        <f aca="false">'20_CASH_FLOW'!F34*(1-'19_EQUITY'!$C$7)</f>
        <v>0</v>
      </c>
      <c r="G14" s="58" t="n">
        <f aca="false">'20_CASH_FLOW'!G34*(1-'19_EQUITY'!$C$7)</f>
        <v>0</v>
      </c>
      <c r="H14" s="58" t="n">
        <f aca="false">'20_CASH_FLOW'!H34*(1-'19_EQUITY'!$C$7)</f>
        <v>6.07974450455133</v>
      </c>
      <c r="I14" s="58" t="n">
        <f aca="false">'20_CASH_FLOW'!I34*(1-'19_EQUITY'!$C$7)</f>
        <v>9.45661660773896</v>
      </c>
      <c r="J14" s="58" t="n">
        <f aca="false">'20_CASH_FLOW'!J34*(1-'19_EQUITY'!$C$7)</f>
        <v>9.53700186694667</v>
      </c>
      <c r="K14" s="58" t="n">
        <f aca="false">'20_CASH_FLOW'!K34*(1-'19_EQUITY'!$C$7)</f>
        <v>9.61899483133852</v>
      </c>
      <c r="L14" s="58" t="n">
        <f aca="false">'20_CASH_FLOW'!L34*(1-'19_EQUITY'!$C$7)</f>
        <v>11.4785121695314</v>
      </c>
      <c r="M14" s="58" t="n">
        <f aca="false">'20_CASH_FLOW'!M34*(1-'19_EQUITY'!$C$7)</f>
        <v>10.5915374247141</v>
      </c>
      <c r="N14" s="58" t="n">
        <f aca="false">'20_CASH_FLOW'!N34*(1-'19_EQUITY'!$C$7)</f>
        <v>10.503569979623</v>
      </c>
      <c r="O14" s="58" t="n">
        <f aca="false">'20_CASH_FLOW'!O34*(1-'19_EQUITY'!$C$7)</f>
        <v>10.4023171719161</v>
      </c>
      <c r="P14" s="58" t="n">
        <f aca="false">'20_CASH_FLOW'!P34*(1-'19_EQUITY'!$C$7)</f>
        <v>10.2865912132441</v>
      </c>
      <c r="Q14" s="58" t="n">
        <f aca="false">'20_CASH_FLOW'!Q34*(1-'19_EQUITY'!$C$7)</f>
        <v>10.1551067930028</v>
      </c>
      <c r="R14" s="58" t="n">
        <f aca="false">'20_CASH_FLOW'!R34*(1-'19_EQUITY'!$C$7)</f>
        <v>10.006473226569</v>
      </c>
      <c r="S14" s="58" t="n">
        <f aca="false">'20_CASH_FLOW'!S34*(1-'19_EQUITY'!$C$7)</f>
        <v>9.83918597439599</v>
      </c>
      <c r="T14" s="58" t="n">
        <f aca="false">'20_CASH_FLOW'!T34*(1-'19_EQUITY'!$C$7)</f>
        <v>9.65161748161608</v>
      </c>
      <c r="U14" s="58" t="n">
        <f aca="false">'20_CASH_FLOW'!U34*(1-'19_EQUITY'!$C$7)</f>
        <v>9.44200728377207</v>
      </c>
      <c r="V14" s="58" t="n">
        <f aca="false">'20_CASH_FLOW'!V34*(1-'19_EQUITY'!$C$7)</f>
        <v>9.20845131994613</v>
      </c>
      <c r="W14" s="58" t="n">
        <f aca="false">'20_CASH_FLOW'!W34*(1-'19_EQUITY'!$C$7)</f>
        <v>17.1606391252175</v>
      </c>
      <c r="X14" s="58" t="n">
        <f aca="false">'20_CASH_FLOW'!X34*(1-'19_EQUITY'!$C$7)</f>
        <v>25.1517757133511</v>
      </c>
      <c r="Y14" s="58" t="n">
        <f aca="false">'20_CASH_FLOW'!Y34*(1-'19_EQUITY'!$C$7)</f>
        <v>25.3632120195611</v>
      </c>
      <c r="Z14" s="58" t="n">
        <f aca="false">'20_CASH_FLOW'!Z34*(1-'19_EQUITY'!$C$7)</f>
        <v>25.5788770518952</v>
      </c>
      <c r="AA14" s="58" t="n">
        <f aca="false">'20_CASH_FLOW'!AA34*(1-'19_EQUITY'!$C$7)</f>
        <v>25.7988553848761</v>
      </c>
      <c r="AB14" s="58" t="n">
        <f aca="false">'20_CASH_FLOW'!AB34*(1-'19_EQUITY'!$C$7)</f>
        <v>22.908542900734</v>
      </c>
      <c r="AC14" s="58" t="n">
        <f aca="false">'20_CASH_FLOW'!AC34*(1-'19_EQUITY'!$C$7)</f>
        <v>23.1374083583673</v>
      </c>
      <c r="AD14" s="58" t="n">
        <f aca="false">'20_CASH_FLOW'!AD34*(1-'19_EQUITY'!$C$7)</f>
        <v>23.3708511251532</v>
      </c>
      <c r="AE14" s="58" t="n">
        <f aca="false">'20_CASH_FLOW'!AE34*(1-'19_EQUITY'!$C$7)</f>
        <v>23.6089627472749</v>
      </c>
      <c r="AF14" s="58" t="n">
        <f aca="false">'20_CASH_FLOW'!AF34*(1-'19_EQUITY'!$C$7)</f>
        <v>23.851836601839</v>
      </c>
      <c r="AG14" s="58" t="n">
        <f aca="false">'20_CASH_FLOW'!AG34*(1-'19_EQUITY'!$C$7)</f>
        <v>0</v>
      </c>
      <c r="AH14" s="58" t="n">
        <f aca="false">'20_CASH_FLOW'!AH34*(1-'19_EQUITY'!$C$7)</f>
        <v>0</v>
      </c>
      <c r="AI14" s="58" t="n">
        <f aca="false">'20_CASH_FLOW'!AI34*(1-'19_EQUITY'!$C$7)</f>
        <v>0</v>
      </c>
      <c r="AJ14" s="58" t="n">
        <f aca="false">'20_CASH_FLOW'!AJ34*(1-'19_EQUITY'!$C$7)</f>
        <v>0</v>
      </c>
      <c r="AK14" s="58" t="n">
        <f aca="false">'20_CASH_FLOW'!AK34*(1-'19_EQUITY'!$C$7)</f>
        <v>0</v>
      </c>
      <c r="AL14" s="58" t="n">
        <f aca="false">'20_CASH_FLOW'!AL34*(1-'19_EQUITY'!$C$7)</f>
        <v>0</v>
      </c>
      <c r="AM14" s="58" t="n">
        <f aca="false">'20_CASH_FLOW'!AM34*(1-'19_EQUITY'!$C$7)</f>
        <v>0</v>
      </c>
      <c r="AN14" s="58" t="n">
        <f aca="false">'20_CASH_FLOW'!AN34*(1-'19_EQUITY'!$C$7)</f>
        <v>0</v>
      </c>
      <c r="AO14" s="58" t="n">
        <f aca="false">'20_CASH_FLOW'!AO34*(1-'19_EQUITY'!$C$7)</f>
        <v>0</v>
      </c>
      <c r="AP14" s="58" t="n">
        <f aca="false">'20_CASH_FLOW'!AP34*(1-'19_EQUITY'!$C$7)</f>
        <v>0</v>
      </c>
      <c r="AQ14" s="58" t="n">
        <f aca="false">'20_CASH_FLOW'!AQ34*(1-'19_EQUITY'!$C$7)</f>
        <v>0</v>
      </c>
      <c r="AR14" s="58" t="n">
        <f aca="false">'20_CASH_FLOW'!AR34*(1-'19_EQUITY'!$C$7)</f>
        <v>0</v>
      </c>
    </row>
    <row r="15" customFormat="false" ht="15" hidden="false" customHeight="true" outlineLevel="0" collapsed="false">
      <c r="A15" s="23" t="s">
        <v>904</v>
      </c>
      <c r="B15" s="23" t="s">
        <v>121</v>
      </c>
      <c r="C15" s="58" t="n">
        <f aca="false">SUM('19_EQUITY'!$E$15:$AR$15)</f>
        <v>312.580487872616</v>
      </c>
      <c r="E15" s="79" t="n">
        <f aca="false">'20_CASH_FLOW'!E41</f>
        <v>-12.9236870598323</v>
      </c>
      <c r="F15" s="79" t="n">
        <f aca="false">'20_CASH_FLOW'!F41</f>
        <v>-24.3112172614676</v>
      </c>
      <c r="G15" s="79" t="n">
        <f aca="false">'20_CASH_FLOW'!G41</f>
        <v>-32.3732966832598</v>
      </c>
      <c r="H15" s="79" t="n">
        <f aca="false">'20_CASH_FLOW'!H41</f>
        <v>6.07974450455133</v>
      </c>
      <c r="I15" s="79" t="n">
        <f aca="false">'20_CASH_FLOW'!I41</f>
        <v>9.45661660773896</v>
      </c>
      <c r="J15" s="79" t="n">
        <f aca="false">'20_CASH_FLOW'!J41</f>
        <v>9.53700186694667</v>
      </c>
      <c r="K15" s="79" t="n">
        <f aca="false">'20_CASH_FLOW'!K41</f>
        <v>9.61899483133852</v>
      </c>
      <c r="L15" s="79" t="n">
        <f aca="false">'20_CASH_FLOW'!L41</f>
        <v>11.4785121695314</v>
      </c>
      <c r="M15" s="79" t="n">
        <f aca="false">'20_CASH_FLOW'!M41</f>
        <v>10.5915374247141</v>
      </c>
      <c r="N15" s="79" t="n">
        <f aca="false">'20_CASH_FLOW'!N41</f>
        <v>10.503569979623</v>
      </c>
      <c r="O15" s="79" t="n">
        <f aca="false">'20_CASH_FLOW'!O41</f>
        <v>10.4023171719161</v>
      </c>
      <c r="P15" s="79" t="n">
        <f aca="false">'20_CASH_FLOW'!P41</f>
        <v>10.2865912132441</v>
      </c>
      <c r="Q15" s="79" t="n">
        <f aca="false">'20_CASH_FLOW'!Q41</f>
        <v>10.1551067930028</v>
      </c>
      <c r="R15" s="79" t="n">
        <f aca="false">'20_CASH_FLOW'!R41</f>
        <v>10.006473226569</v>
      </c>
      <c r="S15" s="79" t="n">
        <f aca="false">'20_CASH_FLOW'!S41</f>
        <v>9.83918597439599</v>
      </c>
      <c r="T15" s="79" t="n">
        <f aca="false">'20_CASH_FLOW'!T41</f>
        <v>9.65161748161608</v>
      </c>
      <c r="U15" s="79" t="n">
        <f aca="false">'20_CASH_FLOW'!U41</f>
        <v>9.44200728377207</v>
      </c>
      <c r="V15" s="79" t="n">
        <f aca="false">'20_CASH_FLOW'!V41</f>
        <v>9.20845131994613</v>
      </c>
      <c r="W15" s="79" t="n">
        <f aca="false">'20_CASH_FLOW'!W41</f>
        <v>17.1606391252175</v>
      </c>
      <c r="X15" s="79" t="n">
        <f aca="false">'20_CASH_FLOW'!X41</f>
        <v>25.1517757133511</v>
      </c>
      <c r="Y15" s="79" t="n">
        <f aca="false">'20_CASH_FLOW'!Y41</f>
        <v>25.3632120195611</v>
      </c>
      <c r="Z15" s="79" t="n">
        <f aca="false">'20_CASH_FLOW'!Z41</f>
        <v>25.5788770518952</v>
      </c>
      <c r="AA15" s="79" t="n">
        <f aca="false">'20_CASH_FLOW'!AA41</f>
        <v>25.7988553848761</v>
      </c>
      <c r="AB15" s="79" t="n">
        <f aca="false">'20_CASH_FLOW'!AB41</f>
        <v>22.908542900734</v>
      </c>
      <c r="AC15" s="79" t="n">
        <f aca="false">'20_CASH_FLOW'!AC41</f>
        <v>23.1374083583673</v>
      </c>
      <c r="AD15" s="79" t="n">
        <f aca="false">'20_CASH_FLOW'!AD41</f>
        <v>23.3708511251532</v>
      </c>
      <c r="AE15" s="79" t="n">
        <f aca="false">'20_CASH_FLOW'!AE41</f>
        <v>23.6089627472749</v>
      </c>
      <c r="AF15" s="79" t="n">
        <f aca="false">'20_CASH_FLOW'!AF41</f>
        <v>23.851836601839</v>
      </c>
      <c r="AG15" s="79" t="n">
        <f aca="false">'20_CASH_FLOW'!AG41</f>
        <v>0</v>
      </c>
      <c r="AH15" s="79" t="n">
        <f aca="false">'20_CASH_FLOW'!AH41</f>
        <v>0</v>
      </c>
      <c r="AI15" s="79" t="n">
        <f aca="false">'20_CASH_FLOW'!AI41</f>
        <v>0</v>
      </c>
      <c r="AJ15" s="79" t="n">
        <f aca="false">'20_CASH_FLOW'!AJ41</f>
        <v>0</v>
      </c>
      <c r="AK15" s="79" t="n">
        <f aca="false">'20_CASH_FLOW'!AK41</f>
        <v>0</v>
      </c>
      <c r="AL15" s="79" t="n">
        <f aca="false">'20_CASH_FLOW'!AL41</f>
        <v>0</v>
      </c>
      <c r="AM15" s="79" t="n">
        <f aca="false">'20_CASH_FLOW'!AM41</f>
        <v>0</v>
      </c>
      <c r="AN15" s="79" t="n">
        <f aca="false">'20_CASH_FLOW'!AN41</f>
        <v>0</v>
      </c>
      <c r="AO15" s="79" t="n">
        <f aca="false">'20_CASH_FLOW'!AO41</f>
        <v>0</v>
      </c>
      <c r="AP15" s="79" t="n">
        <f aca="false">'20_CASH_FLOW'!AP41</f>
        <v>0</v>
      </c>
      <c r="AQ15" s="79" t="n">
        <f aca="false">'20_CASH_FLOW'!AQ41</f>
        <v>0</v>
      </c>
      <c r="AR15" s="79" t="n">
        <f aca="false">'20_CASH_FLOW'!AR41</f>
        <v>0</v>
      </c>
    </row>
    <row r="16" customFormat="false" ht="15" hidden="false" customHeight="true" outlineLevel="0" collapsed="false">
      <c r="A16" s="23" t="s">
        <v>905</v>
      </c>
      <c r="B16" s="23" t="s">
        <v>121</v>
      </c>
      <c r="C16" s="58" t="n">
        <f aca="false">SUM('19_EQUITY'!$E$16:$AR$16)</f>
        <v>0</v>
      </c>
      <c r="E16" s="58" t="n">
        <f aca="false">'20_CASH_FLOW'!E34*'19_EQUITY'!$C$7</f>
        <v>0</v>
      </c>
      <c r="F16" s="58" t="n">
        <f aca="false">'20_CASH_FLOW'!F34*'19_EQUITY'!$C$7</f>
        <v>0</v>
      </c>
      <c r="G16" s="58" t="n">
        <f aca="false">'20_CASH_FLOW'!G34*'19_EQUITY'!$C$7</f>
        <v>0</v>
      </c>
      <c r="H16" s="58" t="n">
        <f aca="false">'20_CASH_FLOW'!H34*'19_EQUITY'!$C$7</f>
        <v>0</v>
      </c>
      <c r="I16" s="58" t="n">
        <f aca="false">'20_CASH_FLOW'!I34*'19_EQUITY'!$C$7</f>
        <v>0</v>
      </c>
      <c r="J16" s="58" t="n">
        <f aca="false">'20_CASH_FLOW'!J34*'19_EQUITY'!$C$7</f>
        <v>0</v>
      </c>
      <c r="K16" s="58" t="n">
        <f aca="false">'20_CASH_FLOW'!K34*'19_EQUITY'!$C$7</f>
        <v>0</v>
      </c>
      <c r="L16" s="58" t="n">
        <f aca="false">'20_CASH_FLOW'!L34*'19_EQUITY'!$C$7</f>
        <v>0</v>
      </c>
      <c r="M16" s="58" t="n">
        <f aca="false">'20_CASH_FLOW'!M34*'19_EQUITY'!$C$7</f>
        <v>0</v>
      </c>
      <c r="N16" s="58" t="n">
        <f aca="false">'20_CASH_FLOW'!N34*'19_EQUITY'!$C$7</f>
        <v>0</v>
      </c>
      <c r="O16" s="58" t="n">
        <f aca="false">'20_CASH_FLOW'!O34*'19_EQUITY'!$C$7</f>
        <v>0</v>
      </c>
      <c r="P16" s="58" t="n">
        <f aca="false">'20_CASH_FLOW'!P34*'19_EQUITY'!$C$7</f>
        <v>0</v>
      </c>
      <c r="Q16" s="58" t="n">
        <f aca="false">'20_CASH_FLOW'!Q34*'19_EQUITY'!$C$7</f>
        <v>0</v>
      </c>
      <c r="R16" s="58" t="n">
        <f aca="false">'20_CASH_FLOW'!R34*'19_EQUITY'!$C$7</f>
        <v>0</v>
      </c>
      <c r="S16" s="58" t="n">
        <f aca="false">'20_CASH_FLOW'!S34*'19_EQUITY'!$C$7</f>
        <v>0</v>
      </c>
      <c r="T16" s="58" t="n">
        <f aca="false">'20_CASH_FLOW'!T34*'19_EQUITY'!$C$7</f>
        <v>0</v>
      </c>
      <c r="U16" s="58" t="n">
        <f aca="false">'20_CASH_FLOW'!U34*'19_EQUITY'!$C$7</f>
        <v>0</v>
      </c>
      <c r="V16" s="58" t="n">
        <f aca="false">'20_CASH_FLOW'!V34*'19_EQUITY'!$C$7</f>
        <v>0</v>
      </c>
      <c r="W16" s="58" t="n">
        <f aca="false">'20_CASH_FLOW'!W34*'19_EQUITY'!$C$7</f>
        <v>0</v>
      </c>
      <c r="X16" s="58" t="n">
        <f aca="false">'20_CASH_FLOW'!X34*'19_EQUITY'!$C$7</f>
        <v>0</v>
      </c>
      <c r="Y16" s="58" t="n">
        <f aca="false">'20_CASH_FLOW'!Y34*'19_EQUITY'!$C$7</f>
        <v>0</v>
      </c>
      <c r="Z16" s="58" t="n">
        <f aca="false">'20_CASH_FLOW'!Z34*'19_EQUITY'!$C$7</f>
        <v>0</v>
      </c>
      <c r="AA16" s="58" t="n">
        <f aca="false">'20_CASH_FLOW'!AA34*'19_EQUITY'!$C$7</f>
        <v>0</v>
      </c>
      <c r="AB16" s="58" t="n">
        <f aca="false">'20_CASH_FLOW'!AB34*'19_EQUITY'!$C$7</f>
        <v>0</v>
      </c>
      <c r="AC16" s="58" t="n">
        <f aca="false">'20_CASH_FLOW'!AC34*'19_EQUITY'!$C$7</f>
        <v>0</v>
      </c>
      <c r="AD16" s="58" t="n">
        <f aca="false">'20_CASH_FLOW'!AD34*'19_EQUITY'!$C$7</f>
        <v>0</v>
      </c>
      <c r="AE16" s="58" t="n">
        <f aca="false">'20_CASH_FLOW'!AE34*'19_EQUITY'!$C$7</f>
        <v>0</v>
      </c>
      <c r="AF16" s="58" t="n">
        <f aca="false">'20_CASH_FLOW'!AF34*'19_EQUITY'!$C$7</f>
        <v>0</v>
      </c>
      <c r="AG16" s="58" t="n">
        <f aca="false">'20_CASH_FLOW'!AG34*'19_EQUITY'!$C$7</f>
        <v>0</v>
      </c>
      <c r="AH16" s="58" t="n">
        <f aca="false">'20_CASH_FLOW'!AH34*'19_EQUITY'!$C$7</f>
        <v>0</v>
      </c>
      <c r="AI16" s="58" t="n">
        <f aca="false">'20_CASH_FLOW'!AI34*'19_EQUITY'!$C$7</f>
        <v>0</v>
      </c>
      <c r="AJ16" s="58" t="n">
        <f aca="false">'20_CASH_FLOW'!AJ34*'19_EQUITY'!$C$7</f>
        <v>0</v>
      </c>
      <c r="AK16" s="58" t="n">
        <f aca="false">'20_CASH_FLOW'!AK34*'19_EQUITY'!$C$7</f>
        <v>0</v>
      </c>
      <c r="AL16" s="58" t="n">
        <f aca="false">'20_CASH_FLOW'!AL34*'19_EQUITY'!$C$7</f>
        <v>0</v>
      </c>
      <c r="AM16" s="58" t="n">
        <f aca="false">'20_CASH_FLOW'!AM34*'19_EQUITY'!$C$7</f>
        <v>0</v>
      </c>
      <c r="AN16" s="58" t="n">
        <f aca="false">'20_CASH_FLOW'!AN34*'19_EQUITY'!$C$7</f>
        <v>0</v>
      </c>
      <c r="AO16" s="58" t="n">
        <f aca="false">'20_CASH_FLOW'!AO34*'19_EQUITY'!$C$7</f>
        <v>0</v>
      </c>
      <c r="AP16" s="58" t="n">
        <f aca="false">'20_CASH_FLOW'!AP34*'19_EQUITY'!$C$7</f>
        <v>0</v>
      </c>
      <c r="AQ16" s="58" t="n">
        <f aca="false">'20_CASH_FLOW'!AQ34*'19_EQUITY'!$C$7</f>
        <v>0</v>
      </c>
      <c r="AR16" s="58" t="n">
        <f aca="false">'20_CASH_FLOW'!AR34*'19_EQUITY'!$C$7</f>
        <v>0</v>
      </c>
    </row>
    <row r="17" customFormat="false" ht="15" hidden="false" customHeight="true" outlineLevel="0" collapsed="false">
      <c r="A17" s="23" t="s">
        <v>906</v>
      </c>
      <c r="B17" s="23" t="s">
        <v>121</v>
      </c>
      <c r="E17" s="58" t="n">
        <f aca="false">('19_EQUITY'!F14+'19_EQUITY'!F17)/(1+'17A_STRUCTURES'!$C$23)</f>
        <v>52.6807054728623</v>
      </c>
      <c r="F17" s="58" t="n">
        <f aca="false">('19_EQUITY'!G14+'19_EQUITY'!G17)/(1+'17A_STRUCTURES'!$C$23)</f>
        <v>60.5828112937917</v>
      </c>
      <c r="G17" s="58" t="n">
        <f aca="false">('19_EQUITY'!H14+'19_EQUITY'!H17)/(1+'17A_STRUCTURES'!$C$23)</f>
        <v>69.6702329878604</v>
      </c>
      <c r="H17" s="58" t="n">
        <f aca="false">('19_EQUITY'!I14+'19_EQUITY'!I17)/(1+'17A_STRUCTURES'!$C$23)</f>
        <v>74.0410234314882</v>
      </c>
      <c r="I17" s="58" t="n">
        <f aca="false">('19_EQUITY'!J14+'19_EQUITY'!J17)/(1+'17A_STRUCTURES'!$C$23)</f>
        <v>75.6905603384724</v>
      </c>
      <c r="J17" s="58" t="n">
        <f aca="false">('19_EQUITY'!K14+'19_EQUITY'!K17)/(1+'17A_STRUCTURES'!$C$23)</f>
        <v>77.5071425222966</v>
      </c>
      <c r="K17" s="58" t="n">
        <f aca="false">('19_EQUITY'!L14+'19_EQUITY'!L17)/(1+'17A_STRUCTURES'!$C$23)</f>
        <v>79.5142190693026</v>
      </c>
      <c r="L17" s="58" t="n">
        <f aca="false">('19_EQUITY'!M14+'19_EQUITY'!M17)/(1+'17A_STRUCTURES'!$C$23)</f>
        <v>79.9628397601665</v>
      </c>
      <c r="M17" s="58" t="n">
        <f aca="false">('19_EQUITY'!N14+'19_EQUITY'!N17)/(1+'17A_STRUCTURES'!$C$23)</f>
        <v>81.3657282994774</v>
      </c>
      <c r="N17" s="58" t="n">
        <f aca="false">('19_EQUITY'!O14+'19_EQUITY'!O17)/(1+'17A_STRUCTURES'!$C$23)</f>
        <v>83.067017564776</v>
      </c>
      <c r="O17" s="58" t="n">
        <f aca="false">('19_EQUITY'!P14+'19_EQUITY'!P17)/(1+'17A_STRUCTURES'!$C$23)</f>
        <v>85.1247530275763</v>
      </c>
      <c r="P17" s="58" t="n">
        <f aca="false">('19_EQUITY'!Q14+'19_EQUITY'!Q17)/(1+'17A_STRUCTURES'!$C$23)</f>
        <v>87.6068747684686</v>
      </c>
      <c r="Q17" s="58" t="n">
        <f aca="false">('19_EQUITY'!R14+'19_EQUITY'!R17)/(1+'17A_STRUCTURES'!$C$23)</f>
        <v>90.5927991907361</v>
      </c>
      <c r="R17" s="58" t="n">
        <f aca="false">('19_EQUITY'!S14+'19_EQUITY'!S17)/(1+'17A_STRUCTURES'!$C$23)</f>
        <v>94.1752458427775</v>
      </c>
      <c r="S17" s="58" t="n">
        <f aca="false">('19_EQUITY'!T14+'19_EQUITY'!T17)/(1+'17A_STRUCTURES'!$C$23)</f>
        <v>98.4623467447982</v>
      </c>
      <c r="T17" s="58" t="n">
        <f aca="false">('19_EQUITY'!U14+'19_EQUITY'!U17)/(1+'17A_STRUCTURES'!$C$23)</f>
        <v>103.580081274902</v>
      </c>
      <c r="U17" s="58" t="n">
        <f aca="false">('19_EQUITY'!V14+'19_EQUITY'!V17)/(1+'17A_STRUCTURES'!$C$23)</f>
        <v>109.675086182365</v>
      </c>
      <c r="V17" s="58" t="n">
        <f aca="false">('19_EQUITY'!W14+'19_EQUITY'!W17)/(1+'17A_STRUCTURES'!$C$23)</f>
        <v>116.917897789774</v>
      </c>
      <c r="W17" s="58" t="n">
        <f aca="false">('19_EQUITY'!X14+'19_EQUITY'!X17)/(1+'17A_STRUCTURES'!$C$23)</f>
        <v>117.294943333022</v>
      </c>
      <c r="X17" s="58" t="n">
        <f aca="false">('19_EQUITY'!Y14+'19_EQUITY'!Y17)/(1+'17A_STRUCTURES'!$C$23)</f>
        <v>109.737409119624</v>
      </c>
      <c r="Y17" s="58" t="n">
        <f aca="false">('19_EQUITY'!Z14+'19_EQUITY'!Z17)/(1+'17A_STRUCTURES'!$C$23)</f>
        <v>100.834808468007</v>
      </c>
      <c r="Z17" s="58" t="n">
        <f aca="false">('19_EQUITY'!AA14+'19_EQUITY'!AA17)/(1+'17A_STRUCTURES'!$C$23)</f>
        <v>90.3811526863128</v>
      </c>
      <c r="AA17" s="58" t="n">
        <f aca="false">('19_EQUITY'!AB14+'19_EQUITY'!AB17)/(1+'17A_STRUCTURES'!$C$23)</f>
        <v>78.1394702043836</v>
      </c>
      <c r="AB17" s="58" t="n">
        <f aca="false">('19_EQUITY'!AC14+'19_EQUITY'!AC17)/(1+'17A_STRUCTURES'!$C$23)</f>
        <v>66.9518478343071</v>
      </c>
      <c r="AC17" s="58" t="n">
        <f aca="false">('19_EQUITY'!AD14+'19_EQUITY'!AD17)/(1+'17A_STRUCTURES'!$C$23)</f>
        <v>53.8572166510859</v>
      </c>
      <c r="AD17" s="58" t="n">
        <f aca="false">('19_EQUITY'!AE14+'19_EQUITY'!AE17)/(1+'17A_STRUCTURES'!$C$23)</f>
        <v>38.5649480235955</v>
      </c>
      <c r="AE17" s="58" t="n">
        <f aca="false">('19_EQUITY'!AF14+'19_EQUITY'!AF17)/(1+'17A_STRUCTURES'!$C$23)</f>
        <v>20.74072747986</v>
      </c>
      <c r="AF17" s="58" t="n">
        <f aca="false">('19_EQUITY'!AG14+'19_EQUITY'!AG17)/(1+'17A_STRUCTURES'!$C$23)</f>
        <v>0</v>
      </c>
      <c r="AG17" s="58" t="n">
        <f aca="false">('19_EQUITY'!AH14+'19_EQUITY'!AH17)/(1+'17A_STRUCTURES'!$C$23)</f>
        <v>0</v>
      </c>
      <c r="AH17" s="58" t="n">
        <f aca="false">('19_EQUITY'!AI14+'19_EQUITY'!AI17)/(1+'17A_STRUCTURES'!$C$23)</f>
        <v>0</v>
      </c>
      <c r="AI17" s="58" t="n">
        <f aca="false">('19_EQUITY'!AJ14+'19_EQUITY'!AJ17)/(1+'17A_STRUCTURES'!$C$23)</f>
        <v>0</v>
      </c>
      <c r="AJ17" s="58" t="n">
        <f aca="false">('19_EQUITY'!AK14+'19_EQUITY'!AK17)/(1+'17A_STRUCTURES'!$C$23)</f>
        <v>0</v>
      </c>
      <c r="AK17" s="58" t="n">
        <f aca="false">('19_EQUITY'!AL14+'19_EQUITY'!AL17)/(1+'17A_STRUCTURES'!$C$23)</f>
        <v>0</v>
      </c>
      <c r="AL17" s="58" t="n">
        <f aca="false">('19_EQUITY'!AM14+'19_EQUITY'!AM17)/(1+'17A_STRUCTURES'!$C$23)</f>
        <v>0</v>
      </c>
      <c r="AM17" s="58" t="n">
        <f aca="false">('19_EQUITY'!AN14+'19_EQUITY'!AN17)/(1+'17A_STRUCTURES'!$C$23)</f>
        <v>0</v>
      </c>
      <c r="AN17" s="58" t="n">
        <f aca="false">('19_EQUITY'!AO14+'19_EQUITY'!AO17)/(1+'17A_STRUCTURES'!$C$23)</f>
        <v>0</v>
      </c>
      <c r="AO17" s="58" t="n">
        <f aca="false">('19_EQUITY'!AP14+'19_EQUITY'!AP17)/(1+'17A_STRUCTURES'!$C$23)</f>
        <v>0</v>
      </c>
      <c r="AP17" s="58" t="n">
        <f aca="false">('19_EQUITY'!AQ14+'19_EQUITY'!AQ17)/(1+'17A_STRUCTURES'!$C$23)</f>
        <v>0</v>
      </c>
      <c r="AQ17" s="58" t="n">
        <f aca="false">('19_EQUITY'!AR14+'19_EQUITY'!AR17)/(1+'17A_STRUCTURES'!$C$23)</f>
        <v>0</v>
      </c>
      <c r="AR17" s="58" t="n">
        <f aca="false">('19_EQUITY'!AS14+'19_EQUITY'!AS17)/(1+'17A_STRUCTURES'!$C$23)</f>
        <v>0</v>
      </c>
    </row>
    <row r="18" customFormat="false" ht="15" hidden="false" customHeight="true" outlineLevel="0" collapsed="false">
      <c r="A18" s="23" t="s">
        <v>907</v>
      </c>
      <c r="B18" s="23" t="s">
        <v>121</v>
      </c>
      <c r="E18" s="58" t="n">
        <f aca="false">MAX(0,-'20_CASH_FLOW'!E42)</f>
        <v>12.9236870598323</v>
      </c>
      <c r="F18" s="58" t="n">
        <f aca="false">MAX(0,-'20_CASH_FLOW'!F42)</f>
        <v>37.2349043212999</v>
      </c>
      <c r="G18" s="58" t="n">
        <f aca="false">MAX(0,-'20_CASH_FLOW'!G42)</f>
        <v>69.6082010045597</v>
      </c>
      <c r="H18" s="58" t="n">
        <f aca="false">MAX(0,-'20_CASH_FLOW'!H42)</f>
        <v>63.5284565000083</v>
      </c>
      <c r="I18" s="58" t="n">
        <f aca="false">MAX(0,-'20_CASH_FLOW'!I42)</f>
        <v>54.0718398922694</v>
      </c>
      <c r="J18" s="58" t="n">
        <f aca="false">MAX(0,-'20_CASH_FLOW'!J42)</f>
        <v>44.5348380253227</v>
      </c>
      <c r="K18" s="58" t="n">
        <f aca="false">MAX(0,-'20_CASH_FLOW'!K42)</f>
        <v>34.9158431939842</v>
      </c>
      <c r="L18" s="58" t="n">
        <f aca="false">MAX(0,-'20_CASH_FLOW'!L42)</f>
        <v>23.4373310244527</v>
      </c>
      <c r="M18" s="58" t="n">
        <f aca="false">MAX(0,-'20_CASH_FLOW'!M42)</f>
        <v>12.8457935997386</v>
      </c>
      <c r="N18" s="58" t="n">
        <f aca="false">MAX(0,-'20_CASH_FLOW'!N42)</f>
        <v>2.34222362011566</v>
      </c>
      <c r="O18" s="58" t="n">
        <f aca="false">MAX(0,-'20_CASH_FLOW'!O42)</f>
        <v>0</v>
      </c>
      <c r="P18" s="58" t="n">
        <f aca="false">MAX(0,-'20_CASH_FLOW'!P42)</f>
        <v>0</v>
      </c>
      <c r="Q18" s="58" t="n">
        <f aca="false">MAX(0,-'20_CASH_FLOW'!Q42)</f>
        <v>0</v>
      </c>
      <c r="R18" s="58" t="n">
        <f aca="false">MAX(0,-'20_CASH_FLOW'!R42)</f>
        <v>0</v>
      </c>
      <c r="S18" s="58" t="n">
        <f aca="false">MAX(0,-'20_CASH_FLOW'!S42)</f>
        <v>0</v>
      </c>
      <c r="T18" s="58" t="n">
        <f aca="false">MAX(0,-'20_CASH_FLOW'!T42)</f>
        <v>0</v>
      </c>
      <c r="U18" s="58" t="n">
        <f aca="false">MAX(0,-'20_CASH_FLOW'!U42)</f>
        <v>0</v>
      </c>
      <c r="V18" s="58" t="n">
        <f aca="false">MAX(0,-'20_CASH_FLOW'!V42)</f>
        <v>0</v>
      </c>
      <c r="W18" s="58" t="n">
        <f aca="false">MAX(0,-'20_CASH_FLOW'!W42)</f>
        <v>0</v>
      </c>
      <c r="X18" s="58" t="n">
        <f aca="false">MAX(0,-'20_CASH_FLOW'!X42)</f>
        <v>0</v>
      </c>
      <c r="Y18" s="58" t="n">
        <f aca="false">MAX(0,-'20_CASH_FLOW'!Y42)</f>
        <v>0</v>
      </c>
      <c r="Z18" s="58" t="n">
        <f aca="false">MAX(0,-'20_CASH_FLOW'!Z42)</f>
        <v>0</v>
      </c>
      <c r="AA18" s="58" t="n">
        <f aca="false">MAX(0,-'20_CASH_FLOW'!AA42)</f>
        <v>0</v>
      </c>
      <c r="AB18" s="58" t="n">
        <f aca="false">MAX(0,-'20_CASH_FLOW'!AB42)</f>
        <v>0</v>
      </c>
      <c r="AC18" s="58" t="n">
        <f aca="false">MAX(0,-'20_CASH_FLOW'!AC42)</f>
        <v>0</v>
      </c>
      <c r="AD18" s="58" t="n">
        <f aca="false">MAX(0,-'20_CASH_FLOW'!AD42)</f>
        <v>0</v>
      </c>
      <c r="AE18" s="58" t="n">
        <f aca="false">MAX(0,-'20_CASH_FLOW'!AE42)</f>
        <v>0</v>
      </c>
      <c r="AF18" s="58" t="n">
        <f aca="false">MAX(0,-'20_CASH_FLOW'!AF42)</f>
        <v>0</v>
      </c>
      <c r="AG18" s="58" t="n">
        <f aca="false">MAX(0,-'20_CASH_FLOW'!AG42)</f>
        <v>0</v>
      </c>
      <c r="AH18" s="58" t="n">
        <f aca="false">MAX(0,-'20_CASH_FLOW'!AH42)</f>
        <v>0</v>
      </c>
      <c r="AI18" s="58" t="n">
        <f aca="false">MAX(0,-'20_CASH_FLOW'!AI42)</f>
        <v>0</v>
      </c>
      <c r="AJ18" s="58" t="n">
        <f aca="false">MAX(0,-'20_CASH_FLOW'!AJ42)</f>
        <v>0</v>
      </c>
      <c r="AK18" s="58" t="n">
        <f aca="false">MAX(0,-'20_CASH_FLOW'!AK42)</f>
        <v>0</v>
      </c>
      <c r="AL18" s="58" t="n">
        <f aca="false">MAX(0,-'20_CASH_FLOW'!AL42)</f>
        <v>0</v>
      </c>
      <c r="AM18" s="58" t="n">
        <f aca="false">MAX(0,-'20_CASH_FLOW'!AM42)</f>
        <v>0</v>
      </c>
      <c r="AN18" s="58" t="n">
        <f aca="false">MAX(0,-'20_CASH_FLOW'!AN42)</f>
        <v>0</v>
      </c>
      <c r="AO18" s="58" t="n">
        <f aca="false">MAX(0,-'20_CASH_FLOW'!AO42)</f>
        <v>0</v>
      </c>
      <c r="AP18" s="58" t="n">
        <f aca="false">MAX(0,-'20_CASH_FLOW'!AP42)</f>
        <v>0</v>
      </c>
      <c r="AQ18" s="58" t="n">
        <f aca="false">MAX(0,-'20_CASH_FLOW'!AQ42)</f>
        <v>0</v>
      </c>
      <c r="AR18" s="58" t="n">
        <f aca="false">MAX(0,-'20_CASH_FLOW'!AR42)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R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908</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1" t="s">
        <v>909</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ustomFormat="false" ht="15" hidden="false" customHeight="true" outlineLevel="0" collapsed="false">
      <c r="A7" s="23" t="s">
        <v>910</v>
      </c>
      <c r="B7" s="23" t="s">
        <v>121</v>
      </c>
      <c r="C7" s="58" t="n">
        <f aca="false">SUM('20_CASH_FLOW'!$E$7:$AR$7)</f>
        <v>214.960418914413</v>
      </c>
      <c r="E7" s="58" t="n">
        <f aca="false">'06_CONSTRUCTION'!E25+'08_TRANSMISSION'!E33*'06_CONSTRUCTION'!E13+'18_DEBT'!E41+IF(1=1,'17_PROJECT_FINANCE'!$C$10+'17_PROJECT_FINANCE'!$C$7,0)+'18_DEBT'!E44</f>
        <v>49.2617415372956</v>
      </c>
      <c r="F7" s="58" t="n">
        <f aca="false">'06_CONSTRUCTION'!F25+'08_TRANSMISSION'!F33*'06_CONSTRUCTION'!F13+'18_DEBT'!F41+IF(2=1,'17_PROJECT_FINANCE'!$C$10+'17_PROJECT_FINANCE'!$C$7,0)+'18_DEBT'!F44</f>
        <v>96.9873262163941</v>
      </c>
      <c r="G7" s="58" t="n">
        <f aca="false">'06_CONSTRUCTION'!G25+'08_TRANSMISSION'!G33*'06_CONSTRUCTION'!G13+'18_DEBT'!G41+IF(3=1,'17_PROJECT_FINANCE'!$C$10+'17_PROJECT_FINANCE'!$C$7,0)+'18_DEBT'!G44</f>
        <v>68.711351160723</v>
      </c>
      <c r="H7" s="58" t="n">
        <f aca="false">'06_CONSTRUCTION'!H25+'08_TRANSMISSION'!H33*'06_CONSTRUCTION'!H13+'18_DEBT'!H41+IF(4=1,'17_PROJECT_FINANCE'!$C$10+'17_PROJECT_FINANCE'!$C$7,0)+'18_DEBT'!H44</f>
        <v>0</v>
      </c>
      <c r="I7" s="58" t="n">
        <f aca="false">'06_CONSTRUCTION'!I25+'08_TRANSMISSION'!I33*'06_CONSTRUCTION'!I13+'18_DEBT'!I41+IF(5=1,'17_PROJECT_FINANCE'!$C$10+'17_PROJECT_FINANCE'!$C$7,0)+'18_DEBT'!I44</f>
        <v>0</v>
      </c>
      <c r="J7" s="58" t="n">
        <f aca="false">'06_CONSTRUCTION'!J25+'08_TRANSMISSION'!J33*'06_CONSTRUCTION'!J13+'18_DEBT'!J41+IF(6=1,'17_PROJECT_FINANCE'!$C$10+'17_PROJECT_FINANCE'!$C$7,0)+'18_DEBT'!J44</f>
        <v>0</v>
      </c>
      <c r="K7" s="58" t="n">
        <f aca="false">'06_CONSTRUCTION'!K25+'08_TRANSMISSION'!K33*'06_CONSTRUCTION'!K13+'18_DEBT'!K41+IF(7=1,'17_PROJECT_FINANCE'!$C$10+'17_PROJECT_FINANCE'!$C$7,0)+'18_DEBT'!K44</f>
        <v>0</v>
      </c>
      <c r="L7" s="58" t="n">
        <f aca="false">'06_CONSTRUCTION'!L25+'08_TRANSMISSION'!L33*'06_CONSTRUCTION'!L13+'18_DEBT'!L41+IF(8=1,'17_PROJECT_FINANCE'!$C$10+'17_PROJECT_FINANCE'!$C$7,0)+'18_DEBT'!L44</f>
        <v>0</v>
      </c>
      <c r="M7" s="58" t="n">
        <f aca="false">'06_CONSTRUCTION'!M25+'08_TRANSMISSION'!M33*'06_CONSTRUCTION'!M13+'18_DEBT'!M41+IF(9=1,'17_PROJECT_FINANCE'!$C$10+'17_PROJECT_FINANCE'!$C$7,0)+'18_DEBT'!M44</f>
        <v>0</v>
      </c>
      <c r="N7" s="58" t="n">
        <f aca="false">'06_CONSTRUCTION'!N25+'08_TRANSMISSION'!N33*'06_CONSTRUCTION'!N13+'18_DEBT'!N41+IF(10=1,'17_PROJECT_FINANCE'!$C$10+'17_PROJECT_FINANCE'!$C$7,0)+'18_DEBT'!N44</f>
        <v>0</v>
      </c>
      <c r="O7" s="58" t="n">
        <f aca="false">'06_CONSTRUCTION'!O25+'08_TRANSMISSION'!O33*'06_CONSTRUCTION'!O13+'18_DEBT'!O41+IF(11=1,'17_PROJECT_FINANCE'!$C$10+'17_PROJECT_FINANCE'!$C$7,0)+'18_DEBT'!O44</f>
        <v>0</v>
      </c>
      <c r="P7" s="58" t="n">
        <f aca="false">'06_CONSTRUCTION'!P25+'08_TRANSMISSION'!P33*'06_CONSTRUCTION'!P13+'18_DEBT'!P41+IF(12=1,'17_PROJECT_FINANCE'!$C$10+'17_PROJECT_FINANCE'!$C$7,0)+'18_DEBT'!P44</f>
        <v>0</v>
      </c>
      <c r="Q7" s="58" t="n">
        <f aca="false">'06_CONSTRUCTION'!Q25+'08_TRANSMISSION'!Q33*'06_CONSTRUCTION'!Q13+'18_DEBT'!Q41+IF(13=1,'17_PROJECT_FINANCE'!$C$10+'17_PROJECT_FINANCE'!$C$7,0)+'18_DEBT'!Q44</f>
        <v>0</v>
      </c>
      <c r="R7" s="58" t="n">
        <f aca="false">'06_CONSTRUCTION'!R25+'08_TRANSMISSION'!R33*'06_CONSTRUCTION'!R13+'18_DEBT'!R41+IF(14=1,'17_PROJECT_FINANCE'!$C$10+'17_PROJECT_FINANCE'!$C$7,0)+'18_DEBT'!R44</f>
        <v>0</v>
      </c>
      <c r="S7" s="58" t="n">
        <f aca="false">'06_CONSTRUCTION'!S25+'08_TRANSMISSION'!S33*'06_CONSTRUCTION'!S13+'18_DEBT'!S41+IF(15=1,'17_PROJECT_FINANCE'!$C$10+'17_PROJECT_FINANCE'!$C$7,0)+'18_DEBT'!S44</f>
        <v>0</v>
      </c>
      <c r="T7" s="58" t="n">
        <f aca="false">'06_CONSTRUCTION'!T25+'08_TRANSMISSION'!T33*'06_CONSTRUCTION'!T13+'18_DEBT'!T41+IF(16=1,'17_PROJECT_FINANCE'!$C$10+'17_PROJECT_FINANCE'!$C$7,0)+'18_DEBT'!T44</f>
        <v>0</v>
      </c>
      <c r="U7" s="58" t="n">
        <f aca="false">'06_CONSTRUCTION'!U25+'08_TRANSMISSION'!U33*'06_CONSTRUCTION'!U13+'18_DEBT'!U41+IF(17=1,'17_PROJECT_FINANCE'!$C$10+'17_PROJECT_FINANCE'!$C$7,0)+'18_DEBT'!U44</f>
        <v>0</v>
      </c>
      <c r="V7" s="58" t="n">
        <f aca="false">'06_CONSTRUCTION'!V25+'08_TRANSMISSION'!V33*'06_CONSTRUCTION'!V13+'18_DEBT'!V41+IF(18=1,'17_PROJECT_FINANCE'!$C$10+'17_PROJECT_FINANCE'!$C$7,0)+'18_DEBT'!V44</f>
        <v>0</v>
      </c>
      <c r="W7" s="58" t="n">
        <f aca="false">'06_CONSTRUCTION'!W25+'08_TRANSMISSION'!W33*'06_CONSTRUCTION'!W13+'18_DEBT'!W41+IF(19=1,'17_PROJECT_FINANCE'!$C$10+'17_PROJECT_FINANCE'!$C$7,0)+'18_DEBT'!W44</f>
        <v>0</v>
      </c>
      <c r="X7" s="58" t="n">
        <f aca="false">'06_CONSTRUCTION'!X25+'08_TRANSMISSION'!X33*'06_CONSTRUCTION'!X13+'18_DEBT'!X41+IF(20=1,'17_PROJECT_FINANCE'!$C$10+'17_PROJECT_FINANCE'!$C$7,0)+'18_DEBT'!X44</f>
        <v>0</v>
      </c>
      <c r="Y7" s="58" t="n">
        <f aca="false">'06_CONSTRUCTION'!Y25+'08_TRANSMISSION'!Y33*'06_CONSTRUCTION'!Y13+'18_DEBT'!Y41+IF(21=1,'17_PROJECT_FINANCE'!$C$10+'17_PROJECT_FINANCE'!$C$7,0)+'18_DEBT'!Y44</f>
        <v>0</v>
      </c>
      <c r="Z7" s="58" t="n">
        <f aca="false">'06_CONSTRUCTION'!Z25+'08_TRANSMISSION'!Z33*'06_CONSTRUCTION'!Z13+'18_DEBT'!Z41+IF(22=1,'17_PROJECT_FINANCE'!$C$10+'17_PROJECT_FINANCE'!$C$7,0)+'18_DEBT'!Z44</f>
        <v>0</v>
      </c>
      <c r="AA7" s="58" t="n">
        <f aca="false">'06_CONSTRUCTION'!AA25+'08_TRANSMISSION'!AA33*'06_CONSTRUCTION'!AA13+'18_DEBT'!AA41+IF(23=1,'17_PROJECT_FINANCE'!$C$10+'17_PROJECT_FINANCE'!$C$7,0)+'18_DEBT'!AA44</f>
        <v>0</v>
      </c>
      <c r="AB7" s="58" t="n">
        <f aca="false">'06_CONSTRUCTION'!AB25+'08_TRANSMISSION'!AB33*'06_CONSTRUCTION'!AB13+'18_DEBT'!AB41+IF(24=1,'17_PROJECT_FINANCE'!$C$10+'17_PROJECT_FINANCE'!$C$7,0)+'18_DEBT'!AB44</f>
        <v>0</v>
      </c>
      <c r="AC7" s="58" t="n">
        <f aca="false">'06_CONSTRUCTION'!AC25+'08_TRANSMISSION'!AC33*'06_CONSTRUCTION'!AC13+'18_DEBT'!AC41+IF(25=1,'17_PROJECT_FINANCE'!$C$10+'17_PROJECT_FINANCE'!$C$7,0)+'18_DEBT'!AC44</f>
        <v>0</v>
      </c>
      <c r="AD7" s="58" t="n">
        <f aca="false">'06_CONSTRUCTION'!AD25+'08_TRANSMISSION'!AD33*'06_CONSTRUCTION'!AD13+'18_DEBT'!AD41+IF(26=1,'17_PROJECT_FINANCE'!$C$10+'17_PROJECT_FINANCE'!$C$7,0)+'18_DEBT'!AD44</f>
        <v>0</v>
      </c>
      <c r="AE7" s="58" t="n">
        <f aca="false">'06_CONSTRUCTION'!AE25+'08_TRANSMISSION'!AE33*'06_CONSTRUCTION'!AE13+'18_DEBT'!AE41+IF(27=1,'17_PROJECT_FINANCE'!$C$10+'17_PROJECT_FINANCE'!$C$7,0)+'18_DEBT'!AE44</f>
        <v>0</v>
      </c>
      <c r="AF7" s="58" t="n">
        <f aca="false">'06_CONSTRUCTION'!AF25+'08_TRANSMISSION'!AF33*'06_CONSTRUCTION'!AF13+'18_DEBT'!AF41+IF(28=1,'17_PROJECT_FINANCE'!$C$10+'17_PROJECT_FINANCE'!$C$7,0)+'18_DEBT'!AF44</f>
        <v>0</v>
      </c>
      <c r="AG7" s="58" t="n">
        <f aca="false">'06_CONSTRUCTION'!AG25+'08_TRANSMISSION'!AG33*'06_CONSTRUCTION'!AG13+'18_DEBT'!AG41+IF(29=1,'17_PROJECT_FINANCE'!$C$10+'17_PROJECT_FINANCE'!$C$7,0)+'18_DEBT'!AG44</f>
        <v>0</v>
      </c>
      <c r="AH7" s="58" t="n">
        <f aca="false">'06_CONSTRUCTION'!AH25+'08_TRANSMISSION'!AH33*'06_CONSTRUCTION'!AH13+'18_DEBT'!AH41+IF(30=1,'17_PROJECT_FINANCE'!$C$10+'17_PROJECT_FINANCE'!$C$7,0)+'18_DEBT'!AH44</f>
        <v>0</v>
      </c>
      <c r="AI7" s="58" t="n">
        <f aca="false">'06_CONSTRUCTION'!AI25+'08_TRANSMISSION'!AI33*'06_CONSTRUCTION'!AI13+'18_DEBT'!AI41+IF(31=1,'17_PROJECT_FINANCE'!$C$10+'17_PROJECT_FINANCE'!$C$7,0)+'18_DEBT'!AI44</f>
        <v>0</v>
      </c>
      <c r="AJ7" s="58" t="n">
        <f aca="false">'06_CONSTRUCTION'!AJ25+'08_TRANSMISSION'!AJ33*'06_CONSTRUCTION'!AJ13+'18_DEBT'!AJ41+IF(32=1,'17_PROJECT_FINANCE'!$C$10+'17_PROJECT_FINANCE'!$C$7,0)+'18_DEBT'!AJ44</f>
        <v>0</v>
      </c>
      <c r="AK7" s="58" t="n">
        <f aca="false">'06_CONSTRUCTION'!AK25+'08_TRANSMISSION'!AK33*'06_CONSTRUCTION'!AK13+'18_DEBT'!AK41+IF(33=1,'17_PROJECT_FINANCE'!$C$10+'17_PROJECT_FINANCE'!$C$7,0)+'18_DEBT'!AK44</f>
        <v>0</v>
      </c>
      <c r="AL7" s="58" t="n">
        <f aca="false">'06_CONSTRUCTION'!AL25+'08_TRANSMISSION'!AL33*'06_CONSTRUCTION'!AL13+'18_DEBT'!AL41+IF(34=1,'17_PROJECT_FINANCE'!$C$10+'17_PROJECT_FINANCE'!$C$7,0)+'18_DEBT'!AL44</f>
        <v>0</v>
      </c>
      <c r="AM7" s="58" t="n">
        <f aca="false">'06_CONSTRUCTION'!AM25+'08_TRANSMISSION'!AM33*'06_CONSTRUCTION'!AM13+'18_DEBT'!AM41+IF(35=1,'17_PROJECT_FINANCE'!$C$10+'17_PROJECT_FINANCE'!$C$7,0)+'18_DEBT'!AM44</f>
        <v>0</v>
      </c>
      <c r="AN7" s="58" t="n">
        <f aca="false">'06_CONSTRUCTION'!AN25+'08_TRANSMISSION'!AN33*'06_CONSTRUCTION'!AN13+'18_DEBT'!AN41+IF(36=1,'17_PROJECT_FINANCE'!$C$10+'17_PROJECT_FINANCE'!$C$7,0)+'18_DEBT'!AN44</f>
        <v>0</v>
      </c>
      <c r="AO7" s="58" t="n">
        <f aca="false">'06_CONSTRUCTION'!AO25+'08_TRANSMISSION'!AO33*'06_CONSTRUCTION'!AO13+'18_DEBT'!AO41+IF(37=1,'17_PROJECT_FINANCE'!$C$10+'17_PROJECT_FINANCE'!$C$7,0)+'18_DEBT'!AO44</f>
        <v>0</v>
      </c>
      <c r="AP7" s="58" t="n">
        <f aca="false">'06_CONSTRUCTION'!AP25+'08_TRANSMISSION'!AP33*'06_CONSTRUCTION'!AP13+'18_DEBT'!AP41+IF(38=1,'17_PROJECT_FINANCE'!$C$10+'17_PROJECT_FINANCE'!$C$7,0)+'18_DEBT'!AP44</f>
        <v>0</v>
      </c>
      <c r="AQ7" s="58" t="n">
        <f aca="false">'06_CONSTRUCTION'!AQ25+'08_TRANSMISSION'!AQ33*'06_CONSTRUCTION'!AQ13+'18_DEBT'!AQ41+IF(39=1,'17_PROJECT_FINANCE'!$C$10+'17_PROJECT_FINANCE'!$C$7,0)+'18_DEBT'!AQ44</f>
        <v>0</v>
      </c>
      <c r="AR7" s="58" t="n">
        <f aca="false">'06_CONSTRUCTION'!AR25+'08_TRANSMISSION'!AR33*'06_CONSTRUCTION'!AR13+'18_DEBT'!AR41+IF(40=1,'17_PROJECT_FINANCE'!$C$10+'17_PROJECT_FINANCE'!$C$7,0)+'18_DEBT'!AR44</f>
        <v>0</v>
      </c>
    </row>
    <row r="8" customFormat="false" ht="15" hidden="false" customHeight="true" outlineLevel="0" collapsed="false">
      <c r="A8" s="23" t="s">
        <v>911</v>
      </c>
      <c r="B8" s="23" t="s">
        <v>121</v>
      </c>
      <c r="C8" s="58" t="n">
        <f aca="false">SUM('20_CASH_FLOW'!$E$8:$AR$8)</f>
        <v>0</v>
      </c>
      <c r="E8" s="58" t="n">
        <f aca="false">'17_PROJECT_FINANCE'!$C$14*'06_CONSTRUCTION'!E23</f>
        <v>0</v>
      </c>
      <c r="F8" s="58" t="n">
        <f aca="false">'17_PROJECT_FINANCE'!$C$14*'06_CONSTRUCTION'!F23</f>
        <v>0</v>
      </c>
      <c r="G8" s="58" t="n">
        <f aca="false">'17_PROJECT_FINANCE'!$C$14*'06_CONSTRUCTION'!G23</f>
        <v>0</v>
      </c>
      <c r="H8" s="58" t="n">
        <f aca="false">'17_PROJECT_FINANCE'!$C$14*'06_CONSTRUCTION'!H23</f>
        <v>0</v>
      </c>
      <c r="I8" s="58" t="n">
        <f aca="false">'17_PROJECT_FINANCE'!$C$14*'06_CONSTRUCTION'!I23</f>
        <v>0</v>
      </c>
      <c r="J8" s="58" t="n">
        <f aca="false">'17_PROJECT_FINANCE'!$C$14*'06_CONSTRUCTION'!J23</f>
        <v>0</v>
      </c>
      <c r="K8" s="58" t="n">
        <f aca="false">'17_PROJECT_FINANCE'!$C$14*'06_CONSTRUCTION'!K23</f>
        <v>0</v>
      </c>
      <c r="L8" s="58" t="n">
        <f aca="false">'17_PROJECT_FINANCE'!$C$14*'06_CONSTRUCTION'!L23</f>
        <v>0</v>
      </c>
      <c r="M8" s="58" t="n">
        <f aca="false">'17_PROJECT_FINANCE'!$C$14*'06_CONSTRUCTION'!M23</f>
        <v>0</v>
      </c>
      <c r="N8" s="58" t="n">
        <f aca="false">'17_PROJECT_FINANCE'!$C$14*'06_CONSTRUCTION'!N23</f>
        <v>0</v>
      </c>
      <c r="O8" s="58" t="n">
        <f aca="false">'17_PROJECT_FINANCE'!$C$14*'06_CONSTRUCTION'!O23</f>
        <v>0</v>
      </c>
      <c r="P8" s="58" t="n">
        <f aca="false">'17_PROJECT_FINANCE'!$C$14*'06_CONSTRUCTION'!P23</f>
        <v>0</v>
      </c>
      <c r="Q8" s="58" t="n">
        <f aca="false">'17_PROJECT_FINANCE'!$C$14*'06_CONSTRUCTION'!Q23</f>
        <v>0</v>
      </c>
      <c r="R8" s="58" t="n">
        <f aca="false">'17_PROJECT_FINANCE'!$C$14*'06_CONSTRUCTION'!R23</f>
        <v>0</v>
      </c>
      <c r="S8" s="58" t="n">
        <f aca="false">'17_PROJECT_FINANCE'!$C$14*'06_CONSTRUCTION'!S23</f>
        <v>0</v>
      </c>
      <c r="T8" s="58" t="n">
        <f aca="false">'17_PROJECT_FINANCE'!$C$14*'06_CONSTRUCTION'!T23</f>
        <v>0</v>
      </c>
      <c r="U8" s="58" t="n">
        <f aca="false">'17_PROJECT_FINANCE'!$C$14*'06_CONSTRUCTION'!U23</f>
        <v>0</v>
      </c>
      <c r="V8" s="58" t="n">
        <f aca="false">'17_PROJECT_FINANCE'!$C$14*'06_CONSTRUCTION'!V23</f>
        <v>0</v>
      </c>
      <c r="W8" s="58" t="n">
        <f aca="false">'17_PROJECT_FINANCE'!$C$14*'06_CONSTRUCTION'!W23</f>
        <v>0</v>
      </c>
      <c r="X8" s="58" t="n">
        <f aca="false">'17_PROJECT_FINANCE'!$C$14*'06_CONSTRUCTION'!X23</f>
        <v>0</v>
      </c>
      <c r="Y8" s="58" t="n">
        <f aca="false">'17_PROJECT_FINANCE'!$C$14*'06_CONSTRUCTION'!Y23</f>
        <v>0</v>
      </c>
      <c r="Z8" s="58" t="n">
        <f aca="false">'17_PROJECT_FINANCE'!$C$14*'06_CONSTRUCTION'!Z23</f>
        <v>0</v>
      </c>
      <c r="AA8" s="58" t="n">
        <f aca="false">'17_PROJECT_FINANCE'!$C$14*'06_CONSTRUCTION'!AA23</f>
        <v>0</v>
      </c>
      <c r="AB8" s="58" t="n">
        <f aca="false">'17_PROJECT_FINANCE'!$C$14*'06_CONSTRUCTION'!AB23</f>
        <v>0</v>
      </c>
      <c r="AC8" s="58" t="n">
        <f aca="false">'17_PROJECT_FINANCE'!$C$14*'06_CONSTRUCTION'!AC23</f>
        <v>0</v>
      </c>
      <c r="AD8" s="58" t="n">
        <f aca="false">'17_PROJECT_FINANCE'!$C$14*'06_CONSTRUCTION'!AD23</f>
        <v>0</v>
      </c>
      <c r="AE8" s="58" t="n">
        <f aca="false">'17_PROJECT_FINANCE'!$C$14*'06_CONSTRUCTION'!AE23</f>
        <v>0</v>
      </c>
      <c r="AF8" s="58" t="n">
        <f aca="false">'17_PROJECT_FINANCE'!$C$14*'06_CONSTRUCTION'!AF23</f>
        <v>0</v>
      </c>
      <c r="AG8" s="58" t="n">
        <f aca="false">'17_PROJECT_FINANCE'!$C$14*'06_CONSTRUCTION'!AG23</f>
        <v>0</v>
      </c>
      <c r="AH8" s="58" t="n">
        <f aca="false">'17_PROJECT_FINANCE'!$C$14*'06_CONSTRUCTION'!AH23</f>
        <v>0</v>
      </c>
      <c r="AI8" s="58" t="n">
        <f aca="false">'17_PROJECT_FINANCE'!$C$14*'06_CONSTRUCTION'!AI23</f>
        <v>0</v>
      </c>
      <c r="AJ8" s="58" t="n">
        <f aca="false">'17_PROJECT_FINANCE'!$C$14*'06_CONSTRUCTION'!AJ23</f>
        <v>0</v>
      </c>
      <c r="AK8" s="58" t="n">
        <f aca="false">'17_PROJECT_FINANCE'!$C$14*'06_CONSTRUCTION'!AK23</f>
        <v>0</v>
      </c>
      <c r="AL8" s="58" t="n">
        <f aca="false">'17_PROJECT_FINANCE'!$C$14*'06_CONSTRUCTION'!AL23</f>
        <v>0</v>
      </c>
      <c r="AM8" s="58" t="n">
        <f aca="false">'17_PROJECT_FINANCE'!$C$14*'06_CONSTRUCTION'!AM23</f>
        <v>0</v>
      </c>
      <c r="AN8" s="58" t="n">
        <f aca="false">'17_PROJECT_FINANCE'!$C$14*'06_CONSTRUCTION'!AN23</f>
        <v>0</v>
      </c>
      <c r="AO8" s="58" t="n">
        <f aca="false">'17_PROJECT_FINANCE'!$C$14*'06_CONSTRUCTION'!AO23</f>
        <v>0</v>
      </c>
      <c r="AP8" s="58" t="n">
        <f aca="false">'17_PROJECT_FINANCE'!$C$14*'06_CONSTRUCTION'!AP23</f>
        <v>0</v>
      </c>
      <c r="AQ8" s="58" t="n">
        <f aca="false">'17_PROJECT_FINANCE'!$C$14*'06_CONSTRUCTION'!AQ23</f>
        <v>0</v>
      </c>
      <c r="AR8" s="58" t="n">
        <f aca="false">'17_PROJECT_FINANCE'!$C$14*'06_CONSTRUCTION'!AR23</f>
        <v>0</v>
      </c>
    </row>
    <row r="9" customFormat="false" ht="15" hidden="false" customHeight="true" outlineLevel="0" collapsed="false">
      <c r="A9" s="23" t="s">
        <v>912</v>
      </c>
      <c r="B9" s="23" t="s">
        <v>121</v>
      </c>
      <c r="C9" s="58" t="n">
        <f aca="false">SUM('20_CASH_FLOW'!$E$9:$AR$9)</f>
        <v>145.352217909853</v>
      </c>
      <c r="E9" s="58" t="n">
        <f aca="false">'18_DEBT'!E26+'18_DEBT'!E33</f>
        <v>36.3380544774633</v>
      </c>
      <c r="F9" s="58" t="n">
        <f aca="false">'18_DEBT'!F26+'18_DEBT'!F33</f>
        <v>72.6761089549265</v>
      </c>
      <c r="G9" s="58" t="n">
        <f aca="false">'18_DEBT'!G26+'18_DEBT'!G33</f>
        <v>36.3380544774633</v>
      </c>
      <c r="H9" s="58" t="n">
        <f aca="false">'18_DEBT'!H26+'18_DEBT'!H33</f>
        <v>0</v>
      </c>
      <c r="I9" s="58" t="n">
        <f aca="false">'18_DEBT'!I26+'18_DEBT'!I33</f>
        <v>0</v>
      </c>
      <c r="J9" s="58" t="n">
        <f aca="false">'18_DEBT'!J26+'18_DEBT'!J33</f>
        <v>0</v>
      </c>
      <c r="K9" s="58" t="n">
        <f aca="false">'18_DEBT'!K26+'18_DEBT'!K33</f>
        <v>0</v>
      </c>
      <c r="L9" s="58" t="n">
        <f aca="false">'18_DEBT'!L26+'18_DEBT'!L33</f>
        <v>0</v>
      </c>
      <c r="M9" s="58" t="n">
        <f aca="false">'18_DEBT'!M26+'18_DEBT'!M33</f>
        <v>0</v>
      </c>
      <c r="N9" s="58" t="n">
        <f aca="false">'18_DEBT'!N26+'18_DEBT'!N33</f>
        <v>0</v>
      </c>
      <c r="O9" s="58" t="n">
        <f aca="false">'18_DEBT'!O26+'18_DEBT'!O33</f>
        <v>0</v>
      </c>
      <c r="P9" s="58" t="n">
        <f aca="false">'18_DEBT'!P26+'18_DEBT'!P33</f>
        <v>0</v>
      </c>
      <c r="Q9" s="58" t="n">
        <f aca="false">'18_DEBT'!Q26+'18_DEBT'!Q33</f>
        <v>0</v>
      </c>
      <c r="R9" s="58" t="n">
        <f aca="false">'18_DEBT'!R26+'18_DEBT'!R33</f>
        <v>0</v>
      </c>
      <c r="S9" s="58" t="n">
        <f aca="false">'18_DEBT'!S26+'18_DEBT'!S33</f>
        <v>0</v>
      </c>
      <c r="T9" s="58" t="n">
        <f aca="false">'18_DEBT'!T26+'18_DEBT'!T33</f>
        <v>0</v>
      </c>
      <c r="U9" s="58" t="n">
        <f aca="false">'18_DEBT'!U26+'18_DEBT'!U33</f>
        <v>0</v>
      </c>
      <c r="V9" s="58" t="n">
        <f aca="false">'18_DEBT'!V26+'18_DEBT'!V33</f>
        <v>0</v>
      </c>
      <c r="W9" s="58" t="n">
        <f aca="false">'18_DEBT'!W26+'18_DEBT'!W33</f>
        <v>0</v>
      </c>
      <c r="X9" s="58" t="n">
        <f aca="false">'18_DEBT'!X26+'18_DEBT'!X33</f>
        <v>0</v>
      </c>
      <c r="Y9" s="58" t="n">
        <f aca="false">'18_DEBT'!Y26+'18_DEBT'!Y33</f>
        <v>0</v>
      </c>
      <c r="Z9" s="58" t="n">
        <f aca="false">'18_DEBT'!Z26+'18_DEBT'!Z33</f>
        <v>0</v>
      </c>
      <c r="AA9" s="58" t="n">
        <f aca="false">'18_DEBT'!AA26+'18_DEBT'!AA33</f>
        <v>0</v>
      </c>
      <c r="AB9" s="58" t="n">
        <f aca="false">'18_DEBT'!AB26+'18_DEBT'!AB33</f>
        <v>0</v>
      </c>
      <c r="AC9" s="58" t="n">
        <f aca="false">'18_DEBT'!AC26+'18_DEBT'!AC33</f>
        <v>0</v>
      </c>
      <c r="AD9" s="58" t="n">
        <f aca="false">'18_DEBT'!AD26+'18_DEBT'!AD33</f>
        <v>0</v>
      </c>
      <c r="AE9" s="58" t="n">
        <f aca="false">'18_DEBT'!AE26+'18_DEBT'!AE33</f>
        <v>0</v>
      </c>
      <c r="AF9" s="58" t="n">
        <f aca="false">'18_DEBT'!AF26+'18_DEBT'!AF33</f>
        <v>0</v>
      </c>
      <c r="AG9" s="58" t="n">
        <f aca="false">'18_DEBT'!AG26+'18_DEBT'!AG33</f>
        <v>0</v>
      </c>
      <c r="AH9" s="58" t="n">
        <f aca="false">'18_DEBT'!AH26+'18_DEBT'!AH33</f>
        <v>0</v>
      </c>
      <c r="AI9" s="58" t="n">
        <f aca="false">'18_DEBT'!AI26+'18_DEBT'!AI33</f>
        <v>0</v>
      </c>
      <c r="AJ9" s="58" t="n">
        <f aca="false">'18_DEBT'!AJ26+'18_DEBT'!AJ33</f>
        <v>0</v>
      </c>
      <c r="AK9" s="58" t="n">
        <f aca="false">'18_DEBT'!AK26+'18_DEBT'!AK33</f>
        <v>0</v>
      </c>
      <c r="AL9" s="58" t="n">
        <f aca="false">'18_DEBT'!AL26+'18_DEBT'!AL33</f>
        <v>0</v>
      </c>
      <c r="AM9" s="58" t="n">
        <f aca="false">'18_DEBT'!AM26+'18_DEBT'!AM33</f>
        <v>0</v>
      </c>
      <c r="AN9" s="58" t="n">
        <f aca="false">'18_DEBT'!AN26+'18_DEBT'!AN33</f>
        <v>0</v>
      </c>
      <c r="AO9" s="58" t="n">
        <f aca="false">'18_DEBT'!AO26+'18_DEBT'!AO33</f>
        <v>0</v>
      </c>
      <c r="AP9" s="58" t="n">
        <f aca="false">'18_DEBT'!AP26+'18_DEBT'!AP33</f>
        <v>0</v>
      </c>
      <c r="AQ9" s="58" t="n">
        <f aca="false">'18_DEBT'!AQ26+'18_DEBT'!AQ33</f>
        <v>0</v>
      </c>
      <c r="AR9" s="58" t="n">
        <f aca="false">'18_DEBT'!AR26+'18_DEBT'!AR33</f>
        <v>0</v>
      </c>
    </row>
    <row r="10" customFormat="false" ht="15" hidden="false" customHeight="true" outlineLevel="0" collapsed="false">
      <c r="A10" s="23" t="s">
        <v>913</v>
      </c>
      <c r="B10" s="23" t="s">
        <v>121</v>
      </c>
      <c r="C10" s="58" t="n">
        <f aca="false">SUM('20_CASH_FLOW'!$E$10:$AR$10)</f>
        <v>69.6082010045597</v>
      </c>
      <c r="E10" s="58" t="n">
        <f aca="false">'20_CASH_FLOW'!E7-'20_CASH_FLOW'!E8-'20_CASH_FLOW'!E9</f>
        <v>12.9236870598323</v>
      </c>
      <c r="F10" s="58" t="n">
        <f aca="false">'20_CASH_FLOW'!F7-'20_CASH_FLOW'!F8-'20_CASH_FLOW'!F9</f>
        <v>24.3112172614676</v>
      </c>
      <c r="G10" s="58" t="n">
        <f aca="false">'20_CASH_FLOW'!G7-'20_CASH_FLOW'!G8-'20_CASH_FLOW'!G9</f>
        <v>32.3732966832598</v>
      </c>
      <c r="H10" s="58" t="n">
        <f aca="false">'20_CASH_FLOW'!H7-'20_CASH_FLOW'!H8-'20_CASH_FLOW'!H9</f>
        <v>0</v>
      </c>
      <c r="I10" s="58" t="n">
        <f aca="false">'20_CASH_FLOW'!I7-'20_CASH_FLOW'!I8-'20_CASH_FLOW'!I9</f>
        <v>0</v>
      </c>
      <c r="J10" s="58" t="n">
        <f aca="false">'20_CASH_FLOW'!J7-'20_CASH_FLOW'!J8-'20_CASH_FLOW'!J9</f>
        <v>0</v>
      </c>
      <c r="K10" s="58" t="n">
        <f aca="false">'20_CASH_FLOW'!K7-'20_CASH_FLOW'!K8-'20_CASH_FLOW'!K9</f>
        <v>0</v>
      </c>
      <c r="L10" s="58" t="n">
        <f aca="false">'20_CASH_FLOW'!L7-'20_CASH_FLOW'!L8-'20_CASH_FLOW'!L9</f>
        <v>0</v>
      </c>
      <c r="M10" s="58" t="n">
        <f aca="false">'20_CASH_FLOW'!M7-'20_CASH_FLOW'!M8-'20_CASH_FLOW'!M9</f>
        <v>0</v>
      </c>
      <c r="N10" s="58" t="n">
        <f aca="false">'20_CASH_FLOW'!N7-'20_CASH_FLOW'!N8-'20_CASH_FLOW'!N9</f>
        <v>0</v>
      </c>
      <c r="O10" s="58" t="n">
        <f aca="false">'20_CASH_FLOW'!O7-'20_CASH_FLOW'!O8-'20_CASH_FLOW'!O9</f>
        <v>0</v>
      </c>
      <c r="P10" s="58" t="n">
        <f aca="false">'20_CASH_FLOW'!P7-'20_CASH_FLOW'!P8-'20_CASH_FLOW'!P9</f>
        <v>0</v>
      </c>
      <c r="Q10" s="58" t="n">
        <f aca="false">'20_CASH_FLOW'!Q7-'20_CASH_FLOW'!Q8-'20_CASH_FLOW'!Q9</f>
        <v>0</v>
      </c>
      <c r="R10" s="58" t="n">
        <f aca="false">'20_CASH_FLOW'!R7-'20_CASH_FLOW'!R8-'20_CASH_FLOW'!R9</f>
        <v>0</v>
      </c>
      <c r="S10" s="58" t="n">
        <f aca="false">'20_CASH_FLOW'!S7-'20_CASH_FLOW'!S8-'20_CASH_FLOW'!S9</f>
        <v>0</v>
      </c>
      <c r="T10" s="58" t="n">
        <f aca="false">'20_CASH_FLOW'!T7-'20_CASH_FLOW'!T8-'20_CASH_FLOW'!T9</f>
        <v>0</v>
      </c>
      <c r="U10" s="58" t="n">
        <f aca="false">'20_CASH_FLOW'!U7-'20_CASH_FLOW'!U8-'20_CASH_FLOW'!U9</f>
        <v>0</v>
      </c>
      <c r="V10" s="58" t="n">
        <f aca="false">'20_CASH_FLOW'!V7-'20_CASH_FLOW'!V8-'20_CASH_FLOW'!V9</f>
        <v>0</v>
      </c>
      <c r="W10" s="58" t="n">
        <f aca="false">'20_CASH_FLOW'!W7-'20_CASH_FLOW'!W8-'20_CASH_FLOW'!W9</f>
        <v>0</v>
      </c>
      <c r="X10" s="58" t="n">
        <f aca="false">'20_CASH_FLOW'!X7-'20_CASH_FLOW'!X8-'20_CASH_FLOW'!X9</f>
        <v>0</v>
      </c>
      <c r="Y10" s="58" t="n">
        <f aca="false">'20_CASH_FLOW'!Y7-'20_CASH_FLOW'!Y8-'20_CASH_FLOW'!Y9</f>
        <v>0</v>
      </c>
      <c r="Z10" s="58" t="n">
        <f aca="false">'20_CASH_FLOW'!Z7-'20_CASH_FLOW'!Z8-'20_CASH_FLOW'!Z9</f>
        <v>0</v>
      </c>
      <c r="AA10" s="58" t="n">
        <f aca="false">'20_CASH_FLOW'!AA7-'20_CASH_FLOW'!AA8-'20_CASH_FLOW'!AA9</f>
        <v>0</v>
      </c>
      <c r="AB10" s="58" t="n">
        <f aca="false">'20_CASH_FLOW'!AB7-'20_CASH_FLOW'!AB8-'20_CASH_FLOW'!AB9</f>
        <v>0</v>
      </c>
      <c r="AC10" s="58" t="n">
        <f aca="false">'20_CASH_FLOW'!AC7-'20_CASH_FLOW'!AC8-'20_CASH_FLOW'!AC9</f>
        <v>0</v>
      </c>
      <c r="AD10" s="58" t="n">
        <f aca="false">'20_CASH_FLOW'!AD7-'20_CASH_FLOW'!AD8-'20_CASH_FLOW'!AD9</f>
        <v>0</v>
      </c>
      <c r="AE10" s="58" t="n">
        <f aca="false">'20_CASH_FLOW'!AE7-'20_CASH_FLOW'!AE8-'20_CASH_FLOW'!AE9</f>
        <v>0</v>
      </c>
      <c r="AF10" s="58" t="n">
        <f aca="false">'20_CASH_FLOW'!AF7-'20_CASH_FLOW'!AF8-'20_CASH_FLOW'!AF9</f>
        <v>0</v>
      </c>
      <c r="AG10" s="58" t="n">
        <f aca="false">'20_CASH_FLOW'!AG7-'20_CASH_FLOW'!AG8-'20_CASH_FLOW'!AG9</f>
        <v>0</v>
      </c>
      <c r="AH10" s="58" t="n">
        <f aca="false">'20_CASH_FLOW'!AH7-'20_CASH_FLOW'!AH8-'20_CASH_FLOW'!AH9</f>
        <v>0</v>
      </c>
      <c r="AI10" s="58" t="n">
        <f aca="false">'20_CASH_FLOW'!AI7-'20_CASH_FLOW'!AI8-'20_CASH_FLOW'!AI9</f>
        <v>0</v>
      </c>
      <c r="AJ10" s="58" t="n">
        <f aca="false">'20_CASH_FLOW'!AJ7-'20_CASH_FLOW'!AJ8-'20_CASH_FLOW'!AJ9</f>
        <v>0</v>
      </c>
      <c r="AK10" s="58" t="n">
        <f aca="false">'20_CASH_FLOW'!AK7-'20_CASH_FLOW'!AK8-'20_CASH_FLOW'!AK9</f>
        <v>0</v>
      </c>
      <c r="AL10" s="58" t="n">
        <f aca="false">'20_CASH_FLOW'!AL7-'20_CASH_FLOW'!AL8-'20_CASH_FLOW'!AL9</f>
        <v>0</v>
      </c>
      <c r="AM10" s="58" t="n">
        <f aca="false">'20_CASH_FLOW'!AM7-'20_CASH_FLOW'!AM8-'20_CASH_FLOW'!AM9</f>
        <v>0</v>
      </c>
      <c r="AN10" s="58" t="n">
        <f aca="false">'20_CASH_FLOW'!AN7-'20_CASH_FLOW'!AN8-'20_CASH_FLOW'!AN9</f>
        <v>0</v>
      </c>
      <c r="AO10" s="58" t="n">
        <f aca="false">'20_CASH_FLOW'!AO7-'20_CASH_FLOW'!AO8-'20_CASH_FLOW'!AO9</f>
        <v>0</v>
      </c>
      <c r="AP10" s="58" t="n">
        <f aca="false">'20_CASH_FLOW'!AP7-'20_CASH_FLOW'!AP8-'20_CASH_FLOW'!AP9</f>
        <v>0</v>
      </c>
      <c r="AQ10" s="58" t="n">
        <f aca="false">'20_CASH_FLOW'!AQ7-'20_CASH_FLOW'!AQ8-'20_CASH_FLOW'!AQ9</f>
        <v>0</v>
      </c>
      <c r="AR10" s="58" t="n">
        <f aca="false">'20_CASH_FLOW'!AR7-'20_CASH_FLOW'!AR8-'20_CASH_FLOW'!AR9</f>
        <v>0</v>
      </c>
    </row>
    <row r="11" customFormat="false" ht="15" hidden="false" customHeight="true" outlineLevel="0" collapsed="false">
      <c r="A11" s="23" t="s">
        <v>914</v>
      </c>
      <c r="B11" s="23" t="s">
        <v>121</v>
      </c>
      <c r="C11" s="58" t="n">
        <f aca="false">SUM('20_CASH_FLOW'!$E$11:$AR$11)</f>
        <v>0</v>
      </c>
      <c r="E11" s="58" t="n">
        <f aca="false">IF('19_EQUITY'!$C$6&gt;0,'20_CASH_FLOW'!E10*('17_PROJECT_FINANCE'!$C$15+'17_PROJECT_FINANCE'!$C$19)/'19_EQUITY'!$C$6,0)</f>
        <v>0</v>
      </c>
      <c r="F11" s="58" t="n">
        <f aca="false">IF('19_EQUITY'!$C$6&gt;0,'20_CASH_FLOW'!F10*('17_PROJECT_FINANCE'!$C$15+'17_PROJECT_FINANCE'!$C$19)/'19_EQUITY'!$C$6,0)</f>
        <v>0</v>
      </c>
      <c r="G11" s="58" t="n">
        <f aca="false">IF('19_EQUITY'!$C$6&gt;0,'20_CASH_FLOW'!G10*('17_PROJECT_FINANCE'!$C$15+'17_PROJECT_FINANCE'!$C$19)/'19_EQUITY'!$C$6,0)</f>
        <v>0</v>
      </c>
      <c r="H11" s="58" t="n">
        <f aca="false">IF('19_EQUITY'!$C$6&gt;0,'20_CASH_FLOW'!H10*('17_PROJECT_FINANCE'!$C$15+'17_PROJECT_FINANCE'!$C$19)/'19_EQUITY'!$C$6,0)</f>
        <v>0</v>
      </c>
      <c r="I11" s="58" t="n">
        <f aca="false">IF('19_EQUITY'!$C$6&gt;0,'20_CASH_FLOW'!I10*('17_PROJECT_FINANCE'!$C$15+'17_PROJECT_FINANCE'!$C$19)/'19_EQUITY'!$C$6,0)</f>
        <v>0</v>
      </c>
      <c r="J11" s="58" t="n">
        <f aca="false">IF('19_EQUITY'!$C$6&gt;0,'20_CASH_FLOW'!J10*('17_PROJECT_FINANCE'!$C$15+'17_PROJECT_FINANCE'!$C$19)/'19_EQUITY'!$C$6,0)</f>
        <v>0</v>
      </c>
      <c r="K11" s="58" t="n">
        <f aca="false">IF('19_EQUITY'!$C$6&gt;0,'20_CASH_FLOW'!K10*('17_PROJECT_FINANCE'!$C$15+'17_PROJECT_FINANCE'!$C$19)/'19_EQUITY'!$C$6,0)</f>
        <v>0</v>
      </c>
      <c r="L11" s="58" t="n">
        <f aca="false">IF('19_EQUITY'!$C$6&gt;0,'20_CASH_FLOW'!L10*('17_PROJECT_FINANCE'!$C$15+'17_PROJECT_FINANCE'!$C$19)/'19_EQUITY'!$C$6,0)</f>
        <v>0</v>
      </c>
      <c r="M11" s="58" t="n">
        <f aca="false">IF('19_EQUITY'!$C$6&gt;0,'20_CASH_FLOW'!M10*('17_PROJECT_FINANCE'!$C$15+'17_PROJECT_FINANCE'!$C$19)/'19_EQUITY'!$C$6,0)</f>
        <v>0</v>
      </c>
      <c r="N11" s="58" t="n">
        <f aca="false">IF('19_EQUITY'!$C$6&gt;0,'20_CASH_FLOW'!N10*('17_PROJECT_FINANCE'!$C$15+'17_PROJECT_FINANCE'!$C$19)/'19_EQUITY'!$C$6,0)</f>
        <v>0</v>
      </c>
      <c r="O11" s="58" t="n">
        <f aca="false">IF('19_EQUITY'!$C$6&gt;0,'20_CASH_FLOW'!O10*('17_PROJECT_FINANCE'!$C$15+'17_PROJECT_FINANCE'!$C$19)/'19_EQUITY'!$C$6,0)</f>
        <v>0</v>
      </c>
      <c r="P11" s="58" t="n">
        <f aca="false">IF('19_EQUITY'!$C$6&gt;0,'20_CASH_FLOW'!P10*('17_PROJECT_FINANCE'!$C$15+'17_PROJECT_FINANCE'!$C$19)/'19_EQUITY'!$C$6,0)</f>
        <v>0</v>
      </c>
      <c r="Q11" s="58" t="n">
        <f aca="false">IF('19_EQUITY'!$C$6&gt;0,'20_CASH_FLOW'!Q10*('17_PROJECT_FINANCE'!$C$15+'17_PROJECT_FINANCE'!$C$19)/'19_EQUITY'!$C$6,0)</f>
        <v>0</v>
      </c>
      <c r="R11" s="58" t="n">
        <f aca="false">IF('19_EQUITY'!$C$6&gt;0,'20_CASH_FLOW'!R10*('17_PROJECT_FINANCE'!$C$15+'17_PROJECT_FINANCE'!$C$19)/'19_EQUITY'!$C$6,0)</f>
        <v>0</v>
      </c>
      <c r="S11" s="58" t="n">
        <f aca="false">IF('19_EQUITY'!$C$6&gt;0,'20_CASH_FLOW'!S10*('17_PROJECT_FINANCE'!$C$15+'17_PROJECT_FINANCE'!$C$19)/'19_EQUITY'!$C$6,0)</f>
        <v>0</v>
      </c>
      <c r="T11" s="58" t="n">
        <f aca="false">IF('19_EQUITY'!$C$6&gt;0,'20_CASH_FLOW'!T10*('17_PROJECT_FINANCE'!$C$15+'17_PROJECT_FINANCE'!$C$19)/'19_EQUITY'!$C$6,0)</f>
        <v>0</v>
      </c>
      <c r="U11" s="58" t="n">
        <f aca="false">IF('19_EQUITY'!$C$6&gt;0,'20_CASH_FLOW'!U10*('17_PROJECT_FINANCE'!$C$15+'17_PROJECT_FINANCE'!$C$19)/'19_EQUITY'!$C$6,0)</f>
        <v>0</v>
      </c>
      <c r="V11" s="58" t="n">
        <f aca="false">IF('19_EQUITY'!$C$6&gt;0,'20_CASH_FLOW'!V10*('17_PROJECT_FINANCE'!$C$15+'17_PROJECT_FINANCE'!$C$19)/'19_EQUITY'!$C$6,0)</f>
        <v>0</v>
      </c>
      <c r="W11" s="58" t="n">
        <f aca="false">IF('19_EQUITY'!$C$6&gt;0,'20_CASH_FLOW'!W10*('17_PROJECT_FINANCE'!$C$15+'17_PROJECT_FINANCE'!$C$19)/'19_EQUITY'!$C$6,0)</f>
        <v>0</v>
      </c>
      <c r="X11" s="58" t="n">
        <f aca="false">IF('19_EQUITY'!$C$6&gt;0,'20_CASH_FLOW'!X10*('17_PROJECT_FINANCE'!$C$15+'17_PROJECT_FINANCE'!$C$19)/'19_EQUITY'!$C$6,0)</f>
        <v>0</v>
      </c>
      <c r="Y11" s="58" t="n">
        <f aca="false">IF('19_EQUITY'!$C$6&gt;0,'20_CASH_FLOW'!Y10*('17_PROJECT_FINANCE'!$C$15+'17_PROJECT_FINANCE'!$C$19)/'19_EQUITY'!$C$6,0)</f>
        <v>0</v>
      </c>
      <c r="Z11" s="58" t="n">
        <f aca="false">IF('19_EQUITY'!$C$6&gt;0,'20_CASH_FLOW'!Z10*('17_PROJECT_FINANCE'!$C$15+'17_PROJECT_FINANCE'!$C$19)/'19_EQUITY'!$C$6,0)</f>
        <v>0</v>
      </c>
      <c r="AA11" s="58" t="n">
        <f aca="false">IF('19_EQUITY'!$C$6&gt;0,'20_CASH_FLOW'!AA10*('17_PROJECT_FINANCE'!$C$15+'17_PROJECT_FINANCE'!$C$19)/'19_EQUITY'!$C$6,0)</f>
        <v>0</v>
      </c>
      <c r="AB11" s="58" t="n">
        <f aca="false">IF('19_EQUITY'!$C$6&gt;0,'20_CASH_FLOW'!AB10*('17_PROJECT_FINANCE'!$C$15+'17_PROJECT_FINANCE'!$C$19)/'19_EQUITY'!$C$6,0)</f>
        <v>0</v>
      </c>
      <c r="AC11" s="58" t="n">
        <f aca="false">IF('19_EQUITY'!$C$6&gt;0,'20_CASH_FLOW'!AC10*('17_PROJECT_FINANCE'!$C$15+'17_PROJECT_FINANCE'!$C$19)/'19_EQUITY'!$C$6,0)</f>
        <v>0</v>
      </c>
      <c r="AD11" s="58" t="n">
        <f aca="false">IF('19_EQUITY'!$C$6&gt;0,'20_CASH_FLOW'!AD10*('17_PROJECT_FINANCE'!$C$15+'17_PROJECT_FINANCE'!$C$19)/'19_EQUITY'!$C$6,0)</f>
        <v>0</v>
      </c>
      <c r="AE11" s="58" t="n">
        <f aca="false">IF('19_EQUITY'!$C$6&gt;0,'20_CASH_FLOW'!AE10*('17_PROJECT_FINANCE'!$C$15+'17_PROJECT_FINANCE'!$C$19)/'19_EQUITY'!$C$6,0)</f>
        <v>0</v>
      </c>
      <c r="AF11" s="58" t="n">
        <f aca="false">IF('19_EQUITY'!$C$6&gt;0,'20_CASH_FLOW'!AF10*('17_PROJECT_FINANCE'!$C$15+'17_PROJECT_FINANCE'!$C$19)/'19_EQUITY'!$C$6,0)</f>
        <v>0</v>
      </c>
      <c r="AG11" s="58" t="n">
        <f aca="false">IF('19_EQUITY'!$C$6&gt;0,'20_CASH_FLOW'!AG10*('17_PROJECT_FINANCE'!$C$15+'17_PROJECT_FINANCE'!$C$19)/'19_EQUITY'!$C$6,0)</f>
        <v>0</v>
      </c>
      <c r="AH11" s="58" t="n">
        <f aca="false">IF('19_EQUITY'!$C$6&gt;0,'20_CASH_FLOW'!AH10*('17_PROJECT_FINANCE'!$C$15+'17_PROJECT_FINANCE'!$C$19)/'19_EQUITY'!$C$6,0)</f>
        <v>0</v>
      </c>
      <c r="AI11" s="58" t="n">
        <f aca="false">IF('19_EQUITY'!$C$6&gt;0,'20_CASH_FLOW'!AI10*('17_PROJECT_FINANCE'!$C$15+'17_PROJECT_FINANCE'!$C$19)/'19_EQUITY'!$C$6,0)</f>
        <v>0</v>
      </c>
      <c r="AJ11" s="58" t="n">
        <f aca="false">IF('19_EQUITY'!$C$6&gt;0,'20_CASH_FLOW'!AJ10*('17_PROJECT_FINANCE'!$C$15+'17_PROJECT_FINANCE'!$C$19)/'19_EQUITY'!$C$6,0)</f>
        <v>0</v>
      </c>
      <c r="AK11" s="58" t="n">
        <f aca="false">IF('19_EQUITY'!$C$6&gt;0,'20_CASH_FLOW'!AK10*('17_PROJECT_FINANCE'!$C$15+'17_PROJECT_FINANCE'!$C$19)/'19_EQUITY'!$C$6,0)</f>
        <v>0</v>
      </c>
      <c r="AL11" s="58" t="n">
        <f aca="false">IF('19_EQUITY'!$C$6&gt;0,'20_CASH_FLOW'!AL10*('17_PROJECT_FINANCE'!$C$15+'17_PROJECT_FINANCE'!$C$19)/'19_EQUITY'!$C$6,0)</f>
        <v>0</v>
      </c>
      <c r="AM11" s="58" t="n">
        <f aca="false">IF('19_EQUITY'!$C$6&gt;0,'20_CASH_FLOW'!AM10*('17_PROJECT_FINANCE'!$C$15+'17_PROJECT_FINANCE'!$C$19)/'19_EQUITY'!$C$6,0)</f>
        <v>0</v>
      </c>
      <c r="AN11" s="58" t="n">
        <f aca="false">IF('19_EQUITY'!$C$6&gt;0,'20_CASH_FLOW'!AN10*('17_PROJECT_FINANCE'!$C$15+'17_PROJECT_FINANCE'!$C$19)/'19_EQUITY'!$C$6,0)</f>
        <v>0</v>
      </c>
      <c r="AO11" s="58" t="n">
        <f aca="false">IF('19_EQUITY'!$C$6&gt;0,'20_CASH_FLOW'!AO10*('17_PROJECT_FINANCE'!$C$15+'17_PROJECT_FINANCE'!$C$19)/'19_EQUITY'!$C$6,0)</f>
        <v>0</v>
      </c>
      <c r="AP11" s="58" t="n">
        <f aca="false">IF('19_EQUITY'!$C$6&gt;0,'20_CASH_FLOW'!AP10*('17_PROJECT_FINANCE'!$C$15+'17_PROJECT_FINANCE'!$C$19)/'19_EQUITY'!$C$6,0)</f>
        <v>0</v>
      </c>
      <c r="AQ11" s="58" t="n">
        <f aca="false">IF('19_EQUITY'!$C$6&gt;0,'20_CASH_FLOW'!AQ10*('17_PROJECT_FINANCE'!$C$15+'17_PROJECT_FINANCE'!$C$19)/'19_EQUITY'!$C$6,0)</f>
        <v>0</v>
      </c>
      <c r="AR11" s="58" t="n">
        <f aca="false">IF('19_EQUITY'!$C$6&gt;0,'20_CASH_FLOW'!AR10*('17_PROJECT_FINANCE'!$C$15+'17_PROJECT_FINANCE'!$C$19)/'19_EQUITY'!$C$6,0)</f>
        <v>0</v>
      </c>
    </row>
    <row r="12" customFormat="false" ht="15" hidden="false" customHeight="true" outlineLevel="0" collapsed="false">
      <c r="A12" s="23" t="s">
        <v>915</v>
      </c>
      <c r="B12" s="23" t="s">
        <v>121</v>
      </c>
      <c r="C12" s="58" t="n">
        <f aca="false">SUM('20_CASH_FLOW'!$E$12:$AR$12)</f>
        <v>69.6082010045597</v>
      </c>
      <c r="E12" s="58" t="n">
        <f aca="false">'20_CASH_FLOW'!E10-'20_CASH_FLOW'!E11</f>
        <v>12.9236870598323</v>
      </c>
      <c r="F12" s="58" t="n">
        <f aca="false">'20_CASH_FLOW'!F10-'20_CASH_FLOW'!F11</f>
        <v>24.3112172614676</v>
      </c>
      <c r="G12" s="58" t="n">
        <f aca="false">'20_CASH_FLOW'!G10-'20_CASH_FLOW'!G11</f>
        <v>32.3732966832598</v>
      </c>
      <c r="H12" s="58" t="n">
        <f aca="false">'20_CASH_FLOW'!H10-'20_CASH_FLOW'!H11</f>
        <v>0</v>
      </c>
      <c r="I12" s="58" t="n">
        <f aca="false">'20_CASH_FLOW'!I10-'20_CASH_FLOW'!I11</f>
        <v>0</v>
      </c>
      <c r="J12" s="58" t="n">
        <f aca="false">'20_CASH_FLOW'!J10-'20_CASH_FLOW'!J11</f>
        <v>0</v>
      </c>
      <c r="K12" s="58" t="n">
        <f aca="false">'20_CASH_FLOW'!K10-'20_CASH_FLOW'!K11</f>
        <v>0</v>
      </c>
      <c r="L12" s="58" t="n">
        <f aca="false">'20_CASH_FLOW'!L10-'20_CASH_FLOW'!L11</f>
        <v>0</v>
      </c>
      <c r="M12" s="58" t="n">
        <f aca="false">'20_CASH_FLOW'!M10-'20_CASH_FLOW'!M11</f>
        <v>0</v>
      </c>
      <c r="N12" s="58" t="n">
        <f aca="false">'20_CASH_FLOW'!N10-'20_CASH_FLOW'!N11</f>
        <v>0</v>
      </c>
      <c r="O12" s="58" t="n">
        <f aca="false">'20_CASH_FLOW'!O10-'20_CASH_FLOW'!O11</f>
        <v>0</v>
      </c>
      <c r="P12" s="58" t="n">
        <f aca="false">'20_CASH_FLOW'!P10-'20_CASH_FLOW'!P11</f>
        <v>0</v>
      </c>
      <c r="Q12" s="58" t="n">
        <f aca="false">'20_CASH_FLOW'!Q10-'20_CASH_FLOW'!Q11</f>
        <v>0</v>
      </c>
      <c r="R12" s="58" t="n">
        <f aca="false">'20_CASH_FLOW'!R10-'20_CASH_FLOW'!R11</f>
        <v>0</v>
      </c>
      <c r="S12" s="58" t="n">
        <f aca="false">'20_CASH_FLOW'!S10-'20_CASH_FLOW'!S11</f>
        <v>0</v>
      </c>
      <c r="T12" s="58" t="n">
        <f aca="false">'20_CASH_FLOW'!T10-'20_CASH_FLOW'!T11</f>
        <v>0</v>
      </c>
      <c r="U12" s="58" t="n">
        <f aca="false">'20_CASH_FLOW'!U10-'20_CASH_FLOW'!U11</f>
        <v>0</v>
      </c>
      <c r="V12" s="58" t="n">
        <f aca="false">'20_CASH_FLOW'!V10-'20_CASH_FLOW'!V11</f>
        <v>0</v>
      </c>
      <c r="W12" s="58" t="n">
        <f aca="false">'20_CASH_FLOW'!W10-'20_CASH_FLOW'!W11</f>
        <v>0</v>
      </c>
      <c r="X12" s="58" t="n">
        <f aca="false">'20_CASH_FLOW'!X10-'20_CASH_FLOW'!X11</f>
        <v>0</v>
      </c>
      <c r="Y12" s="58" t="n">
        <f aca="false">'20_CASH_FLOW'!Y10-'20_CASH_FLOW'!Y11</f>
        <v>0</v>
      </c>
      <c r="Z12" s="58" t="n">
        <f aca="false">'20_CASH_FLOW'!Z10-'20_CASH_FLOW'!Z11</f>
        <v>0</v>
      </c>
      <c r="AA12" s="58" t="n">
        <f aca="false">'20_CASH_FLOW'!AA10-'20_CASH_FLOW'!AA11</f>
        <v>0</v>
      </c>
      <c r="AB12" s="58" t="n">
        <f aca="false">'20_CASH_FLOW'!AB10-'20_CASH_FLOW'!AB11</f>
        <v>0</v>
      </c>
      <c r="AC12" s="58" t="n">
        <f aca="false">'20_CASH_FLOW'!AC10-'20_CASH_FLOW'!AC11</f>
        <v>0</v>
      </c>
      <c r="AD12" s="58" t="n">
        <f aca="false">'20_CASH_FLOW'!AD10-'20_CASH_FLOW'!AD11</f>
        <v>0</v>
      </c>
      <c r="AE12" s="58" t="n">
        <f aca="false">'20_CASH_FLOW'!AE10-'20_CASH_FLOW'!AE11</f>
        <v>0</v>
      </c>
      <c r="AF12" s="58" t="n">
        <f aca="false">'20_CASH_FLOW'!AF10-'20_CASH_FLOW'!AF11</f>
        <v>0</v>
      </c>
      <c r="AG12" s="58" t="n">
        <f aca="false">'20_CASH_FLOW'!AG10-'20_CASH_FLOW'!AG11</f>
        <v>0</v>
      </c>
      <c r="AH12" s="58" t="n">
        <f aca="false">'20_CASH_FLOW'!AH10-'20_CASH_FLOW'!AH11</f>
        <v>0</v>
      </c>
      <c r="AI12" s="58" t="n">
        <f aca="false">'20_CASH_FLOW'!AI10-'20_CASH_FLOW'!AI11</f>
        <v>0</v>
      </c>
      <c r="AJ12" s="58" t="n">
        <f aca="false">'20_CASH_FLOW'!AJ10-'20_CASH_FLOW'!AJ11</f>
        <v>0</v>
      </c>
      <c r="AK12" s="58" t="n">
        <f aca="false">'20_CASH_FLOW'!AK10-'20_CASH_FLOW'!AK11</f>
        <v>0</v>
      </c>
      <c r="AL12" s="58" t="n">
        <f aca="false">'20_CASH_FLOW'!AL10-'20_CASH_FLOW'!AL11</f>
        <v>0</v>
      </c>
      <c r="AM12" s="58" t="n">
        <f aca="false">'20_CASH_FLOW'!AM10-'20_CASH_FLOW'!AM11</f>
        <v>0</v>
      </c>
      <c r="AN12" s="58" t="n">
        <f aca="false">'20_CASH_FLOW'!AN10-'20_CASH_FLOW'!AN11</f>
        <v>0</v>
      </c>
      <c r="AO12" s="58" t="n">
        <f aca="false">'20_CASH_FLOW'!AO10-'20_CASH_FLOW'!AO11</f>
        <v>0</v>
      </c>
      <c r="AP12" s="58" t="n">
        <f aca="false">'20_CASH_FLOW'!AP10-'20_CASH_FLOW'!AP11</f>
        <v>0</v>
      </c>
      <c r="AQ12" s="58" t="n">
        <f aca="false">'20_CASH_FLOW'!AQ10-'20_CASH_FLOW'!AQ11</f>
        <v>0</v>
      </c>
      <c r="AR12" s="58" t="n">
        <f aca="false">'20_CASH_FLOW'!AR10-'20_CASH_FLOW'!AR11</f>
        <v>0</v>
      </c>
    </row>
    <row r="13" customFormat="false" ht="15" hidden="false" customHeight="true" outlineLevel="0" collapsed="false">
      <c r="A13" s="21" t="s">
        <v>916</v>
      </c>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row>
    <row r="14" customFormat="false" ht="15" hidden="false" customHeight="true" outlineLevel="0" collapsed="false">
      <c r="A14" s="23" t="s">
        <v>917</v>
      </c>
      <c r="B14" s="23" t="s">
        <v>121</v>
      </c>
      <c r="C14" s="58" t="n">
        <f aca="false">SUM('20_CASH_FLOW'!$E$14:$AR$14)</f>
        <v>972.226425926365</v>
      </c>
      <c r="E14" s="79" t="n">
        <f aca="false">'16_REVENUE'!E25</f>
        <v>0</v>
      </c>
      <c r="F14" s="79" t="n">
        <f aca="false">'16_REVENUE'!F25</f>
        <v>0</v>
      </c>
      <c r="G14" s="79" t="n">
        <f aca="false">'16_REVENUE'!G25</f>
        <v>0</v>
      </c>
      <c r="H14" s="79" t="n">
        <f aca="false">'16_REVENUE'!H25</f>
        <v>28.9918570845374</v>
      </c>
      <c r="I14" s="79" t="n">
        <f aca="false">'16_REVENUE'!I25</f>
        <v>34.4626493580429</v>
      </c>
      <c r="J14" s="79" t="n">
        <f aca="false">'16_REVENUE'!J25</f>
        <v>34.8243232018017</v>
      </c>
      <c r="K14" s="79" t="n">
        <f aca="false">'16_REVENUE'!K25</f>
        <v>35.1932305224358</v>
      </c>
      <c r="L14" s="79" t="n">
        <f aca="false">'16_REVENUE'!L25</f>
        <v>35.5695159894825</v>
      </c>
      <c r="M14" s="79" t="n">
        <f aca="false">'16_REVENUE'!M25</f>
        <v>35.9533271658701</v>
      </c>
      <c r="N14" s="79" t="n">
        <f aca="false">'16_REVENUE'!N25</f>
        <v>36.3448145657855</v>
      </c>
      <c r="O14" s="79" t="n">
        <f aca="false">'16_REVENUE'!O25</f>
        <v>36.7441317136992</v>
      </c>
      <c r="P14" s="79" t="n">
        <f aca="false">'16_REVENUE'!P25</f>
        <v>37.1514352045712</v>
      </c>
      <c r="Q14" s="79" t="n">
        <f aca="false">'16_REVENUE'!Q25</f>
        <v>37.5668847652606</v>
      </c>
      <c r="R14" s="79" t="n">
        <f aca="false">'16_REVENUE'!R25</f>
        <v>37.9906433171638</v>
      </c>
      <c r="S14" s="79" t="n">
        <f aca="false">'16_REVENUE'!S25</f>
        <v>38.4228770401051</v>
      </c>
      <c r="T14" s="79" t="n">
        <f aca="false">'16_REVENUE'!T25</f>
        <v>38.8637554375052</v>
      </c>
      <c r="U14" s="79" t="n">
        <f aca="false">'16_REVENUE'!U25</f>
        <v>39.3134514028533</v>
      </c>
      <c r="V14" s="79" t="n">
        <f aca="false">'16_REVENUE'!V25</f>
        <v>39.7721412875084</v>
      </c>
      <c r="W14" s="79" t="n">
        <f aca="false">'16_REVENUE'!W25</f>
        <v>40.2400049698565</v>
      </c>
      <c r="X14" s="79" t="n">
        <f aca="false">'16_REVENUE'!X25</f>
        <v>40.7172259258517</v>
      </c>
      <c r="Y14" s="79" t="n">
        <f aca="false">'16_REVENUE'!Y25</f>
        <v>41.2039913009667</v>
      </c>
      <c r="Z14" s="79" t="n">
        <f aca="false">'16_REVENUE'!Z25</f>
        <v>41.700491983584</v>
      </c>
      <c r="AA14" s="79" t="n">
        <f aca="false">'16_REVENUE'!AA25</f>
        <v>42.2069226798537</v>
      </c>
      <c r="AB14" s="79" t="n">
        <f aca="false">'16_REVENUE'!AB25</f>
        <v>42.7234819900488</v>
      </c>
      <c r="AC14" s="79" t="n">
        <f aca="false">'16_REVENUE'!AC25</f>
        <v>43.2503724864477</v>
      </c>
      <c r="AD14" s="79" t="n">
        <f aca="false">'16_REVENUE'!AD25</f>
        <v>43.7878007927747</v>
      </c>
      <c r="AE14" s="79" t="n">
        <f aca="false">'16_REVENUE'!AE25</f>
        <v>44.3359776652282</v>
      </c>
      <c r="AF14" s="79" t="n">
        <f aca="false">'16_REVENUE'!AF25</f>
        <v>44.8951180751307</v>
      </c>
      <c r="AG14" s="79" t="n">
        <f aca="false">'16_REVENUE'!AG25</f>
        <v>0</v>
      </c>
      <c r="AH14" s="79" t="n">
        <f aca="false">'16_REVENUE'!AH25</f>
        <v>0</v>
      </c>
      <c r="AI14" s="79" t="n">
        <f aca="false">'16_REVENUE'!AI25</f>
        <v>0</v>
      </c>
      <c r="AJ14" s="79" t="n">
        <f aca="false">'16_REVENUE'!AJ25</f>
        <v>0</v>
      </c>
      <c r="AK14" s="79" t="n">
        <f aca="false">'16_REVENUE'!AK25</f>
        <v>0</v>
      </c>
      <c r="AL14" s="79" t="n">
        <f aca="false">'16_REVENUE'!AL25</f>
        <v>0</v>
      </c>
      <c r="AM14" s="79" t="n">
        <f aca="false">'16_REVENUE'!AM25</f>
        <v>0</v>
      </c>
      <c r="AN14" s="79" t="n">
        <f aca="false">'16_REVENUE'!AN25</f>
        <v>0</v>
      </c>
      <c r="AO14" s="79" t="n">
        <f aca="false">'16_REVENUE'!AO25</f>
        <v>0</v>
      </c>
      <c r="AP14" s="79" t="n">
        <f aca="false">'16_REVENUE'!AP25</f>
        <v>0</v>
      </c>
      <c r="AQ14" s="79" t="n">
        <f aca="false">'16_REVENUE'!AQ25</f>
        <v>0</v>
      </c>
      <c r="AR14" s="79" t="n">
        <f aca="false">'16_REVENUE'!AR25</f>
        <v>0</v>
      </c>
    </row>
    <row r="15" customFormat="false" ht="15" hidden="false" customHeight="true" outlineLevel="0" collapsed="false">
      <c r="A15" s="23" t="s">
        <v>918</v>
      </c>
      <c r="B15" s="23" t="s">
        <v>121</v>
      </c>
      <c r="C15" s="58" t="n">
        <f aca="false">SUM('20_CASH_FLOW'!$E$15:$AR$15)</f>
        <v>-190.091128785216</v>
      </c>
      <c r="E15" s="58" t="n">
        <f aca="false">-'07_OPEX'!E20</f>
        <v>-0</v>
      </c>
      <c r="F15" s="58" t="n">
        <f aca="false">-'07_OPEX'!F20</f>
        <v>-0</v>
      </c>
      <c r="G15" s="58" t="n">
        <f aca="false">-'07_OPEX'!G20</f>
        <v>-0</v>
      </c>
      <c r="H15" s="58" t="n">
        <f aca="false">-'07_OPEX'!H20</f>
        <v>-5.88872231010618</v>
      </c>
      <c r="I15" s="58" t="n">
        <f aca="false">-'07_OPEX'!I20</f>
        <v>-6.054935217526</v>
      </c>
      <c r="J15" s="58" t="n">
        <f aca="false">-'07_OPEX'!J20</f>
        <v>-6.17603392187652</v>
      </c>
      <c r="K15" s="58" t="n">
        <f aca="false">-'07_OPEX'!K20</f>
        <v>-6.29955460031405</v>
      </c>
      <c r="L15" s="58" t="n">
        <f aca="false">-'07_OPEX'!L20</f>
        <v>-6.42554569232033</v>
      </c>
      <c r="M15" s="58" t="n">
        <f aca="false">-'07_OPEX'!M20</f>
        <v>-6.55405660616674</v>
      </c>
      <c r="N15" s="58" t="n">
        <f aca="false">-'07_OPEX'!N20</f>
        <v>-6.68513773829008</v>
      </c>
      <c r="O15" s="58" t="n">
        <f aca="false">-'07_OPEX'!O20</f>
        <v>-6.81884049305588</v>
      </c>
      <c r="P15" s="58" t="n">
        <f aca="false">-'07_OPEX'!P20</f>
        <v>-6.955217302917</v>
      </c>
      <c r="Q15" s="58" t="n">
        <f aca="false">-'07_OPEX'!Q20</f>
        <v>-7.09432164897534</v>
      </c>
      <c r="R15" s="58" t="n">
        <f aca="false">-'07_OPEX'!R20</f>
        <v>-7.23620808195484</v>
      </c>
      <c r="S15" s="58" t="n">
        <f aca="false">-'07_OPEX'!S20</f>
        <v>-7.38093224359394</v>
      </c>
      <c r="T15" s="58" t="n">
        <f aca="false">-'07_OPEX'!T20</f>
        <v>-7.52855088846582</v>
      </c>
      <c r="U15" s="58" t="n">
        <f aca="false">-'07_OPEX'!U20</f>
        <v>-7.67912190623514</v>
      </c>
      <c r="V15" s="58" t="n">
        <f aca="false">-'07_OPEX'!V20</f>
        <v>-7.83270434435984</v>
      </c>
      <c r="W15" s="58" t="n">
        <f aca="false">-'07_OPEX'!W20</f>
        <v>-7.98935843124704</v>
      </c>
      <c r="X15" s="58" t="n">
        <f aca="false">-'07_OPEX'!X20</f>
        <v>-8.14914559987198</v>
      </c>
      <c r="Y15" s="58" t="n">
        <f aca="false">-'07_OPEX'!Y20</f>
        <v>-8.31212851186942</v>
      </c>
      <c r="Z15" s="58" t="n">
        <f aca="false">-'07_OPEX'!Z20</f>
        <v>-8.4783710821068</v>
      </c>
      <c r="AA15" s="58" t="n">
        <f aca="false">-'07_OPEX'!AA20</f>
        <v>-8.64793850374894</v>
      </c>
      <c r="AB15" s="58" t="n">
        <f aca="false">-'07_OPEX'!AB20</f>
        <v>-8.82089727382392</v>
      </c>
      <c r="AC15" s="58" t="n">
        <f aca="false">-'07_OPEX'!AC20</f>
        <v>-8.9973152193004</v>
      </c>
      <c r="AD15" s="58" t="n">
        <f aca="false">-'07_OPEX'!AD20</f>
        <v>-9.17726152368641</v>
      </c>
      <c r="AE15" s="58" t="n">
        <f aca="false">-'07_OPEX'!AE20</f>
        <v>-9.36080675416014</v>
      </c>
      <c r="AF15" s="58" t="n">
        <f aca="false">-'07_OPEX'!AF20</f>
        <v>-9.54802288924334</v>
      </c>
      <c r="AG15" s="58" t="n">
        <f aca="false">-'07_OPEX'!AG20</f>
        <v>-0</v>
      </c>
      <c r="AH15" s="58" t="n">
        <f aca="false">-'07_OPEX'!AH20</f>
        <v>-0</v>
      </c>
      <c r="AI15" s="58" t="n">
        <f aca="false">-'07_OPEX'!AI20</f>
        <v>-0</v>
      </c>
      <c r="AJ15" s="58" t="n">
        <f aca="false">-'07_OPEX'!AJ20</f>
        <v>-0</v>
      </c>
      <c r="AK15" s="58" t="n">
        <f aca="false">-'07_OPEX'!AK20</f>
        <v>-0</v>
      </c>
      <c r="AL15" s="58" t="n">
        <f aca="false">-'07_OPEX'!AL20</f>
        <v>-0</v>
      </c>
      <c r="AM15" s="58" t="n">
        <f aca="false">-'07_OPEX'!AM20</f>
        <v>-0</v>
      </c>
      <c r="AN15" s="58" t="n">
        <f aca="false">-'07_OPEX'!AN20</f>
        <v>-0</v>
      </c>
      <c r="AO15" s="58" t="n">
        <f aca="false">-'07_OPEX'!AO20</f>
        <v>-0</v>
      </c>
      <c r="AP15" s="58" t="n">
        <f aca="false">-'07_OPEX'!AP20</f>
        <v>-0</v>
      </c>
      <c r="AQ15" s="58" t="n">
        <f aca="false">-'07_OPEX'!AQ20</f>
        <v>-0</v>
      </c>
      <c r="AR15" s="58" t="n">
        <f aca="false">-'07_OPEX'!AR20</f>
        <v>-0</v>
      </c>
    </row>
    <row r="16" customFormat="false" ht="15" hidden="false" customHeight="true" outlineLevel="0" collapsed="false">
      <c r="A16" s="23" t="s">
        <v>919</v>
      </c>
      <c r="B16" s="23" t="s">
        <v>121</v>
      </c>
      <c r="C16" s="58" t="n">
        <f aca="false">SUM('20_CASH_FLOW'!$E$16:$AR$16)</f>
        <v>-25.2325598325614</v>
      </c>
      <c r="E16" s="58" t="n">
        <f aca="false">-'07_OPEX'!E21</f>
        <v>-0</v>
      </c>
      <c r="F16" s="58" t="n">
        <f aca="false">-'07_OPEX'!F21</f>
        <v>-0</v>
      </c>
      <c r="G16" s="58" t="n">
        <f aca="false">-'07_OPEX'!G21</f>
        <v>-0</v>
      </c>
      <c r="H16" s="58" t="n">
        <f aca="false">-'07_OPEX'!H21</f>
        <v>-0.672756405801438</v>
      </c>
      <c r="I16" s="58" t="n">
        <f aca="false">-'07_OPEX'!I21</f>
        <v>-0.807307686961726</v>
      </c>
      <c r="J16" s="58" t="n">
        <f aca="false">-'07_OPEX'!J21</f>
        <v>-0.82345384070096</v>
      </c>
      <c r="K16" s="58" t="n">
        <f aca="false">-'07_OPEX'!K21</f>
        <v>-0.839922917514979</v>
      </c>
      <c r="L16" s="58" t="n">
        <f aca="false">-'07_OPEX'!L21</f>
        <v>-0.856721375865279</v>
      </c>
      <c r="M16" s="58" t="n">
        <f aca="false">-'07_OPEX'!M21</f>
        <v>-0.873855803382585</v>
      </c>
      <c r="N16" s="58" t="n">
        <f aca="false">-'07_OPEX'!N21</f>
        <v>-0.891332919450236</v>
      </c>
      <c r="O16" s="58" t="n">
        <f aca="false">-'07_OPEX'!O21</f>
        <v>-0.909159577839241</v>
      </c>
      <c r="P16" s="58" t="n">
        <f aca="false">-'07_OPEX'!P21</f>
        <v>-0.927342769396026</v>
      </c>
      <c r="Q16" s="58" t="n">
        <f aca="false">-'07_OPEX'!Q21</f>
        <v>-0.945889624783946</v>
      </c>
      <c r="R16" s="58" t="n">
        <f aca="false">-'07_OPEX'!R21</f>
        <v>-0.964807417279625</v>
      </c>
      <c r="S16" s="58" t="n">
        <f aca="false">-'07_OPEX'!S21</f>
        <v>-0.984103565625218</v>
      </c>
      <c r="T16" s="58" t="n">
        <f aca="false">-'07_OPEX'!T21</f>
        <v>-1.00378563693772</v>
      </c>
      <c r="U16" s="58" t="n">
        <f aca="false">-'07_OPEX'!U21</f>
        <v>-1.02386134967648</v>
      </c>
      <c r="V16" s="58" t="n">
        <f aca="false">-'07_OPEX'!V21</f>
        <v>-1.04433857667001</v>
      </c>
      <c r="W16" s="58" t="n">
        <f aca="false">-'07_OPEX'!W21</f>
        <v>-1.06522534820341</v>
      </c>
      <c r="X16" s="58" t="n">
        <f aca="false">-'07_OPEX'!X21</f>
        <v>-1.08652985516747</v>
      </c>
      <c r="Y16" s="58" t="n">
        <f aca="false">-'07_OPEX'!Y21</f>
        <v>-1.10826045227082</v>
      </c>
      <c r="Z16" s="58" t="n">
        <f aca="false">-'07_OPEX'!Z21</f>
        <v>-1.13042566131624</v>
      </c>
      <c r="AA16" s="58" t="n">
        <f aca="false">-'07_OPEX'!AA21</f>
        <v>-1.15303417454257</v>
      </c>
      <c r="AB16" s="58" t="n">
        <f aca="false">-'07_OPEX'!AB21</f>
        <v>-1.17609485803342</v>
      </c>
      <c r="AC16" s="58" t="n">
        <f aca="false">-'07_OPEX'!AC21</f>
        <v>-1.19961675519409</v>
      </c>
      <c r="AD16" s="58" t="n">
        <f aca="false">-'07_OPEX'!AD21</f>
        <v>-1.22360909029797</v>
      </c>
      <c r="AE16" s="58" t="n">
        <f aca="false">-'07_OPEX'!AE21</f>
        <v>-1.24808127210393</v>
      </c>
      <c r="AF16" s="58" t="n">
        <f aca="false">-'07_OPEX'!AF21</f>
        <v>-1.273042897546</v>
      </c>
      <c r="AG16" s="58" t="n">
        <f aca="false">-'07_OPEX'!AG21</f>
        <v>-0</v>
      </c>
      <c r="AH16" s="58" t="n">
        <f aca="false">-'07_OPEX'!AH21</f>
        <v>-0</v>
      </c>
      <c r="AI16" s="58" t="n">
        <f aca="false">-'07_OPEX'!AI21</f>
        <v>-0</v>
      </c>
      <c r="AJ16" s="58" t="n">
        <f aca="false">-'07_OPEX'!AJ21</f>
        <v>-0</v>
      </c>
      <c r="AK16" s="58" t="n">
        <f aca="false">-'07_OPEX'!AK21</f>
        <v>-0</v>
      </c>
      <c r="AL16" s="58" t="n">
        <f aca="false">-'07_OPEX'!AL21</f>
        <v>-0</v>
      </c>
      <c r="AM16" s="58" t="n">
        <f aca="false">-'07_OPEX'!AM21</f>
        <v>-0</v>
      </c>
      <c r="AN16" s="58" t="n">
        <f aca="false">-'07_OPEX'!AN21</f>
        <v>-0</v>
      </c>
      <c r="AO16" s="58" t="n">
        <f aca="false">-'07_OPEX'!AO21</f>
        <v>-0</v>
      </c>
      <c r="AP16" s="58" t="n">
        <f aca="false">-'07_OPEX'!AP21</f>
        <v>-0</v>
      </c>
      <c r="AQ16" s="58" t="n">
        <f aca="false">-'07_OPEX'!AQ21</f>
        <v>-0</v>
      </c>
      <c r="AR16" s="58" t="n">
        <f aca="false">-'07_OPEX'!AR21</f>
        <v>-0</v>
      </c>
    </row>
    <row r="17" customFormat="false" ht="15" hidden="false" customHeight="true" outlineLevel="0" collapsed="false">
      <c r="A17" s="19" t="s">
        <v>920</v>
      </c>
      <c r="B17" s="23" t="s">
        <v>121</v>
      </c>
      <c r="C17" s="58" t="n">
        <f aca="false">SUM('20_CASH_FLOW'!$E$17:$AR$17)</f>
        <v>756.902737308588</v>
      </c>
      <c r="E17" s="72" t="n">
        <f aca="false">'20_CASH_FLOW'!E14+'20_CASH_FLOW'!E15+'20_CASH_FLOW'!E16</f>
        <v>0</v>
      </c>
      <c r="F17" s="72" t="n">
        <f aca="false">'20_CASH_FLOW'!F14+'20_CASH_FLOW'!F15+'20_CASH_FLOW'!F16</f>
        <v>0</v>
      </c>
      <c r="G17" s="72" t="n">
        <f aca="false">'20_CASH_FLOW'!G14+'20_CASH_FLOW'!G15+'20_CASH_FLOW'!G16</f>
        <v>0</v>
      </c>
      <c r="H17" s="72" t="n">
        <f aca="false">'20_CASH_FLOW'!H14+'20_CASH_FLOW'!H15+'20_CASH_FLOW'!H16</f>
        <v>22.4303783686298</v>
      </c>
      <c r="I17" s="72" t="n">
        <f aca="false">'20_CASH_FLOW'!I14+'20_CASH_FLOW'!I15+'20_CASH_FLOW'!I16</f>
        <v>27.6004064535552</v>
      </c>
      <c r="J17" s="72" t="n">
        <f aca="false">'20_CASH_FLOW'!J14+'20_CASH_FLOW'!J15+'20_CASH_FLOW'!J16</f>
        <v>27.8248354392243</v>
      </c>
      <c r="K17" s="72" t="n">
        <f aca="false">'20_CASH_FLOW'!K14+'20_CASH_FLOW'!K15+'20_CASH_FLOW'!K16</f>
        <v>28.0537530046067</v>
      </c>
      <c r="L17" s="72" t="n">
        <f aca="false">'20_CASH_FLOW'!L14+'20_CASH_FLOW'!L15+'20_CASH_FLOW'!L16</f>
        <v>28.2872489212969</v>
      </c>
      <c r="M17" s="72" t="n">
        <f aca="false">'20_CASH_FLOW'!M14+'20_CASH_FLOW'!M15+'20_CASH_FLOW'!M16</f>
        <v>28.5254147563208</v>
      </c>
      <c r="N17" s="72" t="n">
        <f aca="false">'20_CASH_FLOW'!N14+'20_CASH_FLOW'!N15+'20_CASH_FLOW'!N16</f>
        <v>28.7683439080452</v>
      </c>
      <c r="O17" s="72" t="n">
        <f aca="false">'20_CASH_FLOW'!O14+'20_CASH_FLOW'!O15+'20_CASH_FLOW'!O16</f>
        <v>29.0161316428041</v>
      </c>
      <c r="P17" s="72" t="n">
        <f aca="false">'20_CASH_FLOW'!P14+'20_CASH_FLOW'!P15+'20_CASH_FLOW'!P16</f>
        <v>29.2688751322582</v>
      </c>
      <c r="Q17" s="72" t="n">
        <f aca="false">'20_CASH_FLOW'!Q14+'20_CASH_FLOW'!Q15+'20_CASH_FLOW'!Q16</f>
        <v>29.5266734915013</v>
      </c>
      <c r="R17" s="72" t="n">
        <f aca="false">'20_CASH_FLOW'!R14+'20_CASH_FLOW'!R15+'20_CASH_FLOW'!R16</f>
        <v>29.7896278179294</v>
      </c>
      <c r="S17" s="72" t="n">
        <f aca="false">'20_CASH_FLOW'!S14+'20_CASH_FLOW'!S15+'20_CASH_FLOW'!S16</f>
        <v>30.0578412308859</v>
      </c>
      <c r="T17" s="72" t="n">
        <f aca="false">'20_CASH_FLOW'!T14+'20_CASH_FLOW'!T15+'20_CASH_FLOW'!T16</f>
        <v>30.3314189121017</v>
      </c>
      <c r="U17" s="72" t="n">
        <f aca="false">'20_CASH_FLOW'!U14+'20_CASH_FLOW'!U15+'20_CASH_FLOW'!U16</f>
        <v>30.6104681469417</v>
      </c>
      <c r="V17" s="72" t="n">
        <f aca="false">'20_CASH_FLOW'!V14+'20_CASH_FLOW'!V15+'20_CASH_FLOW'!V16</f>
        <v>30.8950983664785</v>
      </c>
      <c r="W17" s="72" t="n">
        <f aca="false">'20_CASH_FLOW'!W14+'20_CASH_FLOW'!W15+'20_CASH_FLOW'!W16</f>
        <v>31.1854211904061</v>
      </c>
      <c r="X17" s="72" t="n">
        <f aca="false">'20_CASH_FLOW'!X14+'20_CASH_FLOW'!X15+'20_CASH_FLOW'!X16</f>
        <v>31.4815504708122</v>
      </c>
      <c r="Y17" s="72" t="n">
        <f aca="false">'20_CASH_FLOW'!Y14+'20_CASH_FLOW'!Y15+'20_CASH_FLOW'!Y16</f>
        <v>31.7836023368264</v>
      </c>
      <c r="Z17" s="72" t="n">
        <f aca="false">'20_CASH_FLOW'!Z14+'20_CASH_FLOW'!Z15+'20_CASH_FLOW'!Z16</f>
        <v>32.091695240161</v>
      </c>
      <c r="AA17" s="72" t="n">
        <f aca="false">'20_CASH_FLOW'!AA14+'20_CASH_FLOW'!AA15+'20_CASH_FLOW'!AA16</f>
        <v>32.4059500015622</v>
      </c>
      <c r="AB17" s="72" t="n">
        <f aca="false">'20_CASH_FLOW'!AB14+'20_CASH_FLOW'!AB15+'20_CASH_FLOW'!AB16</f>
        <v>32.7264898581914</v>
      </c>
      <c r="AC17" s="72" t="n">
        <f aca="false">'20_CASH_FLOW'!AC14+'20_CASH_FLOW'!AC15+'20_CASH_FLOW'!AC16</f>
        <v>33.0534405119533</v>
      </c>
      <c r="AD17" s="72" t="n">
        <f aca="false">'20_CASH_FLOW'!AD14+'20_CASH_FLOW'!AD15+'20_CASH_FLOW'!AD16</f>
        <v>33.3869301787903</v>
      </c>
      <c r="AE17" s="72" t="n">
        <f aca="false">'20_CASH_FLOW'!AE14+'20_CASH_FLOW'!AE15+'20_CASH_FLOW'!AE16</f>
        <v>33.7270896389641</v>
      </c>
      <c r="AF17" s="72" t="n">
        <f aca="false">'20_CASH_FLOW'!AF14+'20_CASH_FLOW'!AF15+'20_CASH_FLOW'!AF16</f>
        <v>34.0740522883414</v>
      </c>
      <c r="AG17" s="72" t="n">
        <f aca="false">'20_CASH_FLOW'!AG14+'20_CASH_FLOW'!AG15+'20_CASH_FLOW'!AG16</f>
        <v>0</v>
      </c>
      <c r="AH17" s="72" t="n">
        <f aca="false">'20_CASH_FLOW'!AH14+'20_CASH_FLOW'!AH15+'20_CASH_FLOW'!AH16</f>
        <v>0</v>
      </c>
      <c r="AI17" s="72" t="n">
        <f aca="false">'20_CASH_FLOW'!AI14+'20_CASH_FLOW'!AI15+'20_CASH_FLOW'!AI16</f>
        <v>0</v>
      </c>
      <c r="AJ17" s="72" t="n">
        <f aca="false">'20_CASH_FLOW'!AJ14+'20_CASH_FLOW'!AJ15+'20_CASH_FLOW'!AJ16</f>
        <v>0</v>
      </c>
      <c r="AK17" s="72" t="n">
        <f aca="false">'20_CASH_FLOW'!AK14+'20_CASH_FLOW'!AK15+'20_CASH_FLOW'!AK16</f>
        <v>0</v>
      </c>
      <c r="AL17" s="72" t="n">
        <f aca="false">'20_CASH_FLOW'!AL14+'20_CASH_FLOW'!AL15+'20_CASH_FLOW'!AL16</f>
        <v>0</v>
      </c>
      <c r="AM17" s="72" t="n">
        <f aca="false">'20_CASH_FLOW'!AM14+'20_CASH_FLOW'!AM15+'20_CASH_FLOW'!AM16</f>
        <v>0</v>
      </c>
      <c r="AN17" s="72" t="n">
        <f aca="false">'20_CASH_FLOW'!AN14+'20_CASH_FLOW'!AN15+'20_CASH_FLOW'!AN16</f>
        <v>0</v>
      </c>
      <c r="AO17" s="72" t="n">
        <f aca="false">'20_CASH_FLOW'!AO14+'20_CASH_FLOW'!AO15+'20_CASH_FLOW'!AO16</f>
        <v>0</v>
      </c>
      <c r="AP17" s="72" t="n">
        <f aca="false">'20_CASH_FLOW'!AP14+'20_CASH_FLOW'!AP15+'20_CASH_FLOW'!AP16</f>
        <v>0</v>
      </c>
      <c r="AQ17" s="72" t="n">
        <f aca="false">'20_CASH_FLOW'!AQ14+'20_CASH_FLOW'!AQ15+'20_CASH_FLOW'!AQ16</f>
        <v>0</v>
      </c>
      <c r="AR17" s="72" t="n">
        <f aca="false">'20_CASH_FLOW'!AR14+'20_CASH_FLOW'!AR15+'20_CASH_FLOW'!AR16</f>
        <v>0</v>
      </c>
    </row>
    <row r="18" customFormat="false" ht="15" hidden="false" customHeight="true" outlineLevel="0" collapsed="false">
      <c r="A18" s="23" t="s">
        <v>921</v>
      </c>
      <c r="B18" s="23" t="s">
        <v>121</v>
      </c>
      <c r="C18" s="58" t="n">
        <f aca="false">SUM('20_CASH_FLOW'!$E$18:$AR$18)</f>
        <v>-121.734109194601</v>
      </c>
      <c r="E18" s="58" t="n">
        <f aca="false">-'21_TAX'!E18</f>
        <v>-0</v>
      </c>
      <c r="F18" s="58" t="n">
        <f aca="false">-'21_TAX'!F18</f>
        <v>-0</v>
      </c>
      <c r="G18" s="58" t="n">
        <f aca="false">-'21_TAX'!G18</f>
        <v>-0</v>
      </c>
      <c r="H18" s="58" t="n">
        <f aca="false">-'21_TAX'!H18</f>
        <v>-0</v>
      </c>
      <c r="I18" s="58" t="n">
        <f aca="false">-'21_TAX'!I18</f>
        <v>-0</v>
      </c>
      <c r="J18" s="58" t="n">
        <f aca="false">-'21_TAX'!J18</f>
        <v>-0</v>
      </c>
      <c r="K18" s="58" t="n">
        <f aca="false">-'21_TAX'!K18</f>
        <v>-0</v>
      </c>
      <c r="L18" s="58" t="n">
        <f aca="false">-'21_TAX'!L18</f>
        <v>-0</v>
      </c>
      <c r="M18" s="58" t="n">
        <f aca="false">-'21_TAX'!M18</f>
        <v>-2.77132081304349</v>
      </c>
      <c r="N18" s="58" t="n">
        <f aca="false">-'21_TAX'!N18</f>
        <v>-2.99307511648138</v>
      </c>
      <c r="O18" s="58" t="n">
        <f aca="false">-'21_TAX'!O18</f>
        <v>-3.23079051970193</v>
      </c>
      <c r="P18" s="58" t="n">
        <f aca="false">-'21_TAX'!P18</f>
        <v>-3.48570832579792</v>
      </c>
      <c r="Q18" s="58" t="n">
        <f aca="false">-'21_TAX'!Q18</f>
        <v>-3.75916843041174</v>
      </c>
      <c r="R18" s="58" t="n">
        <f aca="false">-'21_TAX'!R18</f>
        <v>-4.05261719490541</v>
      </c>
      <c r="S18" s="58" t="n">
        <f aca="false">-'21_TAX'!S18</f>
        <v>-4.36761594909953</v>
      </c>
      <c r="T18" s="58" t="n">
        <f aca="false">-'21_TAX'!T18</f>
        <v>-4.70585017394097</v>
      </c>
      <c r="U18" s="58" t="n">
        <f aca="false">-'21_TAX'!U18</f>
        <v>-5.06913941848774</v>
      </c>
      <c r="V18" s="58" t="n">
        <f aca="false">-'21_TAX'!V18</f>
        <v>-5.45944800995064</v>
      </c>
      <c r="W18" s="58" t="n">
        <f aca="false">-'21_TAX'!W18</f>
        <v>-5.87889662022999</v>
      </c>
      <c r="X18" s="58" t="n">
        <f aca="false">-'21_TAX'!X18</f>
        <v>-6.3297747574611</v>
      </c>
      <c r="Y18" s="58" t="n">
        <f aca="false">-'21_TAX'!Y18</f>
        <v>-6.42039031726537</v>
      </c>
      <c r="Z18" s="58" t="n">
        <f aca="false">-'21_TAX'!Z18</f>
        <v>-6.51281818826572</v>
      </c>
      <c r="AA18" s="58" t="n">
        <f aca="false">-'21_TAX'!AA18</f>
        <v>-6.60709461668609</v>
      </c>
      <c r="AB18" s="58" t="n">
        <f aca="false">-'21_TAX'!AB18</f>
        <v>-9.81794695745743</v>
      </c>
      <c r="AC18" s="58" t="n">
        <f aca="false">-'21_TAX'!AC18</f>
        <v>-9.91603215358597</v>
      </c>
      <c r="AD18" s="58" t="n">
        <f aca="false">-'21_TAX'!AD18</f>
        <v>-10.0160790536371</v>
      </c>
      <c r="AE18" s="58" t="n">
        <f aca="false">-'21_TAX'!AE18</f>
        <v>-10.1181268916892</v>
      </c>
      <c r="AF18" s="58" t="n">
        <f aca="false">-'21_TAX'!AF18</f>
        <v>-10.2222156865024</v>
      </c>
      <c r="AG18" s="58" t="n">
        <f aca="false">-'21_TAX'!AG18</f>
        <v>-0</v>
      </c>
      <c r="AH18" s="58" t="n">
        <f aca="false">-'21_TAX'!AH18</f>
        <v>-0</v>
      </c>
      <c r="AI18" s="58" t="n">
        <f aca="false">-'21_TAX'!AI18</f>
        <v>-0</v>
      </c>
      <c r="AJ18" s="58" t="n">
        <f aca="false">-'21_TAX'!AJ18</f>
        <v>-0</v>
      </c>
      <c r="AK18" s="58" t="n">
        <f aca="false">-'21_TAX'!AK18</f>
        <v>-0</v>
      </c>
      <c r="AL18" s="58" t="n">
        <f aca="false">-'21_TAX'!AL18</f>
        <v>-0</v>
      </c>
      <c r="AM18" s="58" t="n">
        <f aca="false">-'21_TAX'!AM18</f>
        <v>-0</v>
      </c>
      <c r="AN18" s="58" t="n">
        <f aca="false">-'21_TAX'!AN18</f>
        <v>-0</v>
      </c>
      <c r="AO18" s="58" t="n">
        <f aca="false">-'21_TAX'!AO18</f>
        <v>-0</v>
      </c>
      <c r="AP18" s="58" t="n">
        <f aca="false">-'21_TAX'!AP18</f>
        <v>-0</v>
      </c>
      <c r="AQ18" s="58" t="n">
        <f aca="false">-'21_TAX'!AQ18</f>
        <v>-0</v>
      </c>
      <c r="AR18" s="58" t="n">
        <f aca="false">-'21_TAX'!AR18</f>
        <v>-0</v>
      </c>
    </row>
    <row r="19" customFormat="false" ht="15" hidden="false" customHeight="true" outlineLevel="0" collapsed="false">
      <c r="A19" s="19" t="s">
        <v>922</v>
      </c>
      <c r="B19" s="23" t="s">
        <v>121</v>
      </c>
      <c r="C19" s="58" t="n">
        <f aca="false">SUM('20_CASH_FLOW'!$E$19:$AR$19)</f>
        <v>635.168628113987</v>
      </c>
      <c r="E19" s="72" t="n">
        <f aca="false">'06_CONSTRUCTION'!E14*('20_CASH_FLOW'!E17+'20_CASH_FLOW'!E18-'08_TRANSMISSION'!E33)</f>
        <v>0</v>
      </c>
      <c r="F19" s="72" t="n">
        <f aca="false">'06_CONSTRUCTION'!F14*('20_CASH_FLOW'!F17+'20_CASH_FLOW'!F18-'08_TRANSMISSION'!F33)</f>
        <v>-0</v>
      </c>
      <c r="G19" s="72" t="n">
        <f aca="false">'06_CONSTRUCTION'!G14*('20_CASH_FLOW'!G17+'20_CASH_FLOW'!G18-'08_TRANSMISSION'!G33)</f>
        <v>-0</v>
      </c>
      <c r="H19" s="72" t="n">
        <f aca="false">'06_CONSTRUCTION'!H14*('20_CASH_FLOW'!H17+'20_CASH_FLOW'!H18-'08_TRANSMISSION'!H33)</f>
        <v>22.4303783686298</v>
      </c>
      <c r="I19" s="72" t="n">
        <f aca="false">'06_CONSTRUCTION'!I14*('20_CASH_FLOW'!I17+'20_CASH_FLOW'!I18-'08_TRANSMISSION'!I33)</f>
        <v>27.6004064535552</v>
      </c>
      <c r="J19" s="72" t="n">
        <f aca="false">'06_CONSTRUCTION'!J14*('20_CASH_FLOW'!J17+'20_CASH_FLOW'!J18-'08_TRANSMISSION'!J33)</f>
        <v>27.8248354392243</v>
      </c>
      <c r="K19" s="72" t="n">
        <f aca="false">'06_CONSTRUCTION'!K14*('20_CASH_FLOW'!K17+'20_CASH_FLOW'!K18-'08_TRANSMISSION'!K33)</f>
        <v>28.0537530046067</v>
      </c>
      <c r="L19" s="72" t="n">
        <f aca="false">'06_CONSTRUCTION'!L14*('20_CASH_FLOW'!L17+'20_CASH_FLOW'!L18-'08_TRANSMISSION'!L33)</f>
        <v>28.2872489212969</v>
      </c>
      <c r="M19" s="72" t="n">
        <f aca="false">'06_CONSTRUCTION'!M14*('20_CASH_FLOW'!M17+'20_CASH_FLOW'!M18-'08_TRANSMISSION'!M33)</f>
        <v>25.7540939432773</v>
      </c>
      <c r="N19" s="72" t="n">
        <f aca="false">'06_CONSTRUCTION'!N14*('20_CASH_FLOW'!N17+'20_CASH_FLOW'!N18-'08_TRANSMISSION'!N33)</f>
        <v>25.7752687915638</v>
      </c>
      <c r="O19" s="72" t="n">
        <f aca="false">'06_CONSTRUCTION'!O14*('20_CASH_FLOW'!O17+'20_CASH_FLOW'!O18-'08_TRANSMISSION'!O33)</f>
        <v>25.7853411231022</v>
      </c>
      <c r="P19" s="72" t="n">
        <f aca="false">'06_CONSTRUCTION'!P14*('20_CASH_FLOW'!P17+'20_CASH_FLOW'!P18-'08_TRANSMISSION'!P33)</f>
        <v>25.7831668064603</v>
      </c>
      <c r="Q19" s="72" t="n">
        <f aca="false">'06_CONSTRUCTION'!Q14*('20_CASH_FLOW'!Q17+'20_CASH_FLOW'!Q18-'08_TRANSMISSION'!Q33)</f>
        <v>25.7675050610896</v>
      </c>
      <c r="R19" s="72" t="n">
        <f aca="false">'06_CONSTRUCTION'!R14*('20_CASH_FLOW'!R17+'20_CASH_FLOW'!R18-'08_TRANSMISSION'!R33)</f>
        <v>25.737010623024</v>
      </c>
      <c r="S19" s="72" t="n">
        <f aca="false">'06_CONSTRUCTION'!S14*('20_CASH_FLOW'!S17+'20_CASH_FLOW'!S18-'08_TRANSMISSION'!S33)</f>
        <v>25.6902252817864</v>
      </c>
      <c r="T19" s="72" t="n">
        <f aca="false">'06_CONSTRUCTION'!T14*('20_CASH_FLOW'!T17+'20_CASH_FLOW'!T18-'08_TRANSMISSION'!T33)</f>
        <v>25.6255687381607</v>
      </c>
      <c r="U19" s="72" t="n">
        <f aca="false">'06_CONSTRUCTION'!U14*('20_CASH_FLOW'!U17+'20_CASH_FLOW'!U18-'08_TRANSMISSION'!U33)</f>
        <v>25.5413287284539</v>
      </c>
      <c r="V19" s="72" t="n">
        <f aca="false">'06_CONSTRUCTION'!V14*('20_CASH_FLOW'!V17+'20_CASH_FLOW'!V18-'08_TRANSMISSION'!V33)</f>
        <v>25.4356503565279</v>
      </c>
      <c r="W19" s="72" t="n">
        <f aca="false">'06_CONSTRUCTION'!W14*('20_CASH_FLOW'!W17+'20_CASH_FLOW'!W18-'08_TRANSMISSION'!W33)</f>
        <v>25.3065245701761</v>
      </c>
      <c r="X19" s="72" t="n">
        <f aca="false">'06_CONSTRUCTION'!X14*('20_CASH_FLOW'!X17+'20_CASH_FLOW'!X18-'08_TRANSMISSION'!X33)</f>
        <v>25.1517757133511</v>
      </c>
      <c r="Y19" s="72" t="n">
        <f aca="false">'06_CONSTRUCTION'!Y14*('20_CASH_FLOW'!Y17+'20_CASH_FLOW'!Y18-'08_TRANSMISSION'!Y33)</f>
        <v>25.3632120195611</v>
      </c>
      <c r="Z19" s="72" t="n">
        <f aca="false">'06_CONSTRUCTION'!Z14*('20_CASH_FLOW'!Z17+'20_CASH_FLOW'!Z18-'08_TRANSMISSION'!Z33)</f>
        <v>25.5788770518952</v>
      </c>
      <c r="AA19" s="72" t="n">
        <f aca="false">'06_CONSTRUCTION'!AA14*('20_CASH_FLOW'!AA17+'20_CASH_FLOW'!AA18-'08_TRANSMISSION'!AA33)</f>
        <v>25.7988553848761</v>
      </c>
      <c r="AB19" s="72" t="n">
        <f aca="false">'06_CONSTRUCTION'!AB14*('20_CASH_FLOW'!AB17+'20_CASH_FLOW'!AB18-'08_TRANSMISSION'!AB33)</f>
        <v>22.908542900734</v>
      </c>
      <c r="AC19" s="72" t="n">
        <f aca="false">'06_CONSTRUCTION'!AC14*('20_CASH_FLOW'!AC17+'20_CASH_FLOW'!AC18-'08_TRANSMISSION'!AC33)</f>
        <v>23.1374083583673</v>
      </c>
      <c r="AD19" s="72" t="n">
        <f aca="false">'06_CONSTRUCTION'!AD14*('20_CASH_FLOW'!AD17+'20_CASH_FLOW'!AD18-'08_TRANSMISSION'!AD33)</f>
        <v>23.3708511251532</v>
      </c>
      <c r="AE19" s="72" t="n">
        <f aca="false">'06_CONSTRUCTION'!AE14*('20_CASH_FLOW'!AE17+'20_CASH_FLOW'!AE18-'08_TRANSMISSION'!AE33)</f>
        <v>23.6089627472749</v>
      </c>
      <c r="AF19" s="72" t="n">
        <f aca="false">'06_CONSTRUCTION'!AF14*('20_CASH_FLOW'!AF17+'20_CASH_FLOW'!AF18-'08_TRANSMISSION'!AF33)</f>
        <v>23.851836601839</v>
      </c>
      <c r="AG19" s="72" t="n">
        <f aca="false">'06_CONSTRUCTION'!AG14*('20_CASH_FLOW'!AG17+'20_CASH_FLOW'!AG18-'08_TRANSMISSION'!AG33)</f>
        <v>0</v>
      </c>
      <c r="AH19" s="72" t="n">
        <f aca="false">'06_CONSTRUCTION'!AH14*('20_CASH_FLOW'!AH17+'20_CASH_FLOW'!AH18-'08_TRANSMISSION'!AH33)</f>
        <v>0</v>
      </c>
      <c r="AI19" s="72" t="n">
        <f aca="false">'06_CONSTRUCTION'!AI14*('20_CASH_FLOW'!AI17+'20_CASH_FLOW'!AI18-'08_TRANSMISSION'!AI33)</f>
        <v>0</v>
      </c>
      <c r="AJ19" s="72" t="n">
        <f aca="false">'06_CONSTRUCTION'!AJ14*('20_CASH_FLOW'!AJ17+'20_CASH_FLOW'!AJ18-'08_TRANSMISSION'!AJ33)</f>
        <v>0</v>
      </c>
      <c r="AK19" s="72" t="n">
        <f aca="false">'06_CONSTRUCTION'!AK14*('20_CASH_FLOW'!AK17+'20_CASH_FLOW'!AK18-'08_TRANSMISSION'!AK33)</f>
        <v>0</v>
      </c>
      <c r="AL19" s="72" t="n">
        <f aca="false">'06_CONSTRUCTION'!AL14*('20_CASH_FLOW'!AL17+'20_CASH_FLOW'!AL18-'08_TRANSMISSION'!AL33)</f>
        <v>0</v>
      </c>
      <c r="AM19" s="72" t="n">
        <f aca="false">'06_CONSTRUCTION'!AM14*('20_CASH_FLOW'!AM17+'20_CASH_FLOW'!AM18-'08_TRANSMISSION'!AM33)</f>
        <v>0</v>
      </c>
      <c r="AN19" s="72" t="n">
        <f aca="false">'06_CONSTRUCTION'!AN14*('20_CASH_FLOW'!AN17+'20_CASH_FLOW'!AN18-'08_TRANSMISSION'!AN33)</f>
        <v>0</v>
      </c>
      <c r="AO19" s="72" t="n">
        <f aca="false">'06_CONSTRUCTION'!AO14*('20_CASH_FLOW'!AO17+'20_CASH_FLOW'!AO18-'08_TRANSMISSION'!AO33)</f>
        <v>0</v>
      </c>
      <c r="AP19" s="72" t="n">
        <f aca="false">'06_CONSTRUCTION'!AP14*('20_CASH_FLOW'!AP17+'20_CASH_FLOW'!AP18-'08_TRANSMISSION'!AP33)</f>
        <v>0</v>
      </c>
      <c r="AQ19" s="72" t="n">
        <f aca="false">'06_CONSTRUCTION'!AQ14*('20_CASH_FLOW'!AQ17+'20_CASH_FLOW'!AQ18-'08_TRANSMISSION'!AQ33)</f>
        <v>0</v>
      </c>
      <c r="AR19" s="72" t="n">
        <f aca="false">'06_CONSTRUCTION'!AR14*('20_CASH_FLOW'!AR17+'20_CASH_FLOW'!AR18-'08_TRANSMISSION'!AR33)</f>
        <v>0</v>
      </c>
    </row>
    <row r="20" customFormat="false" ht="15" hidden="false" customHeight="true" outlineLevel="0" collapsed="false">
      <c r="A20" s="23" t="s">
        <v>923</v>
      </c>
      <c r="B20" s="23" t="s">
        <v>121</v>
      </c>
      <c r="C20" s="58" t="n">
        <f aca="false">SUM('20_CASH_FLOW'!$E$20:$AR$20)</f>
        <v>-260.29433256572</v>
      </c>
      <c r="E20" s="58" t="n">
        <f aca="false">-'18_DEBT'!E40</f>
        <v>-0</v>
      </c>
      <c r="F20" s="58" t="n">
        <f aca="false">-'18_DEBT'!F40</f>
        <v>-0</v>
      </c>
      <c r="G20" s="58" t="n">
        <f aca="false">-'18_DEBT'!G40</f>
        <v>-0</v>
      </c>
      <c r="H20" s="58" t="n">
        <f aca="false">-'18_DEBT'!H40</f>
        <v>-14.6287866578167</v>
      </c>
      <c r="I20" s="58" t="n">
        <f aca="false">-'18_DEBT'!I40</f>
        <v>-18.0724810703403</v>
      </c>
      <c r="J20" s="58" t="n">
        <f aca="false">-'18_DEBT'!J40</f>
        <v>-18.2150986212921</v>
      </c>
      <c r="K20" s="58" t="n">
        <f aca="false">-'18_DEBT'!K40</f>
        <v>-18.360568523263</v>
      </c>
      <c r="L20" s="58" t="n">
        <f aca="false">-'18_DEBT'!L40</f>
        <v>-18.5089478232734</v>
      </c>
      <c r="M20" s="58" t="n">
        <f aca="false">-'18_DEBT'!M40</f>
        <v>-15.1085256802575</v>
      </c>
      <c r="N20" s="58" t="n">
        <f aca="false">-'18_DEBT'!N40</f>
        <v>-15.216587356869</v>
      </c>
      <c r="O20" s="58" t="n">
        <f aca="false">-'18_DEBT'!O40</f>
        <v>-15.3268102670127</v>
      </c>
      <c r="P20" s="58" t="n">
        <f aca="false">-'18_DEBT'!P40</f>
        <v>-15.4392376353594</v>
      </c>
      <c r="Q20" s="58" t="n">
        <f aca="false">-'18_DEBT'!Q40</f>
        <v>-15.5539135510729</v>
      </c>
      <c r="R20" s="58" t="n">
        <f aca="false">-'18_DEBT'!R40</f>
        <v>-15.6708829851008</v>
      </c>
      <c r="S20" s="58" t="n">
        <f aca="false">-'18_DEBT'!S40</f>
        <v>-15.7901918078091</v>
      </c>
      <c r="T20" s="58" t="n">
        <f aca="false">-'18_DEBT'!T40</f>
        <v>-15.9118868069717</v>
      </c>
      <c r="U20" s="58" t="n">
        <f aca="false">-'18_DEBT'!U40</f>
        <v>-16.0360157061175</v>
      </c>
      <c r="V20" s="58" t="n">
        <f aca="false">-'18_DEBT'!V40</f>
        <v>-16.1626271832462</v>
      </c>
      <c r="W20" s="58" t="n">
        <f aca="false">-'18_DEBT'!W40</f>
        <v>-16.2917708899173</v>
      </c>
      <c r="X20" s="58" t="n">
        <f aca="false">-'18_DEBT'!X40</f>
        <v>-0</v>
      </c>
      <c r="Y20" s="58" t="n">
        <f aca="false">-'18_DEBT'!Y40</f>
        <v>-0</v>
      </c>
      <c r="Z20" s="58" t="n">
        <f aca="false">-'18_DEBT'!Z40</f>
        <v>-0</v>
      </c>
      <c r="AA20" s="58" t="n">
        <f aca="false">-'18_DEBT'!AA40</f>
        <v>-0</v>
      </c>
      <c r="AB20" s="58" t="n">
        <f aca="false">-'18_DEBT'!AB40</f>
        <v>-0</v>
      </c>
      <c r="AC20" s="58" t="n">
        <f aca="false">-'18_DEBT'!AC40</f>
        <v>-0</v>
      </c>
      <c r="AD20" s="58" t="n">
        <f aca="false">-'18_DEBT'!AD40</f>
        <v>-0</v>
      </c>
      <c r="AE20" s="58" t="n">
        <f aca="false">-'18_DEBT'!AE40</f>
        <v>-0</v>
      </c>
      <c r="AF20" s="58" t="n">
        <f aca="false">-'18_DEBT'!AF40</f>
        <v>-0</v>
      </c>
      <c r="AG20" s="58" t="n">
        <f aca="false">-'18_DEBT'!AG40</f>
        <v>-0</v>
      </c>
      <c r="AH20" s="58" t="n">
        <f aca="false">-'18_DEBT'!AH40</f>
        <v>-0</v>
      </c>
      <c r="AI20" s="58" t="n">
        <f aca="false">-'18_DEBT'!AI40</f>
        <v>-0</v>
      </c>
      <c r="AJ20" s="58" t="n">
        <f aca="false">-'18_DEBT'!AJ40</f>
        <v>-0</v>
      </c>
      <c r="AK20" s="58" t="n">
        <f aca="false">-'18_DEBT'!AK40</f>
        <v>-0</v>
      </c>
      <c r="AL20" s="58" t="n">
        <f aca="false">-'18_DEBT'!AL40</f>
        <v>-0</v>
      </c>
      <c r="AM20" s="58" t="n">
        <f aca="false">-'18_DEBT'!AM40</f>
        <v>-0</v>
      </c>
      <c r="AN20" s="58" t="n">
        <f aca="false">-'18_DEBT'!AN40</f>
        <v>-0</v>
      </c>
      <c r="AO20" s="58" t="n">
        <f aca="false">-'18_DEBT'!AO40</f>
        <v>-0</v>
      </c>
      <c r="AP20" s="58" t="n">
        <f aca="false">-'18_DEBT'!AP40</f>
        <v>-0</v>
      </c>
      <c r="AQ20" s="58" t="n">
        <f aca="false">-'18_DEBT'!AQ40</f>
        <v>-0</v>
      </c>
      <c r="AR20" s="58" t="n">
        <f aca="false">-'18_DEBT'!AR40</f>
        <v>-0</v>
      </c>
    </row>
    <row r="21" customFormat="false" ht="15" hidden="false" customHeight="true" outlineLevel="0" collapsed="false">
      <c r="A21" s="23" t="s">
        <v>924</v>
      </c>
      <c r="B21" s="23" t="s">
        <v>119</v>
      </c>
      <c r="E21" s="76" t="str">
        <f aca="false">IF('18_DEBT'!E40&gt;0.001,'20_CASH_FLOW'!E19/'18_DEBT'!E40,"")</f>
        <v/>
      </c>
      <c r="F21" s="76" t="str">
        <f aca="false">IF('18_DEBT'!F40&gt;0.001,'20_CASH_FLOW'!F19/'18_DEBT'!F40,"")</f>
        <v/>
      </c>
      <c r="G21" s="76" t="str">
        <f aca="false">IF('18_DEBT'!G40&gt;0.001,'20_CASH_FLOW'!G19/'18_DEBT'!G40,"")</f>
        <v/>
      </c>
      <c r="H21" s="76" t="n">
        <f aca="false">IF('18_DEBT'!H40&gt;0.001,'20_CASH_FLOW'!H19/'18_DEBT'!H40,"")</f>
        <v>1.5333040868871</v>
      </c>
      <c r="I21" s="76" t="n">
        <f aca="false">IF('18_DEBT'!I40&gt;0.001,'20_CASH_FLOW'!I19/'18_DEBT'!I40,"")</f>
        <v>1.52720627268227</v>
      </c>
      <c r="J21" s="76" t="n">
        <f aca="false">IF('18_DEBT'!J40&gt;0.001,'20_CASH_FLOW'!J19/'18_DEBT'!J40,"")</f>
        <v>1.52756984838386</v>
      </c>
      <c r="K21" s="76" t="n">
        <f aca="false">IF('18_DEBT'!K40&gt;0.001,'20_CASH_FLOW'!K19/'18_DEBT'!K40,"")</f>
        <v>1.52793487680201</v>
      </c>
      <c r="L21" s="76" t="n">
        <f aca="false">IF('18_DEBT'!L40&gt;0.001,'20_CASH_FLOW'!L19/'18_DEBT'!L40,"")</f>
        <v>1.52830129467047</v>
      </c>
      <c r="M21" s="76" t="n">
        <f aca="false">IF('18_DEBT'!M40&gt;0.001,'20_CASH_FLOW'!M19/'18_DEBT'!M40,"")</f>
        <v>1.70460668951508</v>
      </c>
      <c r="N21" s="76" t="n">
        <f aca="false">IF('18_DEBT'!N40&gt;0.001,'20_CASH_FLOW'!N19/'18_DEBT'!N40,"")</f>
        <v>1.69389286750478</v>
      </c>
      <c r="O21" s="76" t="n">
        <f aca="false">IF('18_DEBT'!O40&gt;0.001,'20_CASH_FLOW'!O19/'18_DEBT'!O40,"")</f>
        <v>1.68236839067545</v>
      </c>
      <c r="P21" s="76" t="n">
        <f aca="false">IF('18_DEBT'!P40&gt;0.001,'20_CASH_FLOW'!P19/'18_DEBT'!P40,"")</f>
        <v>1.66997667989843</v>
      </c>
      <c r="Q21" s="76" t="n">
        <f aca="false">IF('18_DEBT'!Q40&gt;0.001,'20_CASH_FLOW'!Q19/'18_DEBT'!Q40,"")</f>
        <v>1.65665734070588</v>
      </c>
      <c r="R21" s="76" t="n">
        <f aca="false">IF('18_DEBT'!R40&gt;0.001,'20_CASH_FLOW'!R19/'18_DEBT'!R40,"")</f>
        <v>1.64234591295804</v>
      </c>
      <c r="S21" s="76" t="n">
        <f aca="false">IF('18_DEBT'!S40&gt;0.001,'20_CASH_FLOW'!S19/'18_DEBT'!S40,"")</f>
        <v>1.62697360453096</v>
      </c>
      <c r="T21" s="76" t="n">
        <f aca="false">IF('18_DEBT'!T40&gt;0.001,'20_CASH_FLOW'!T19/'18_DEBT'!T40,"")</f>
        <v>1.61046700803157</v>
      </c>
      <c r="U21" s="76" t="n">
        <f aca="false">IF('18_DEBT'!U40&gt;0.001,'20_CASH_FLOW'!U19/'18_DEBT'!U40,"")</f>
        <v>1.59274779948677</v>
      </c>
      <c r="V21" s="76" t="n">
        <f aca="false">IF('18_DEBT'!V40&gt;0.001,'20_CASH_FLOW'!V19/'18_DEBT'!V40,"")</f>
        <v>1.57373241788896</v>
      </c>
      <c r="W21" s="76" t="n">
        <f aca="false">IF('18_DEBT'!W40&gt;0.001,'20_CASH_FLOW'!W19/'18_DEBT'!W40,"")</f>
        <v>1.55333172441296</v>
      </c>
      <c r="X21" s="76" t="str">
        <f aca="false">IF('18_DEBT'!X40&gt;0.001,'20_CASH_FLOW'!X19/'18_DEBT'!X40,"")</f>
        <v/>
      </c>
      <c r="Y21" s="76" t="str">
        <f aca="false">IF('18_DEBT'!Y40&gt;0.001,'20_CASH_FLOW'!Y19/'18_DEBT'!Y40,"")</f>
        <v/>
      </c>
      <c r="Z21" s="76" t="str">
        <f aca="false">IF('18_DEBT'!Z40&gt;0.001,'20_CASH_FLOW'!Z19/'18_DEBT'!Z40,"")</f>
        <v/>
      </c>
      <c r="AA21" s="76" t="str">
        <f aca="false">IF('18_DEBT'!AA40&gt;0.001,'20_CASH_FLOW'!AA19/'18_DEBT'!AA40,"")</f>
        <v/>
      </c>
      <c r="AB21" s="76" t="str">
        <f aca="false">IF('18_DEBT'!AB40&gt;0.001,'20_CASH_FLOW'!AB19/'18_DEBT'!AB40,"")</f>
        <v/>
      </c>
      <c r="AC21" s="76" t="str">
        <f aca="false">IF('18_DEBT'!AC40&gt;0.001,'20_CASH_FLOW'!AC19/'18_DEBT'!AC40,"")</f>
        <v/>
      </c>
      <c r="AD21" s="76" t="str">
        <f aca="false">IF('18_DEBT'!AD40&gt;0.001,'20_CASH_FLOW'!AD19/'18_DEBT'!AD40,"")</f>
        <v/>
      </c>
      <c r="AE21" s="76" t="str">
        <f aca="false">IF('18_DEBT'!AE40&gt;0.001,'20_CASH_FLOW'!AE19/'18_DEBT'!AE40,"")</f>
        <v/>
      </c>
      <c r="AF21" s="76" t="str">
        <f aca="false">IF('18_DEBT'!AF40&gt;0.001,'20_CASH_FLOW'!AF19/'18_DEBT'!AF40,"")</f>
        <v/>
      </c>
      <c r="AG21" s="76" t="str">
        <f aca="false">IF('18_DEBT'!AG40&gt;0.001,'20_CASH_FLOW'!AG19/'18_DEBT'!AG40,"")</f>
        <v/>
      </c>
      <c r="AH21" s="76" t="str">
        <f aca="false">IF('18_DEBT'!AH40&gt;0.001,'20_CASH_FLOW'!AH19/'18_DEBT'!AH40,"")</f>
        <v/>
      </c>
      <c r="AI21" s="76" t="str">
        <f aca="false">IF('18_DEBT'!AI40&gt;0.001,'20_CASH_FLOW'!AI19/'18_DEBT'!AI40,"")</f>
        <v/>
      </c>
      <c r="AJ21" s="76" t="str">
        <f aca="false">IF('18_DEBT'!AJ40&gt;0.001,'20_CASH_FLOW'!AJ19/'18_DEBT'!AJ40,"")</f>
        <v/>
      </c>
      <c r="AK21" s="76" t="str">
        <f aca="false">IF('18_DEBT'!AK40&gt;0.001,'20_CASH_FLOW'!AK19/'18_DEBT'!AK40,"")</f>
        <v/>
      </c>
      <c r="AL21" s="76" t="str">
        <f aca="false">IF('18_DEBT'!AL40&gt;0.001,'20_CASH_FLOW'!AL19/'18_DEBT'!AL40,"")</f>
        <v/>
      </c>
      <c r="AM21" s="76" t="str">
        <f aca="false">IF('18_DEBT'!AM40&gt;0.001,'20_CASH_FLOW'!AM19/'18_DEBT'!AM40,"")</f>
        <v/>
      </c>
      <c r="AN21" s="76" t="str">
        <f aca="false">IF('18_DEBT'!AN40&gt;0.001,'20_CASH_FLOW'!AN19/'18_DEBT'!AN40,"")</f>
        <v/>
      </c>
      <c r="AO21" s="76" t="str">
        <f aca="false">IF('18_DEBT'!AO40&gt;0.001,'20_CASH_FLOW'!AO19/'18_DEBT'!AO40,"")</f>
        <v/>
      </c>
      <c r="AP21" s="76" t="str">
        <f aca="false">IF('18_DEBT'!AP40&gt;0.001,'20_CASH_FLOW'!AP19/'18_DEBT'!AP40,"")</f>
        <v/>
      </c>
      <c r="AQ21" s="76" t="str">
        <f aca="false">IF('18_DEBT'!AQ40&gt;0.001,'20_CASH_FLOW'!AQ19/'18_DEBT'!AQ40,"")</f>
        <v/>
      </c>
      <c r="AR21" s="76" t="str">
        <f aca="false">IF('18_DEBT'!AR40&gt;0.001,'20_CASH_FLOW'!AR19/'18_DEBT'!AR40,"")</f>
        <v/>
      </c>
    </row>
    <row r="22" customFormat="false" ht="15" hidden="false" customHeight="true" outlineLevel="0" collapsed="false">
      <c r="A22" s="23" t="s">
        <v>925</v>
      </c>
      <c r="B22" s="23" t="s">
        <v>121</v>
      </c>
      <c r="E22" s="58" t="n">
        <f aca="false">'20_CASH_FLOW'!E19+'20_CASH_FLOW'!E20+'20_CASH_FLOW'!E29</f>
        <v>0</v>
      </c>
      <c r="F22" s="58" t="n">
        <f aca="false">'20_CASH_FLOW'!F19+'20_CASH_FLOW'!F20+'20_CASH_FLOW'!F29</f>
        <v>0</v>
      </c>
      <c r="G22" s="58" t="n">
        <f aca="false">'20_CASH_FLOW'!G19+'20_CASH_FLOW'!G20+'20_CASH_FLOW'!G29</f>
        <v>0</v>
      </c>
      <c r="H22" s="58" t="n">
        <f aca="false">'20_CASH_FLOW'!H19+'20_CASH_FLOW'!H20+'20_CASH_FLOW'!H29</f>
        <v>7.80159171081312</v>
      </c>
      <c r="I22" s="58" t="n">
        <f aca="false">'20_CASH_FLOW'!I19+'20_CASH_FLOW'!I20+'20_CASH_FLOW'!I29</f>
        <v>9.5279253832149</v>
      </c>
      <c r="J22" s="58" t="n">
        <f aca="false">'20_CASH_FLOW'!J19+'20_CASH_FLOW'!J20+'20_CASH_FLOW'!J29</f>
        <v>9.60973681793212</v>
      </c>
      <c r="K22" s="58" t="n">
        <f aca="false">'20_CASH_FLOW'!K19+'20_CASH_FLOW'!K20+'20_CASH_FLOW'!K29</f>
        <v>9.69318448134368</v>
      </c>
      <c r="L22" s="58" t="n">
        <f aca="false">'20_CASH_FLOW'!L19+'20_CASH_FLOW'!L20+'20_CASH_FLOW'!L29</f>
        <v>9.77830109802349</v>
      </c>
      <c r="M22" s="58" t="n">
        <f aca="false">'20_CASH_FLOW'!M19+'20_CASH_FLOW'!M20+'20_CASH_FLOW'!M29</f>
        <v>10.6455682630198</v>
      </c>
      <c r="N22" s="58" t="n">
        <f aca="false">'20_CASH_FLOW'!N19+'20_CASH_FLOW'!N20+'20_CASH_FLOW'!N29</f>
        <v>10.5586814346948</v>
      </c>
      <c r="O22" s="58" t="n">
        <f aca="false">'20_CASH_FLOW'!O19+'20_CASH_FLOW'!O20+'20_CASH_FLOW'!O29</f>
        <v>10.4585308560894</v>
      </c>
      <c r="P22" s="58" t="n">
        <f aca="false">'20_CASH_FLOW'!P19+'20_CASH_FLOW'!P20+'20_CASH_FLOW'!P29</f>
        <v>10.3439291711009</v>
      </c>
      <c r="Q22" s="58" t="n">
        <f aca="false">'20_CASH_FLOW'!Q19+'20_CASH_FLOW'!Q20+'20_CASH_FLOW'!Q29</f>
        <v>10.2135915100167</v>
      </c>
      <c r="R22" s="58" t="n">
        <f aca="false">'20_CASH_FLOW'!R19+'20_CASH_FLOW'!R20+'20_CASH_FLOW'!R29</f>
        <v>10.0661276379232</v>
      </c>
      <c r="S22" s="58" t="n">
        <f aca="false">'20_CASH_FLOW'!S19+'20_CASH_FLOW'!S20+'20_CASH_FLOW'!S29</f>
        <v>9.90003347397727</v>
      </c>
      <c r="T22" s="58" t="n">
        <f aca="false">'20_CASH_FLOW'!T19+'20_CASH_FLOW'!T20+'20_CASH_FLOW'!T29</f>
        <v>9.71368193118899</v>
      </c>
      <c r="U22" s="58" t="n">
        <f aca="false">'20_CASH_FLOW'!U19+'20_CASH_FLOW'!U20+'20_CASH_FLOW'!U29</f>
        <v>9.50531302233644</v>
      </c>
      <c r="V22" s="58" t="n">
        <f aca="false">'20_CASH_FLOW'!V19+'20_CASH_FLOW'!V20+'20_CASH_FLOW'!V29</f>
        <v>9.27302317328164</v>
      </c>
      <c r="W22" s="58" t="n">
        <f aca="false">'20_CASH_FLOW'!W19+'20_CASH_FLOW'!W20+'20_CASH_FLOW'!W29</f>
        <v>9.01475368025883</v>
      </c>
      <c r="X22" s="58" t="n">
        <f aca="false">'20_CASH_FLOW'!X19+'20_CASH_FLOW'!X20+'20_CASH_FLOW'!X29</f>
        <v>25.1517757133511</v>
      </c>
      <c r="Y22" s="58" t="n">
        <f aca="false">'20_CASH_FLOW'!Y19+'20_CASH_FLOW'!Y20+'20_CASH_FLOW'!Y29</f>
        <v>25.3632120195611</v>
      </c>
      <c r="Z22" s="58" t="n">
        <f aca="false">'20_CASH_FLOW'!Z19+'20_CASH_FLOW'!Z20+'20_CASH_FLOW'!Z29</f>
        <v>25.5788770518952</v>
      </c>
      <c r="AA22" s="58" t="n">
        <f aca="false">'20_CASH_FLOW'!AA19+'20_CASH_FLOW'!AA20+'20_CASH_FLOW'!AA29</f>
        <v>25.7988553848761</v>
      </c>
      <c r="AB22" s="58" t="n">
        <f aca="false">'20_CASH_FLOW'!AB19+'20_CASH_FLOW'!AB20+'20_CASH_FLOW'!AB29</f>
        <v>22.908542900734</v>
      </c>
      <c r="AC22" s="58" t="n">
        <f aca="false">'20_CASH_FLOW'!AC19+'20_CASH_FLOW'!AC20+'20_CASH_FLOW'!AC29</f>
        <v>23.1374083583673</v>
      </c>
      <c r="AD22" s="58" t="n">
        <f aca="false">'20_CASH_FLOW'!AD19+'20_CASH_FLOW'!AD20+'20_CASH_FLOW'!AD29</f>
        <v>23.3708511251532</v>
      </c>
      <c r="AE22" s="58" t="n">
        <f aca="false">'20_CASH_FLOW'!AE19+'20_CASH_FLOW'!AE20+'20_CASH_FLOW'!AE29</f>
        <v>23.6089627472749</v>
      </c>
      <c r="AF22" s="58" t="n">
        <f aca="false">'20_CASH_FLOW'!AF19+'20_CASH_FLOW'!AF20+'20_CASH_FLOW'!AF29</f>
        <v>23.851836601839</v>
      </c>
      <c r="AG22" s="58" t="n">
        <f aca="false">'20_CASH_FLOW'!AG19+'20_CASH_FLOW'!AG20+'20_CASH_FLOW'!AG29</f>
        <v>0</v>
      </c>
      <c r="AH22" s="58" t="n">
        <f aca="false">'20_CASH_FLOW'!AH19+'20_CASH_FLOW'!AH20+'20_CASH_FLOW'!AH29</f>
        <v>0</v>
      </c>
      <c r="AI22" s="58" t="n">
        <f aca="false">'20_CASH_FLOW'!AI19+'20_CASH_FLOW'!AI20+'20_CASH_FLOW'!AI29</f>
        <v>0</v>
      </c>
      <c r="AJ22" s="58" t="n">
        <f aca="false">'20_CASH_FLOW'!AJ19+'20_CASH_FLOW'!AJ20+'20_CASH_FLOW'!AJ29</f>
        <v>0</v>
      </c>
      <c r="AK22" s="58" t="n">
        <f aca="false">'20_CASH_FLOW'!AK19+'20_CASH_FLOW'!AK20+'20_CASH_FLOW'!AK29</f>
        <v>0</v>
      </c>
      <c r="AL22" s="58" t="n">
        <f aca="false">'20_CASH_FLOW'!AL19+'20_CASH_FLOW'!AL20+'20_CASH_FLOW'!AL29</f>
        <v>0</v>
      </c>
      <c r="AM22" s="58" t="n">
        <f aca="false">'20_CASH_FLOW'!AM19+'20_CASH_FLOW'!AM20+'20_CASH_FLOW'!AM29</f>
        <v>0</v>
      </c>
      <c r="AN22" s="58" t="n">
        <f aca="false">'20_CASH_FLOW'!AN19+'20_CASH_FLOW'!AN20+'20_CASH_FLOW'!AN29</f>
        <v>0</v>
      </c>
      <c r="AO22" s="58" t="n">
        <f aca="false">'20_CASH_FLOW'!AO19+'20_CASH_FLOW'!AO20+'20_CASH_FLOW'!AO29</f>
        <v>0</v>
      </c>
      <c r="AP22" s="58" t="n">
        <f aca="false">'20_CASH_FLOW'!AP19+'20_CASH_FLOW'!AP20+'20_CASH_FLOW'!AP29</f>
        <v>0</v>
      </c>
      <c r="AQ22" s="58" t="n">
        <f aca="false">'20_CASH_FLOW'!AQ19+'20_CASH_FLOW'!AQ20+'20_CASH_FLOW'!AQ29</f>
        <v>0</v>
      </c>
      <c r="AR22" s="58" t="n">
        <f aca="false">'20_CASH_FLOW'!AR19+'20_CASH_FLOW'!AR20+'20_CASH_FLOW'!AR29</f>
        <v>0</v>
      </c>
    </row>
    <row r="23" customFormat="false" ht="15" hidden="false" customHeight="true" outlineLevel="0" collapsed="false">
      <c r="A23" s="23" t="s">
        <v>926</v>
      </c>
      <c r="B23" s="23" t="s">
        <v>121</v>
      </c>
      <c r="C23" s="58" t="n">
        <f aca="false">SUM('20_CASH_FLOW'!$E$23:$AR$23)</f>
        <v>0</v>
      </c>
      <c r="E23" s="58" t="n">
        <f aca="false">'06_CONSTRUCTION'!E14*MIN('20_CASH_FLOW'!D26,MAX(0,-'20_CASH_FLOW'!E22))</f>
        <v>-0</v>
      </c>
      <c r="F23" s="58" t="n">
        <f aca="false">'06_CONSTRUCTION'!F14*MIN('20_CASH_FLOW'!E26,MAX(0,-'20_CASH_FLOW'!F22))</f>
        <v>-0</v>
      </c>
      <c r="G23" s="58" t="n">
        <f aca="false">'06_CONSTRUCTION'!G14*MIN('20_CASH_FLOW'!F26,MAX(0,-'20_CASH_FLOW'!G22))</f>
        <v>-0</v>
      </c>
      <c r="H23" s="58" t="n">
        <f aca="false">'06_CONSTRUCTION'!H14*MIN('20_CASH_FLOW'!G26,MAX(0,-'20_CASH_FLOW'!H22))</f>
        <v>0</v>
      </c>
      <c r="I23" s="58" t="n">
        <f aca="false">'06_CONSTRUCTION'!I14*MIN('20_CASH_FLOW'!H26,MAX(0,-'20_CASH_FLOW'!I22))</f>
        <v>0</v>
      </c>
      <c r="J23" s="58" t="n">
        <f aca="false">'06_CONSTRUCTION'!J14*MIN('20_CASH_FLOW'!I26,MAX(0,-'20_CASH_FLOW'!J22))</f>
        <v>0</v>
      </c>
      <c r="K23" s="58" t="n">
        <f aca="false">'06_CONSTRUCTION'!K14*MIN('20_CASH_FLOW'!J26,MAX(0,-'20_CASH_FLOW'!K22))</f>
        <v>0</v>
      </c>
      <c r="L23" s="58" t="n">
        <f aca="false">'06_CONSTRUCTION'!L14*MIN('20_CASH_FLOW'!K26,MAX(0,-'20_CASH_FLOW'!L22))</f>
        <v>0</v>
      </c>
      <c r="M23" s="58" t="n">
        <f aca="false">'06_CONSTRUCTION'!M14*MIN('20_CASH_FLOW'!L26,MAX(0,-'20_CASH_FLOW'!M22))</f>
        <v>0</v>
      </c>
      <c r="N23" s="58" t="n">
        <f aca="false">'06_CONSTRUCTION'!N14*MIN('20_CASH_FLOW'!M26,MAX(0,-'20_CASH_FLOW'!N22))</f>
        <v>0</v>
      </c>
      <c r="O23" s="58" t="n">
        <f aca="false">'06_CONSTRUCTION'!O14*MIN('20_CASH_FLOW'!N26,MAX(0,-'20_CASH_FLOW'!O22))</f>
        <v>0</v>
      </c>
      <c r="P23" s="58" t="n">
        <f aca="false">'06_CONSTRUCTION'!P14*MIN('20_CASH_FLOW'!O26,MAX(0,-'20_CASH_FLOW'!P22))</f>
        <v>0</v>
      </c>
      <c r="Q23" s="58" t="n">
        <f aca="false">'06_CONSTRUCTION'!Q14*MIN('20_CASH_FLOW'!P26,MAX(0,-'20_CASH_FLOW'!Q22))</f>
        <v>0</v>
      </c>
      <c r="R23" s="58" t="n">
        <f aca="false">'06_CONSTRUCTION'!R14*MIN('20_CASH_FLOW'!Q26,MAX(0,-'20_CASH_FLOW'!R22))</f>
        <v>0</v>
      </c>
      <c r="S23" s="58" t="n">
        <f aca="false">'06_CONSTRUCTION'!S14*MIN('20_CASH_FLOW'!R26,MAX(0,-'20_CASH_FLOW'!S22))</f>
        <v>0</v>
      </c>
      <c r="T23" s="58" t="n">
        <f aca="false">'06_CONSTRUCTION'!T14*MIN('20_CASH_FLOW'!S26,MAX(0,-'20_CASH_FLOW'!T22))</f>
        <v>0</v>
      </c>
      <c r="U23" s="58" t="n">
        <f aca="false">'06_CONSTRUCTION'!U14*MIN('20_CASH_FLOW'!T26,MAX(0,-'20_CASH_FLOW'!U22))</f>
        <v>0</v>
      </c>
      <c r="V23" s="58" t="n">
        <f aca="false">'06_CONSTRUCTION'!V14*MIN('20_CASH_FLOW'!U26,MAX(0,-'20_CASH_FLOW'!V22))</f>
        <v>0</v>
      </c>
      <c r="W23" s="58" t="n">
        <f aca="false">'06_CONSTRUCTION'!W14*MIN('20_CASH_FLOW'!V26,MAX(0,-'20_CASH_FLOW'!W22))</f>
        <v>0</v>
      </c>
      <c r="X23" s="58" t="n">
        <f aca="false">'06_CONSTRUCTION'!X14*MIN('20_CASH_FLOW'!W26,MAX(0,-'20_CASH_FLOW'!X22))</f>
        <v>0</v>
      </c>
      <c r="Y23" s="58" t="n">
        <f aca="false">'06_CONSTRUCTION'!Y14*MIN('20_CASH_FLOW'!X26,MAX(0,-'20_CASH_FLOW'!Y22))</f>
        <v>0</v>
      </c>
      <c r="Z23" s="58" t="n">
        <f aca="false">'06_CONSTRUCTION'!Z14*MIN('20_CASH_FLOW'!Y26,MAX(0,-'20_CASH_FLOW'!Z22))</f>
        <v>0</v>
      </c>
      <c r="AA23" s="58" t="n">
        <f aca="false">'06_CONSTRUCTION'!AA14*MIN('20_CASH_FLOW'!Z26,MAX(0,-'20_CASH_FLOW'!AA22))</f>
        <v>0</v>
      </c>
      <c r="AB23" s="58" t="n">
        <f aca="false">'06_CONSTRUCTION'!AB14*MIN('20_CASH_FLOW'!AA26,MAX(0,-'20_CASH_FLOW'!AB22))</f>
        <v>0</v>
      </c>
      <c r="AC23" s="58" t="n">
        <f aca="false">'06_CONSTRUCTION'!AC14*MIN('20_CASH_FLOW'!AB26,MAX(0,-'20_CASH_FLOW'!AC22))</f>
        <v>0</v>
      </c>
      <c r="AD23" s="58" t="n">
        <f aca="false">'06_CONSTRUCTION'!AD14*MIN('20_CASH_FLOW'!AC26,MAX(0,-'20_CASH_FLOW'!AD22))</f>
        <v>0</v>
      </c>
      <c r="AE23" s="58" t="n">
        <f aca="false">'06_CONSTRUCTION'!AE14*MIN('20_CASH_FLOW'!AD26,MAX(0,-'20_CASH_FLOW'!AE22))</f>
        <v>0</v>
      </c>
      <c r="AF23" s="58" t="n">
        <f aca="false">'06_CONSTRUCTION'!AF14*MIN('20_CASH_FLOW'!AE26,MAX(0,-'20_CASH_FLOW'!AF22))</f>
        <v>0</v>
      </c>
      <c r="AG23" s="58" t="n">
        <f aca="false">'06_CONSTRUCTION'!AG14*MIN('20_CASH_FLOW'!AF26,MAX(0,-'20_CASH_FLOW'!AG22))</f>
        <v>-0</v>
      </c>
      <c r="AH23" s="58" t="n">
        <f aca="false">'06_CONSTRUCTION'!AH14*MIN('20_CASH_FLOW'!AG26,MAX(0,-'20_CASH_FLOW'!AH22))</f>
        <v>-0</v>
      </c>
      <c r="AI23" s="58" t="n">
        <f aca="false">'06_CONSTRUCTION'!AI14*MIN('20_CASH_FLOW'!AH26,MAX(0,-'20_CASH_FLOW'!AI22))</f>
        <v>-0</v>
      </c>
      <c r="AJ23" s="58" t="n">
        <f aca="false">'06_CONSTRUCTION'!AJ14*MIN('20_CASH_FLOW'!AI26,MAX(0,-'20_CASH_FLOW'!AJ22))</f>
        <v>-0</v>
      </c>
      <c r="AK23" s="58" t="n">
        <f aca="false">'06_CONSTRUCTION'!AK14*MIN('20_CASH_FLOW'!AJ26,MAX(0,-'20_CASH_FLOW'!AK22))</f>
        <v>-0</v>
      </c>
      <c r="AL23" s="58" t="n">
        <f aca="false">'06_CONSTRUCTION'!AL14*MIN('20_CASH_FLOW'!AK26,MAX(0,-'20_CASH_FLOW'!AL22))</f>
        <v>-0</v>
      </c>
      <c r="AM23" s="58" t="n">
        <f aca="false">'06_CONSTRUCTION'!AM14*MIN('20_CASH_FLOW'!AL26,MAX(0,-'20_CASH_FLOW'!AM22))</f>
        <v>-0</v>
      </c>
      <c r="AN23" s="58" t="n">
        <f aca="false">'06_CONSTRUCTION'!AN14*MIN('20_CASH_FLOW'!AM26,MAX(0,-'20_CASH_FLOW'!AN22))</f>
        <v>-0</v>
      </c>
      <c r="AO23" s="58" t="n">
        <f aca="false">'06_CONSTRUCTION'!AO14*MIN('20_CASH_FLOW'!AN26,MAX(0,-'20_CASH_FLOW'!AO22))</f>
        <v>-0</v>
      </c>
      <c r="AP23" s="58" t="n">
        <f aca="false">'06_CONSTRUCTION'!AP14*MIN('20_CASH_FLOW'!AO26,MAX(0,-'20_CASH_FLOW'!AP22))</f>
        <v>-0</v>
      </c>
      <c r="AQ23" s="58" t="n">
        <f aca="false">'06_CONSTRUCTION'!AQ14*MIN('20_CASH_FLOW'!AP26,MAX(0,-'20_CASH_FLOW'!AQ22))</f>
        <v>-0</v>
      </c>
      <c r="AR23" s="58" t="n">
        <f aca="false">'06_CONSTRUCTION'!AR14*MIN('20_CASH_FLOW'!AQ26,MAX(0,-'20_CASH_FLOW'!AR22))</f>
        <v>-0</v>
      </c>
    </row>
    <row r="24" customFormat="false" ht="15" hidden="false" customHeight="true" outlineLevel="0" collapsed="false">
      <c r="A24" s="23" t="s">
        <v>927</v>
      </c>
      <c r="B24" s="23" t="s">
        <v>121</v>
      </c>
      <c r="C24" s="58" t="n">
        <f aca="false">SUM('20_CASH_FLOW'!$E$24:$AR$24)</f>
        <v>9.84609651646659</v>
      </c>
      <c r="E24" s="58" t="n">
        <f aca="false">'06_CONSTRUCTION'!E14*MAX(0,'20_CASH_FLOW'!D26-'20_CASH_FLOW'!E23-'18_DEBT'!E43)</f>
        <v>0</v>
      </c>
      <c r="F24" s="58" t="n">
        <f aca="false">'06_CONSTRUCTION'!F14*MAX(0,'20_CASH_FLOW'!E26-'20_CASH_FLOW'!F23-'18_DEBT'!F43)</f>
        <v>0</v>
      </c>
      <c r="G24" s="58" t="n">
        <f aca="false">'06_CONSTRUCTION'!G14*MAX(0,'20_CASH_FLOW'!F26-'20_CASH_FLOW'!G23-'18_DEBT'!G43)</f>
        <v>0</v>
      </c>
      <c r="H24" s="58" t="n">
        <f aca="false">'06_CONSTRUCTION'!H14*MAX(0,'20_CASH_FLOW'!G26-'20_CASH_FLOW'!H23-'18_DEBT'!H43)</f>
        <v>0</v>
      </c>
      <c r="I24" s="58" t="n">
        <f aca="false">'06_CONSTRUCTION'!I14*MAX(0,'20_CASH_FLOW'!H26-'20_CASH_FLOW'!I23-'18_DEBT'!I43)</f>
        <v>0</v>
      </c>
      <c r="J24" s="58" t="n">
        <f aca="false">'06_CONSTRUCTION'!J14*MAX(0,'20_CASH_FLOW'!I26-'20_CASH_FLOW'!J23-'18_DEBT'!J43)</f>
        <v>0</v>
      </c>
      <c r="K24" s="58" t="n">
        <f aca="false">'06_CONSTRUCTION'!K14*MAX(0,'20_CASH_FLOW'!J26-'20_CASH_FLOW'!K23-'18_DEBT'!K43)</f>
        <v>0</v>
      </c>
      <c r="L24" s="58" t="n">
        <f aca="false">'06_CONSTRUCTION'!L14*MAX(0,'20_CASH_FLOW'!K26-'20_CASH_FLOW'!L23-'18_DEBT'!L43)</f>
        <v>1.70021107150795</v>
      </c>
      <c r="M24" s="58" t="n">
        <f aca="false">'06_CONSTRUCTION'!M14*MAX(0,'20_CASH_FLOW'!L26-'20_CASH_FLOW'!M23-'18_DEBT'!M43)</f>
        <v>0</v>
      </c>
      <c r="N24" s="58" t="n">
        <f aca="false">'06_CONSTRUCTION'!N14*MAX(0,'20_CASH_FLOW'!M26-'20_CASH_FLOW'!N23-'18_DEBT'!N43)</f>
        <v>0</v>
      </c>
      <c r="O24" s="58" t="n">
        <f aca="false">'06_CONSTRUCTION'!O14*MAX(0,'20_CASH_FLOW'!N26-'20_CASH_FLOW'!O23-'18_DEBT'!O43)</f>
        <v>0</v>
      </c>
      <c r="P24" s="58" t="n">
        <f aca="false">'06_CONSTRUCTION'!P14*MAX(0,'20_CASH_FLOW'!O26-'20_CASH_FLOW'!P23-'18_DEBT'!P43)</f>
        <v>0</v>
      </c>
      <c r="Q24" s="58" t="n">
        <f aca="false">'06_CONSTRUCTION'!Q14*MAX(0,'20_CASH_FLOW'!P26-'20_CASH_FLOW'!Q23-'18_DEBT'!Q43)</f>
        <v>0</v>
      </c>
      <c r="R24" s="58" t="n">
        <f aca="false">'06_CONSTRUCTION'!R14*MAX(0,'20_CASH_FLOW'!Q26-'20_CASH_FLOW'!R23-'18_DEBT'!R43)</f>
        <v>0</v>
      </c>
      <c r="S24" s="58" t="n">
        <f aca="false">'06_CONSTRUCTION'!S14*MAX(0,'20_CASH_FLOW'!R26-'20_CASH_FLOW'!S23-'18_DEBT'!S43)</f>
        <v>0</v>
      </c>
      <c r="T24" s="58" t="n">
        <f aca="false">'06_CONSTRUCTION'!T14*MAX(0,'20_CASH_FLOW'!S26-'20_CASH_FLOW'!T23-'18_DEBT'!T43)</f>
        <v>0</v>
      </c>
      <c r="U24" s="58" t="n">
        <f aca="false">'06_CONSTRUCTION'!U14*MAX(0,'20_CASH_FLOW'!T26-'20_CASH_FLOW'!U23-'18_DEBT'!U43)</f>
        <v>0</v>
      </c>
      <c r="V24" s="58" t="n">
        <f aca="false">'06_CONSTRUCTION'!V14*MAX(0,'20_CASH_FLOW'!U26-'20_CASH_FLOW'!V23-'18_DEBT'!V43)</f>
        <v>0</v>
      </c>
      <c r="W24" s="58" t="n">
        <f aca="false">'06_CONSTRUCTION'!W14*MAX(0,'20_CASH_FLOW'!V26-'20_CASH_FLOW'!W23-'18_DEBT'!W43)</f>
        <v>8.14588544495864</v>
      </c>
      <c r="X24" s="58" t="n">
        <f aca="false">'06_CONSTRUCTION'!X14*MAX(0,'20_CASH_FLOW'!W26-'20_CASH_FLOW'!X23-'18_DEBT'!X43)</f>
        <v>0</v>
      </c>
      <c r="Y24" s="58" t="n">
        <f aca="false">'06_CONSTRUCTION'!Y14*MAX(0,'20_CASH_FLOW'!X26-'20_CASH_FLOW'!Y23-'18_DEBT'!Y43)</f>
        <v>0</v>
      </c>
      <c r="Z24" s="58" t="n">
        <f aca="false">'06_CONSTRUCTION'!Z14*MAX(0,'20_CASH_FLOW'!Y26-'20_CASH_FLOW'!Z23-'18_DEBT'!Z43)</f>
        <v>0</v>
      </c>
      <c r="AA24" s="58" t="n">
        <f aca="false">'06_CONSTRUCTION'!AA14*MAX(0,'20_CASH_FLOW'!Z26-'20_CASH_FLOW'!AA23-'18_DEBT'!AA43)</f>
        <v>0</v>
      </c>
      <c r="AB24" s="58" t="n">
        <f aca="false">'06_CONSTRUCTION'!AB14*MAX(0,'20_CASH_FLOW'!AA26-'20_CASH_FLOW'!AB23-'18_DEBT'!AB43)</f>
        <v>0</v>
      </c>
      <c r="AC24" s="58" t="n">
        <f aca="false">'06_CONSTRUCTION'!AC14*MAX(0,'20_CASH_FLOW'!AB26-'20_CASH_FLOW'!AC23-'18_DEBT'!AC43)</f>
        <v>0</v>
      </c>
      <c r="AD24" s="58" t="n">
        <f aca="false">'06_CONSTRUCTION'!AD14*MAX(0,'20_CASH_FLOW'!AC26-'20_CASH_FLOW'!AD23-'18_DEBT'!AD43)</f>
        <v>0</v>
      </c>
      <c r="AE24" s="58" t="n">
        <f aca="false">'06_CONSTRUCTION'!AE14*MAX(0,'20_CASH_FLOW'!AD26-'20_CASH_FLOW'!AE23-'18_DEBT'!AE43)</f>
        <v>0</v>
      </c>
      <c r="AF24" s="58" t="n">
        <f aca="false">'06_CONSTRUCTION'!AF14*MAX(0,'20_CASH_FLOW'!AE26-'20_CASH_FLOW'!AF23-'18_DEBT'!AF43)</f>
        <v>0</v>
      </c>
      <c r="AG24" s="58" t="n">
        <f aca="false">'06_CONSTRUCTION'!AG14*MAX(0,'20_CASH_FLOW'!AF26-'20_CASH_FLOW'!AG23-'18_DEBT'!AG43)</f>
        <v>0</v>
      </c>
      <c r="AH24" s="58" t="n">
        <f aca="false">'06_CONSTRUCTION'!AH14*MAX(0,'20_CASH_FLOW'!AG26-'20_CASH_FLOW'!AH23-'18_DEBT'!AH43)</f>
        <v>0</v>
      </c>
      <c r="AI24" s="58" t="n">
        <f aca="false">'06_CONSTRUCTION'!AI14*MAX(0,'20_CASH_FLOW'!AH26-'20_CASH_FLOW'!AI23-'18_DEBT'!AI43)</f>
        <v>0</v>
      </c>
      <c r="AJ24" s="58" t="n">
        <f aca="false">'06_CONSTRUCTION'!AJ14*MAX(0,'20_CASH_FLOW'!AI26-'20_CASH_FLOW'!AJ23-'18_DEBT'!AJ43)</f>
        <v>0</v>
      </c>
      <c r="AK24" s="58" t="n">
        <f aca="false">'06_CONSTRUCTION'!AK14*MAX(0,'20_CASH_FLOW'!AJ26-'20_CASH_FLOW'!AK23-'18_DEBT'!AK43)</f>
        <v>0</v>
      </c>
      <c r="AL24" s="58" t="n">
        <f aca="false">'06_CONSTRUCTION'!AL14*MAX(0,'20_CASH_FLOW'!AK26-'20_CASH_FLOW'!AL23-'18_DEBT'!AL43)</f>
        <v>0</v>
      </c>
      <c r="AM24" s="58" t="n">
        <f aca="false">'06_CONSTRUCTION'!AM14*MAX(0,'20_CASH_FLOW'!AL26-'20_CASH_FLOW'!AM23-'18_DEBT'!AM43)</f>
        <v>0</v>
      </c>
      <c r="AN24" s="58" t="n">
        <f aca="false">'06_CONSTRUCTION'!AN14*MAX(0,'20_CASH_FLOW'!AM26-'20_CASH_FLOW'!AN23-'18_DEBT'!AN43)</f>
        <v>0</v>
      </c>
      <c r="AO24" s="58" t="n">
        <f aca="false">'06_CONSTRUCTION'!AO14*MAX(0,'20_CASH_FLOW'!AN26-'20_CASH_FLOW'!AO23-'18_DEBT'!AO43)</f>
        <v>0</v>
      </c>
      <c r="AP24" s="58" t="n">
        <f aca="false">'06_CONSTRUCTION'!AP14*MAX(0,'20_CASH_FLOW'!AO26-'20_CASH_FLOW'!AP23-'18_DEBT'!AP43)</f>
        <v>0</v>
      </c>
      <c r="AQ24" s="58" t="n">
        <f aca="false">'06_CONSTRUCTION'!AQ14*MAX(0,'20_CASH_FLOW'!AP26-'20_CASH_FLOW'!AQ23-'18_DEBT'!AQ43)</f>
        <v>0</v>
      </c>
      <c r="AR24" s="58" t="n">
        <f aca="false">'06_CONSTRUCTION'!AR14*MAX(0,'20_CASH_FLOW'!AQ26-'20_CASH_FLOW'!AR23-'18_DEBT'!AR43)</f>
        <v>0</v>
      </c>
    </row>
    <row r="25" customFormat="false" ht="15" hidden="false" customHeight="true" outlineLevel="0" collapsed="false">
      <c r="A25" s="23" t="s">
        <v>928</v>
      </c>
      <c r="B25" s="23" t="s">
        <v>121</v>
      </c>
      <c r="C25" s="58" t="n">
        <f aca="false">SUM('20_CASH_FLOW'!$E$25:$AR$25)</f>
        <v>2.53170318755826</v>
      </c>
      <c r="E25" s="58" t="n">
        <f aca="false">'06_CONSTRUCTION'!E14*MIN(MAX(0,'18_DEBT'!E43-'20_CASH_FLOW'!D26+'20_CASH_FLOW'!E23),MAX(0,'20_CASH_FLOW'!E22))</f>
        <v>0</v>
      </c>
      <c r="F25" s="58" t="n">
        <f aca="false">'06_CONSTRUCTION'!F14*MIN(MAX(0,'18_DEBT'!F43-'20_CASH_FLOW'!E26+'20_CASH_FLOW'!F23),MAX(0,'20_CASH_FLOW'!F22))</f>
        <v>0</v>
      </c>
      <c r="G25" s="58" t="n">
        <f aca="false">'06_CONSTRUCTION'!G14*MIN(MAX(0,'18_DEBT'!G43-'20_CASH_FLOW'!F26+'20_CASH_FLOW'!G23),MAX(0,'20_CASH_FLOW'!G22))</f>
        <v>0</v>
      </c>
      <c r="H25" s="58" t="n">
        <f aca="false">'06_CONSTRUCTION'!H14*MIN(MAX(0,'18_DEBT'!H43-'20_CASH_FLOW'!G26+'20_CASH_FLOW'!H23),MAX(0,'20_CASH_FLOW'!H22))</f>
        <v>1.7218472062618</v>
      </c>
      <c r="I25" s="58" t="n">
        <f aca="false">'06_CONSTRUCTION'!I14*MIN(MAX(0,'18_DEBT'!I43-'20_CASH_FLOW'!H26+'20_CASH_FLOW'!I23),MAX(0,'20_CASH_FLOW'!I22))</f>
        <v>0.0713087754759378</v>
      </c>
      <c r="J25" s="58" t="n">
        <f aca="false">'06_CONSTRUCTION'!J14*MIN(MAX(0,'18_DEBT'!J43-'20_CASH_FLOW'!I26+'20_CASH_FLOW'!J23),MAX(0,'20_CASH_FLOW'!J22))</f>
        <v>0.072734950985458</v>
      </c>
      <c r="K25" s="58" t="n">
        <f aca="false">'06_CONSTRUCTION'!K14*MIN(MAX(0,'18_DEBT'!K43-'20_CASH_FLOW'!J26+'20_CASH_FLOW'!K23),MAX(0,'20_CASH_FLOW'!K22))</f>
        <v>0.0741896500051595</v>
      </c>
      <c r="L25" s="58" t="n">
        <f aca="false">'06_CONSTRUCTION'!L14*MIN(MAX(0,'18_DEBT'!L43-'20_CASH_FLOW'!K26+'20_CASH_FLOW'!L23),MAX(0,'20_CASH_FLOW'!L22))</f>
        <v>0</v>
      </c>
      <c r="M25" s="58" t="n">
        <f aca="false">'06_CONSTRUCTION'!M14*MIN(MAX(0,'18_DEBT'!M43-'20_CASH_FLOW'!L26+'20_CASH_FLOW'!M23),MAX(0,'20_CASH_FLOW'!M22))</f>
        <v>0.0540308383057608</v>
      </c>
      <c r="N25" s="58" t="n">
        <f aca="false">'06_CONSTRUCTION'!N14*MIN(MAX(0,'18_DEBT'!N43-'20_CASH_FLOW'!M26+'20_CASH_FLOW'!N23),MAX(0,'20_CASH_FLOW'!N22))</f>
        <v>0.0551114550718754</v>
      </c>
      <c r="O25" s="58" t="n">
        <f aca="false">'06_CONSTRUCTION'!O14*MIN(MAX(0,'18_DEBT'!O43-'20_CASH_FLOW'!N26+'20_CASH_FLOW'!O23),MAX(0,'20_CASH_FLOW'!O22))</f>
        <v>0.0562136841733159</v>
      </c>
      <c r="P25" s="58" t="n">
        <f aca="false">'06_CONSTRUCTION'!P14*MIN(MAX(0,'18_DEBT'!P43-'20_CASH_FLOW'!O26+'20_CASH_FLOW'!P23),MAX(0,'20_CASH_FLOW'!P22))</f>
        <v>0.0573379578567828</v>
      </c>
      <c r="Q25" s="58" t="n">
        <f aca="false">'06_CONSTRUCTION'!Q14*MIN(MAX(0,'18_DEBT'!Q43-'20_CASH_FLOW'!P26+'20_CASH_FLOW'!Q23),MAX(0,'20_CASH_FLOW'!Q22))</f>
        <v>0.0584847170139131</v>
      </c>
      <c r="R25" s="58" t="n">
        <f aca="false">'06_CONSTRUCTION'!R14*MIN(MAX(0,'18_DEBT'!R43-'20_CASH_FLOW'!Q26+'20_CASH_FLOW'!R23),MAX(0,'20_CASH_FLOW'!R22))</f>
        <v>0.0596544113541935</v>
      </c>
      <c r="S25" s="58" t="n">
        <f aca="false">'06_CONSTRUCTION'!S14*MIN(MAX(0,'18_DEBT'!S43-'20_CASH_FLOW'!R26+'20_CASH_FLOW'!S23),MAX(0,'20_CASH_FLOW'!S22))</f>
        <v>0.0608474995812776</v>
      </c>
      <c r="T25" s="58" t="n">
        <f aca="false">'06_CONSTRUCTION'!T14*MIN(MAX(0,'18_DEBT'!T43-'20_CASH_FLOW'!S26+'20_CASH_FLOW'!T23),MAX(0,'20_CASH_FLOW'!T22))</f>
        <v>0.0620644495729055</v>
      </c>
      <c r="U25" s="58" t="n">
        <f aca="false">'06_CONSTRUCTION'!U14*MIN(MAX(0,'18_DEBT'!U43-'20_CASH_FLOW'!T26+'20_CASH_FLOW'!U23),MAX(0,'20_CASH_FLOW'!U22))</f>
        <v>0.0633057385643667</v>
      </c>
      <c r="V25" s="58" t="n">
        <f aca="false">'06_CONSTRUCTION'!V14*MIN(MAX(0,'18_DEBT'!V43-'20_CASH_FLOW'!U26+'20_CASH_FLOW'!V23),MAX(0,'20_CASH_FLOW'!V22))</f>
        <v>0.0645718533355133</v>
      </c>
      <c r="W25" s="58" t="n">
        <f aca="false">'06_CONSTRUCTION'!W14*MIN(MAX(0,'18_DEBT'!W43-'20_CASH_FLOW'!V26+'20_CASH_FLOW'!W23),MAX(0,'20_CASH_FLOW'!W22))</f>
        <v>0</v>
      </c>
      <c r="X25" s="58" t="n">
        <f aca="false">'06_CONSTRUCTION'!X14*MIN(MAX(0,'18_DEBT'!X43-'20_CASH_FLOW'!W26+'20_CASH_FLOW'!X23),MAX(0,'20_CASH_FLOW'!X22))</f>
        <v>0</v>
      </c>
      <c r="Y25" s="58" t="n">
        <f aca="false">'06_CONSTRUCTION'!Y14*MIN(MAX(0,'18_DEBT'!Y43-'20_CASH_FLOW'!X26+'20_CASH_FLOW'!Y23),MAX(0,'20_CASH_FLOW'!Y22))</f>
        <v>0</v>
      </c>
      <c r="Z25" s="58" t="n">
        <f aca="false">'06_CONSTRUCTION'!Z14*MIN(MAX(0,'18_DEBT'!Z43-'20_CASH_FLOW'!Y26+'20_CASH_FLOW'!Z23),MAX(0,'20_CASH_FLOW'!Z22))</f>
        <v>0</v>
      </c>
      <c r="AA25" s="58" t="n">
        <f aca="false">'06_CONSTRUCTION'!AA14*MIN(MAX(0,'18_DEBT'!AA43-'20_CASH_FLOW'!Z26+'20_CASH_FLOW'!AA23),MAX(0,'20_CASH_FLOW'!AA22))</f>
        <v>0</v>
      </c>
      <c r="AB25" s="58" t="n">
        <f aca="false">'06_CONSTRUCTION'!AB14*MIN(MAX(0,'18_DEBT'!AB43-'20_CASH_FLOW'!AA26+'20_CASH_FLOW'!AB23),MAX(0,'20_CASH_FLOW'!AB22))</f>
        <v>0</v>
      </c>
      <c r="AC25" s="58" t="n">
        <f aca="false">'06_CONSTRUCTION'!AC14*MIN(MAX(0,'18_DEBT'!AC43-'20_CASH_FLOW'!AB26+'20_CASH_FLOW'!AC23),MAX(0,'20_CASH_FLOW'!AC22))</f>
        <v>0</v>
      </c>
      <c r="AD25" s="58" t="n">
        <f aca="false">'06_CONSTRUCTION'!AD14*MIN(MAX(0,'18_DEBT'!AD43-'20_CASH_FLOW'!AC26+'20_CASH_FLOW'!AD23),MAX(0,'20_CASH_FLOW'!AD22))</f>
        <v>0</v>
      </c>
      <c r="AE25" s="58" t="n">
        <f aca="false">'06_CONSTRUCTION'!AE14*MIN(MAX(0,'18_DEBT'!AE43-'20_CASH_FLOW'!AD26+'20_CASH_FLOW'!AE23),MAX(0,'20_CASH_FLOW'!AE22))</f>
        <v>0</v>
      </c>
      <c r="AF25" s="58" t="n">
        <f aca="false">'06_CONSTRUCTION'!AF14*MIN(MAX(0,'18_DEBT'!AF43-'20_CASH_FLOW'!AE26+'20_CASH_FLOW'!AF23),MAX(0,'20_CASH_FLOW'!AF22))</f>
        <v>0</v>
      </c>
      <c r="AG25" s="58" t="n">
        <f aca="false">'06_CONSTRUCTION'!AG14*MIN(MAX(0,'18_DEBT'!AG43-'20_CASH_FLOW'!AF26+'20_CASH_FLOW'!AG23),MAX(0,'20_CASH_FLOW'!AG22))</f>
        <v>0</v>
      </c>
      <c r="AH25" s="58" t="n">
        <f aca="false">'06_CONSTRUCTION'!AH14*MIN(MAX(0,'18_DEBT'!AH43-'20_CASH_FLOW'!AG26+'20_CASH_FLOW'!AH23),MAX(0,'20_CASH_FLOW'!AH22))</f>
        <v>0</v>
      </c>
      <c r="AI25" s="58" t="n">
        <f aca="false">'06_CONSTRUCTION'!AI14*MIN(MAX(0,'18_DEBT'!AI43-'20_CASH_FLOW'!AH26+'20_CASH_FLOW'!AI23),MAX(0,'20_CASH_FLOW'!AI22))</f>
        <v>0</v>
      </c>
      <c r="AJ25" s="58" t="n">
        <f aca="false">'06_CONSTRUCTION'!AJ14*MIN(MAX(0,'18_DEBT'!AJ43-'20_CASH_FLOW'!AI26+'20_CASH_FLOW'!AJ23),MAX(0,'20_CASH_FLOW'!AJ22))</f>
        <v>0</v>
      </c>
      <c r="AK25" s="58" t="n">
        <f aca="false">'06_CONSTRUCTION'!AK14*MIN(MAX(0,'18_DEBT'!AK43-'20_CASH_FLOW'!AJ26+'20_CASH_FLOW'!AK23),MAX(0,'20_CASH_FLOW'!AK22))</f>
        <v>0</v>
      </c>
      <c r="AL25" s="58" t="n">
        <f aca="false">'06_CONSTRUCTION'!AL14*MIN(MAX(0,'18_DEBT'!AL43-'20_CASH_FLOW'!AK26+'20_CASH_FLOW'!AL23),MAX(0,'20_CASH_FLOW'!AL22))</f>
        <v>0</v>
      </c>
      <c r="AM25" s="58" t="n">
        <f aca="false">'06_CONSTRUCTION'!AM14*MIN(MAX(0,'18_DEBT'!AM43-'20_CASH_FLOW'!AL26+'20_CASH_FLOW'!AM23),MAX(0,'20_CASH_FLOW'!AM22))</f>
        <v>0</v>
      </c>
      <c r="AN25" s="58" t="n">
        <f aca="false">'06_CONSTRUCTION'!AN14*MIN(MAX(0,'18_DEBT'!AN43-'20_CASH_FLOW'!AM26+'20_CASH_FLOW'!AN23),MAX(0,'20_CASH_FLOW'!AN22))</f>
        <v>0</v>
      </c>
      <c r="AO25" s="58" t="n">
        <f aca="false">'06_CONSTRUCTION'!AO14*MIN(MAX(0,'18_DEBT'!AO43-'20_CASH_FLOW'!AN26+'20_CASH_FLOW'!AO23),MAX(0,'20_CASH_FLOW'!AO22))</f>
        <v>0</v>
      </c>
      <c r="AP25" s="58" t="n">
        <f aca="false">'06_CONSTRUCTION'!AP14*MIN(MAX(0,'18_DEBT'!AP43-'20_CASH_FLOW'!AO26+'20_CASH_FLOW'!AP23),MAX(0,'20_CASH_FLOW'!AP22))</f>
        <v>0</v>
      </c>
      <c r="AQ25" s="58" t="n">
        <f aca="false">'06_CONSTRUCTION'!AQ14*MIN(MAX(0,'18_DEBT'!AQ43-'20_CASH_FLOW'!AP26+'20_CASH_FLOW'!AQ23),MAX(0,'20_CASH_FLOW'!AQ22))</f>
        <v>0</v>
      </c>
      <c r="AR25" s="58" t="n">
        <f aca="false">'06_CONSTRUCTION'!AR14*MIN(MAX(0,'18_DEBT'!AR43-'20_CASH_FLOW'!AQ26+'20_CASH_FLOW'!AR23),MAX(0,'20_CASH_FLOW'!AR22))</f>
        <v>0</v>
      </c>
    </row>
    <row r="26" customFormat="false" ht="15" hidden="false" customHeight="true" outlineLevel="0" collapsed="false">
      <c r="A26" s="23" t="s">
        <v>929</v>
      </c>
      <c r="B26" s="23" t="s">
        <v>121</v>
      </c>
      <c r="E26" s="58" t="n">
        <f aca="false">'20_CASH_FLOW'!D26+'18_DEBT'!E44-'20_CASH_FLOW'!E23-'20_CASH_FLOW'!E24+'20_CASH_FLOW'!E25</f>
        <v>0</v>
      </c>
      <c r="F26" s="58" t="n">
        <f aca="false">'20_CASH_FLOW'!E26+'18_DEBT'!F44-'20_CASH_FLOW'!F23-'20_CASH_FLOW'!F24+'20_CASH_FLOW'!F25</f>
        <v>0</v>
      </c>
      <c r="G26" s="58" t="n">
        <f aca="false">'20_CASH_FLOW'!F26+'18_DEBT'!G44-'20_CASH_FLOW'!G23-'20_CASH_FLOW'!G24+'20_CASH_FLOW'!G25</f>
        <v>7.31439332890833</v>
      </c>
      <c r="H26" s="58" t="n">
        <f aca="false">'20_CASH_FLOW'!G26+'18_DEBT'!H44-'20_CASH_FLOW'!H23-'20_CASH_FLOW'!H24+'20_CASH_FLOW'!H25</f>
        <v>9.03624053517013</v>
      </c>
      <c r="I26" s="58" t="n">
        <f aca="false">'20_CASH_FLOW'!H26+'18_DEBT'!I44-'20_CASH_FLOW'!I23-'20_CASH_FLOW'!I24+'20_CASH_FLOW'!I25</f>
        <v>9.10754931064607</v>
      </c>
      <c r="J26" s="58" t="n">
        <f aca="false">'20_CASH_FLOW'!I26+'18_DEBT'!J44-'20_CASH_FLOW'!J23-'20_CASH_FLOW'!J24+'20_CASH_FLOW'!J25</f>
        <v>9.18028426163152</v>
      </c>
      <c r="K26" s="58" t="n">
        <f aca="false">'20_CASH_FLOW'!J26+'18_DEBT'!K44-'20_CASH_FLOW'!K23-'20_CASH_FLOW'!K24+'20_CASH_FLOW'!K25</f>
        <v>9.25447391163668</v>
      </c>
      <c r="L26" s="58" t="n">
        <f aca="false">'20_CASH_FLOW'!K26+'18_DEBT'!L44-'20_CASH_FLOW'!L23-'20_CASH_FLOW'!L24+'20_CASH_FLOW'!L25</f>
        <v>7.55426284012873</v>
      </c>
      <c r="M26" s="58" t="n">
        <f aca="false">'20_CASH_FLOW'!L26+'18_DEBT'!M44-'20_CASH_FLOW'!M23-'20_CASH_FLOW'!M24+'20_CASH_FLOW'!M25</f>
        <v>7.60829367843449</v>
      </c>
      <c r="N26" s="58" t="n">
        <f aca="false">'20_CASH_FLOW'!M26+'18_DEBT'!N44-'20_CASH_FLOW'!N23-'20_CASH_FLOW'!N24+'20_CASH_FLOW'!N25</f>
        <v>7.66340513350637</v>
      </c>
      <c r="O26" s="58" t="n">
        <f aca="false">'20_CASH_FLOW'!N26+'18_DEBT'!O44-'20_CASH_FLOW'!O23-'20_CASH_FLOW'!O24+'20_CASH_FLOW'!O25</f>
        <v>7.71961881767968</v>
      </c>
      <c r="P26" s="58" t="n">
        <f aca="false">'20_CASH_FLOW'!O26+'18_DEBT'!P44-'20_CASH_FLOW'!P23-'20_CASH_FLOW'!P24+'20_CASH_FLOW'!P25</f>
        <v>7.77695677553647</v>
      </c>
      <c r="Q26" s="58" t="n">
        <f aca="false">'20_CASH_FLOW'!P26+'18_DEBT'!Q44-'20_CASH_FLOW'!Q23-'20_CASH_FLOW'!Q24+'20_CASH_FLOW'!Q25</f>
        <v>7.83544149255038</v>
      </c>
      <c r="R26" s="58" t="n">
        <f aca="false">'20_CASH_FLOW'!Q26+'18_DEBT'!R44-'20_CASH_FLOW'!R23-'20_CASH_FLOW'!R24+'20_CASH_FLOW'!R25</f>
        <v>7.89509590390457</v>
      </c>
      <c r="S26" s="58" t="n">
        <f aca="false">'20_CASH_FLOW'!R26+'18_DEBT'!S44-'20_CASH_FLOW'!S23-'20_CASH_FLOW'!S24+'20_CASH_FLOW'!S25</f>
        <v>7.95594340348585</v>
      </c>
      <c r="T26" s="58" t="n">
        <f aca="false">'20_CASH_FLOW'!S26+'18_DEBT'!T44-'20_CASH_FLOW'!T23-'20_CASH_FLOW'!T24+'20_CASH_FLOW'!T25</f>
        <v>8.01800785305876</v>
      </c>
      <c r="U26" s="58" t="n">
        <f aca="false">'20_CASH_FLOW'!T26+'18_DEBT'!U44-'20_CASH_FLOW'!U23-'20_CASH_FLOW'!U24+'20_CASH_FLOW'!U25</f>
        <v>8.08131359162312</v>
      </c>
      <c r="V26" s="58" t="n">
        <f aca="false">'20_CASH_FLOW'!U26+'18_DEBT'!V44-'20_CASH_FLOW'!V23-'20_CASH_FLOW'!V24+'20_CASH_FLOW'!V25</f>
        <v>8.14588544495864</v>
      </c>
      <c r="W26" s="58" t="n">
        <f aca="false">'20_CASH_FLOW'!V26+'18_DEBT'!W44-'20_CASH_FLOW'!W23-'20_CASH_FLOW'!W24+'20_CASH_FLOW'!W25</f>
        <v>0</v>
      </c>
      <c r="X26" s="58" t="n">
        <f aca="false">'20_CASH_FLOW'!W26+'18_DEBT'!X44-'20_CASH_FLOW'!X23-'20_CASH_FLOW'!X24+'20_CASH_FLOW'!X25</f>
        <v>0</v>
      </c>
      <c r="Y26" s="58" t="n">
        <f aca="false">'20_CASH_FLOW'!X26+'18_DEBT'!Y44-'20_CASH_FLOW'!Y23-'20_CASH_FLOW'!Y24+'20_CASH_FLOW'!Y25</f>
        <v>0</v>
      </c>
      <c r="Z26" s="58" t="n">
        <f aca="false">'20_CASH_FLOW'!Y26+'18_DEBT'!Z44-'20_CASH_FLOW'!Z23-'20_CASH_FLOW'!Z24+'20_CASH_FLOW'!Z25</f>
        <v>0</v>
      </c>
      <c r="AA26" s="58" t="n">
        <f aca="false">'20_CASH_FLOW'!Z26+'18_DEBT'!AA44-'20_CASH_FLOW'!AA23-'20_CASH_FLOW'!AA24+'20_CASH_FLOW'!AA25</f>
        <v>0</v>
      </c>
      <c r="AB26" s="58" t="n">
        <f aca="false">'20_CASH_FLOW'!AA26+'18_DEBT'!AB44-'20_CASH_FLOW'!AB23-'20_CASH_FLOW'!AB24+'20_CASH_FLOW'!AB25</f>
        <v>0</v>
      </c>
      <c r="AC26" s="58" t="n">
        <f aca="false">'20_CASH_FLOW'!AB26+'18_DEBT'!AC44-'20_CASH_FLOW'!AC23-'20_CASH_FLOW'!AC24+'20_CASH_FLOW'!AC25</f>
        <v>0</v>
      </c>
      <c r="AD26" s="58" t="n">
        <f aca="false">'20_CASH_FLOW'!AC26+'18_DEBT'!AD44-'20_CASH_FLOW'!AD23-'20_CASH_FLOW'!AD24+'20_CASH_FLOW'!AD25</f>
        <v>0</v>
      </c>
      <c r="AE26" s="58" t="n">
        <f aca="false">'20_CASH_FLOW'!AD26+'18_DEBT'!AE44-'20_CASH_FLOW'!AE23-'20_CASH_FLOW'!AE24+'20_CASH_FLOW'!AE25</f>
        <v>0</v>
      </c>
      <c r="AF26" s="58" t="n">
        <f aca="false">'20_CASH_FLOW'!AE26+'18_DEBT'!AF44-'20_CASH_FLOW'!AF23-'20_CASH_FLOW'!AF24+'20_CASH_FLOW'!AF25</f>
        <v>0</v>
      </c>
      <c r="AG26" s="58" t="n">
        <f aca="false">'20_CASH_FLOW'!AF26+'18_DEBT'!AG44-'20_CASH_FLOW'!AG23-'20_CASH_FLOW'!AG24+'20_CASH_FLOW'!AG25</f>
        <v>0</v>
      </c>
      <c r="AH26" s="58" t="n">
        <f aca="false">'20_CASH_FLOW'!AG26+'18_DEBT'!AH44-'20_CASH_FLOW'!AH23-'20_CASH_FLOW'!AH24+'20_CASH_FLOW'!AH25</f>
        <v>0</v>
      </c>
      <c r="AI26" s="58" t="n">
        <f aca="false">'20_CASH_FLOW'!AH26+'18_DEBT'!AI44-'20_CASH_FLOW'!AI23-'20_CASH_FLOW'!AI24+'20_CASH_FLOW'!AI25</f>
        <v>0</v>
      </c>
      <c r="AJ26" s="58" t="n">
        <f aca="false">'20_CASH_FLOW'!AI26+'18_DEBT'!AJ44-'20_CASH_FLOW'!AJ23-'20_CASH_FLOW'!AJ24+'20_CASH_FLOW'!AJ25</f>
        <v>0</v>
      </c>
      <c r="AK26" s="58" t="n">
        <f aca="false">'20_CASH_FLOW'!AJ26+'18_DEBT'!AK44-'20_CASH_FLOW'!AK23-'20_CASH_FLOW'!AK24+'20_CASH_FLOW'!AK25</f>
        <v>0</v>
      </c>
      <c r="AL26" s="58" t="n">
        <f aca="false">'20_CASH_FLOW'!AK26+'18_DEBT'!AL44-'20_CASH_FLOW'!AL23-'20_CASH_FLOW'!AL24+'20_CASH_FLOW'!AL25</f>
        <v>0</v>
      </c>
      <c r="AM26" s="58" t="n">
        <f aca="false">'20_CASH_FLOW'!AL26+'18_DEBT'!AM44-'20_CASH_FLOW'!AM23-'20_CASH_FLOW'!AM24+'20_CASH_FLOW'!AM25</f>
        <v>0</v>
      </c>
      <c r="AN26" s="58" t="n">
        <f aca="false">'20_CASH_FLOW'!AM26+'18_DEBT'!AN44-'20_CASH_FLOW'!AN23-'20_CASH_FLOW'!AN24+'20_CASH_FLOW'!AN25</f>
        <v>0</v>
      </c>
      <c r="AO26" s="58" t="n">
        <f aca="false">'20_CASH_FLOW'!AN26+'18_DEBT'!AO44-'20_CASH_FLOW'!AO23-'20_CASH_FLOW'!AO24+'20_CASH_FLOW'!AO25</f>
        <v>0</v>
      </c>
      <c r="AP26" s="58" t="n">
        <f aca="false">'20_CASH_FLOW'!AO26+'18_DEBT'!AP44-'20_CASH_FLOW'!AP23-'20_CASH_FLOW'!AP24+'20_CASH_FLOW'!AP25</f>
        <v>0</v>
      </c>
      <c r="AQ26" s="58" t="n">
        <f aca="false">'20_CASH_FLOW'!AP26+'18_DEBT'!AQ44-'20_CASH_FLOW'!AQ23-'20_CASH_FLOW'!AQ24+'20_CASH_FLOW'!AQ25</f>
        <v>0</v>
      </c>
      <c r="AR26" s="58" t="n">
        <f aca="false">'20_CASH_FLOW'!AQ26+'18_DEBT'!AR44-'20_CASH_FLOW'!AR23-'20_CASH_FLOW'!AR24+'20_CASH_FLOW'!AR25</f>
        <v>0</v>
      </c>
    </row>
    <row r="27" customFormat="false" ht="15" hidden="false" customHeight="true" outlineLevel="0" collapsed="false">
      <c r="A27" s="23" t="s">
        <v>930</v>
      </c>
      <c r="B27" s="23" t="s">
        <v>121</v>
      </c>
      <c r="C27" s="58" t="n">
        <f aca="false">SUM('20_CASH_FLOW'!$E$27:$AR$27)</f>
        <v>7.31439332890833</v>
      </c>
      <c r="E27" s="58" t="n">
        <f aca="false">'20_CASH_FLOW'!E23+'20_CASH_FLOW'!E24-'20_CASH_FLOW'!E25</f>
        <v>0</v>
      </c>
      <c r="F27" s="58" t="n">
        <f aca="false">'20_CASH_FLOW'!F23+'20_CASH_FLOW'!F24-'20_CASH_FLOW'!F25</f>
        <v>0</v>
      </c>
      <c r="G27" s="58" t="n">
        <f aca="false">'20_CASH_FLOW'!G23+'20_CASH_FLOW'!G24-'20_CASH_FLOW'!G25</f>
        <v>0</v>
      </c>
      <c r="H27" s="58" t="n">
        <f aca="false">'20_CASH_FLOW'!H23+'20_CASH_FLOW'!H24-'20_CASH_FLOW'!H25</f>
        <v>-1.7218472062618</v>
      </c>
      <c r="I27" s="58" t="n">
        <f aca="false">'20_CASH_FLOW'!I23+'20_CASH_FLOW'!I24-'20_CASH_FLOW'!I25</f>
        <v>-0.0713087754759378</v>
      </c>
      <c r="J27" s="58" t="n">
        <f aca="false">'20_CASH_FLOW'!J23+'20_CASH_FLOW'!J24-'20_CASH_FLOW'!J25</f>
        <v>-0.072734950985458</v>
      </c>
      <c r="K27" s="58" t="n">
        <f aca="false">'20_CASH_FLOW'!K23+'20_CASH_FLOW'!K24-'20_CASH_FLOW'!K25</f>
        <v>-0.0741896500051595</v>
      </c>
      <c r="L27" s="58" t="n">
        <f aca="false">'20_CASH_FLOW'!L23+'20_CASH_FLOW'!L24-'20_CASH_FLOW'!L25</f>
        <v>1.70021107150795</v>
      </c>
      <c r="M27" s="58" t="n">
        <f aca="false">'20_CASH_FLOW'!M23+'20_CASH_FLOW'!M24-'20_CASH_FLOW'!M25</f>
        <v>-0.0540308383057608</v>
      </c>
      <c r="N27" s="58" t="n">
        <f aca="false">'20_CASH_FLOW'!N23+'20_CASH_FLOW'!N24-'20_CASH_FLOW'!N25</f>
        <v>-0.0551114550718754</v>
      </c>
      <c r="O27" s="58" t="n">
        <f aca="false">'20_CASH_FLOW'!O23+'20_CASH_FLOW'!O24-'20_CASH_FLOW'!O25</f>
        <v>-0.0562136841733159</v>
      </c>
      <c r="P27" s="58" t="n">
        <f aca="false">'20_CASH_FLOW'!P23+'20_CASH_FLOW'!P24-'20_CASH_FLOW'!P25</f>
        <v>-0.0573379578567828</v>
      </c>
      <c r="Q27" s="58" t="n">
        <f aca="false">'20_CASH_FLOW'!Q23+'20_CASH_FLOW'!Q24-'20_CASH_FLOW'!Q25</f>
        <v>-0.0584847170139131</v>
      </c>
      <c r="R27" s="58" t="n">
        <f aca="false">'20_CASH_FLOW'!R23+'20_CASH_FLOW'!R24-'20_CASH_FLOW'!R25</f>
        <v>-0.0596544113541935</v>
      </c>
      <c r="S27" s="58" t="n">
        <f aca="false">'20_CASH_FLOW'!S23+'20_CASH_FLOW'!S24-'20_CASH_FLOW'!S25</f>
        <v>-0.0608474995812776</v>
      </c>
      <c r="T27" s="58" t="n">
        <f aca="false">'20_CASH_FLOW'!T23+'20_CASH_FLOW'!T24-'20_CASH_FLOW'!T25</f>
        <v>-0.0620644495729055</v>
      </c>
      <c r="U27" s="58" t="n">
        <f aca="false">'20_CASH_FLOW'!U23+'20_CASH_FLOW'!U24-'20_CASH_FLOW'!U25</f>
        <v>-0.0633057385643667</v>
      </c>
      <c r="V27" s="58" t="n">
        <f aca="false">'20_CASH_FLOW'!V23+'20_CASH_FLOW'!V24-'20_CASH_FLOW'!V25</f>
        <v>-0.0645718533355133</v>
      </c>
      <c r="W27" s="58" t="n">
        <f aca="false">'20_CASH_FLOW'!W23+'20_CASH_FLOW'!W24-'20_CASH_FLOW'!W25</f>
        <v>8.14588544495864</v>
      </c>
      <c r="X27" s="58" t="n">
        <f aca="false">'20_CASH_FLOW'!X23+'20_CASH_FLOW'!X24-'20_CASH_FLOW'!X25</f>
        <v>0</v>
      </c>
      <c r="Y27" s="58" t="n">
        <f aca="false">'20_CASH_FLOW'!Y23+'20_CASH_FLOW'!Y24-'20_CASH_FLOW'!Y25</f>
        <v>0</v>
      </c>
      <c r="Z27" s="58" t="n">
        <f aca="false">'20_CASH_FLOW'!Z23+'20_CASH_FLOW'!Z24-'20_CASH_FLOW'!Z25</f>
        <v>0</v>
      </c>
      <c r="AA27" s="58" t="n">
        <f aca="false">'20_CASH_FLOW'!AA23+'20_CASH_FLOW'!AA24-'20_CASH_FLOW'!AA25</f>
        <v>0</v>
      </c>
      <c r="AB27" s="58" t="n">
        <f aca="false">'20_CASH_FLOW'!AB23+'20_CASH_FLOW'!AB24-'20_CASH_FLOW'!AB25</f>
        <v>0</v>
      </c>
      <c r="AC27" s="58" t="n">
        <f aca="false">'20_CASH_FLOW'!AC23+'20_CASH_FLOW'!AC24-'20_CASH_FLOW'!AC25</f>
        <v>0</v>
      </c>
      <c r="AD27" s="58" t="n">
        <f aca="false">'20_CASH_FLOW'!AD23+'20_CASH_FLOW'!AD24-'20_CASH_FLOW'!AD25</f>
        <v>0</v>
      </c>
      <c r="AE27" s="58" t="n">
        <f aca="false">'20_CASH_FLOW'!AE23+'20_CASH_FLOW'!AE24-'20_CASH_FLOW'!AE25</f>
        <v>0</v>
      </c>
      <c r="AF27" s="58" t="n">
        <f aca="false">'20_CASH_FLOW'!AF23+'20_CASH_FLOW'!AF24-'20_CASH_FLOW'!AF25</f>
        <v>0</v>
      </c>
      <c r="AG27" s="58" t="n">
        <f aca="false">'20_CASH_FLOW'!AG23+'20_CASH_FLOW'!AG24-'20_CASH_FLOW'!AG25</f>
        <v>0</v>
      </c>
      <c r="AH27" s="58" t="n">
        <f aca="false">'20_CASH_FLOW'!AH23+'20_CASH_FLOW'!AH24-'20_CASH_FLOW'!AH25</f>
        <v>0</v>
      </c>
      <c r="AI27" s="58" t="n">
        <f aca="false">'20_CASH_FLOW'!AI23+'20_CASH_FLOW'!AI24-'20_CASH_FLOW'!AI25</f>
        <v>0</v>
      </c>
      <c r="AJ27" s="58" t="n">
        <f aca="false">'20_CASH_FLOW'!AJ23+'20_CASH_FLOW'!AJ24-'20_CASH_FLOW'!AJ25</f>
        <v>0</v>
      </c>
      <c r="AK27" s="58" t="n">
        <f aca="false">'20_CASH_FLOW'!AK23+'20_CASH_FLOW'!AK24-'20_CASH_FLOW'!AK25</f>
        <v>0</v>
      </c>
      <c r="AL27" s="58" t="n">
        <f aca="false">'20_CASH_FLOW'!AL23+'20_CASH_FLOW'!AL24-'20_CASH_FLOW'!AL25</f>
        <v>0</v>
      </c>
      <c r="AM27" s="58" t="n">
        <f aca="false">'20_CASH_FLOW'!AM23+'20_CASH_FLOW'!AM24-'20_CASH_FLOW'!AM25</f>
        <v>0</v>
      </c>
      <c r="AN27" s="58" t="n">
        <f aca="false">'20_CASH_FLOW'!AN23+'20_CASH_FLOW'!AN24-'20_CASH_FLOW'!AN25</f>
        <v>0</v>
      </c>
      <c r="AO27" s="58" t="n">
        <f aca="false">'20_CASH_FLOW'!AO23+'20_CASH_FLOW'!AO24-'20_CASH_FLOW'!AO25</f>
        <v>0</v>
      </c>
      <c r="AP27" s="58" t="n">
        <f aca="false">'20_CASH_FLOW'!AP23+'20_CASH_FLOW'!AP24-'20_CASH_FLOW'!AP25</f>
        <v>0</v>
      </c>
      <c r="AQ27" s="58" t="n">
        <f aca="false">'20_CASH_FLOW'!AQ23+'20_CASH_FLOW'!AQ24-'20_CASH_FLOW'!AQ25</f>
        <v>0</v>
      </c>
      <c r="AR27" s="58" t="n">
        <f aca="false">'20_CASH_FLOW'!AR23+'20_CASH_FLOW'!AR24-'20_CASH_FLOW'!AR25</f>
        <v>0</v>
      </c>
    </row>
    <row r="28" customFormat="false" ht="15" hidden="false" customHeight="true" outlineLevel="0" collapsed="false">
      <c r="A28" s="23" t="s">
        <v>931</v>
      </c>
      <c r="B28" s="23" t="s">
        <v>121</v>
      </c>
      <c r="C28" s="58" t="n">
        <f aca="false">SUM('20_CASH_FLOW'!$E$28:$AR$28)</f>
        <v>382.188688877176</v>
      </c>
      <c r="E28" s="58" t="n">
        <f aca="false">'20_CASH_FLOW'!E19+'20_CASH_FLOW'!E20+'20_CASH_FLOW'!E27</f>
        <v>0</v>
      </c>
      <c r="F28" s="58" t="n">
        <f aca="false">'20_CASH_FLOW'!F19+'20_CASH_FLOW'!F20+'20_CASH_FLOW'!F27</f>
        <v>0</v>
      </c>
      <c r="G28" s="58" t="n">
        <f aca="false">'20_CASH_FLOW'!G19+'20_CASH_FLOW'!G20+'20_CASH_FLOW'!G27</f>
        <v>0</v>
      </c>
      <c r="H28" s="58" t="n">
        <f aca="false">'20_CASH_FLOW'!H19+'20_CASH_FLOW'!H20+'20_CASH_FLOW'!H27</f>
        <v>6.07974450455133</v>
      </c>
      <c r="I28" s="58" t="n">
        <f aca="false">'20_CASH_FLOW'!I19+'20_CASH_FLOW'!I20+'20_CASH_FLOW'!I27</f>
        <v>9.45661660773896</v>
      </c>
      <c r="J28" s="58" t="n">
        <f aca="false">'20_CASH_FLOW'!J19+'20_CASH_FLOW'!J20+'20_CASH_FLOW'!J27</f>
        <v>9.53700186694667</v>
      </c>
      <c r="K28" s="58" t="n">
        <f aca="false">'20_CASH_FLOW'!K19+'20_CASH_FLOW'!K20+'20_CASH_FLOW'!K27</f>
        <v>9.61899483133852</v>
      </c>
      <c r="L28" s="58" t="n">
        <f aca="false">'20_CASH_FLOW'!L19+'20_CASH_FLOW'!L20+'20_CASH_FLOW'!L27</f>
        <v>11.4785121695314</v>
      </c>
      <c r="M28" s="58" t="n">
        <f aca="false">'20_CASH_FLOW'!M19+'20_CASH_FLOW'!M20+'20_CASH_FLOW'!M27</f>
        <v>10.5915374247141</v>
      </c>
      <c r="N28" s="58" t="n">
        <f aca="false">'20_CASH_FLOW'!N19+'20_CASH_FLOW'!N20+'20_CASH_FLOW'!N27</f>
        <v>10.503569979623</v>
      </c>
      <c r="O28" s="58" t="n">
        <f aca="false">'20_CASH_FLOW'!O19+'20_CASH_FLOW'!O20+'20_CASH_FLOW'!O27</f>
        <v>10.4023171719161</v>
      </c>
      <c r="P28" s="58" t="n">
        <f aca="false">'20_CASH_FLOW'!P19+'20_CASH_FLOW'!P20+'20_CASH_FLOW'!P27</f>
        <v>10.2865912132441</v>
      </c>
      <c r="Q28" s="58" t="n">
        <f aca="false">'20_CASH_FLOW'!Q19+'20_CASH_FLOW'!Q20+'20_CASH_FLOW'!Q27</f>
        <v>10.1551067930028</v>
      </c>
      <c r="R28" s="58" t="n">
        <f aca="false">'20_CASH_FLOW'!R19+'20_CASH_FLOW'!R20+'20_CASH_FLOW'!R27</f>
        <v>10.006473226569</v>
      </c>
      <c r="S28" s="58" t="n">
        <f aca="false">'20_CASH_FLOW'!S19+'20_CASH_FLOW'!S20+'20_CASH_FLOW'!S27</f>
        <v>9.83918597439599</v>
      </c>
      <c r="T28" s="58" t="n">
        <f aca="false">'20_CASH_FLOW'!T19+'20_CASH_FLOW'!T20+'20_CASH_FLOW'!T27</f>
        <v>9.65161748161608</v>
      </c>
      <c r="U28" s="58" t="n">
        <f aca="false">'20_CASH_FLOW'!U19+'20_CASH_FLOW'!U20+'20_CASH_FLOW'!U27</f>
        <v>9.44200728377207</v>
      </c>
      <c r="V28" s="58" t="n">
        <f aca="false">'20_CASH_FLOW'!V19+'20_CASH_FLOW'!V20+'20_CASH_FLOW'!V27</f>
        <v>9.20845131994613</v>
      </c>
      <c r="W28" s="58" t="n">
        <f aca="false">'20_CASH_FLOW'!W19+'20_CASH_FLOW'!W20+'20_CASH_FLOW'!W27</f>
        <v>17.1606391252175</v>
      </c>
      <c r="X28" s="58" t="n">
        <f aca="false">'20_CASH_FLOW'!X19+'20_CASH_FLOW'!X20+'20_CASH_FLOW'!X27</f>
        <v>25.1517757133511</v>
      </c>
      <c r="Y28" s="58" t="n">
        <f aca="false">'20_CASH_FLOW'!Y19+'20_CASH_FLOW'!Y20+'20_CASH_FLOW'!Y27</f>
        <v>25.3632120195611</v>
      </c>
      <c r="Z28" s="58" t="n">
        <f aca="false">'20_CASH_FLOW'!Z19+'20_CASH_FLOW'!Z20+'20_CASH_FLOW'!Z27</f>
        <v>25.5788770518952</v>
      </c>
      <c r="AA28" s="58" t="n">
        <f aca="false">'20_CASH_FLOW'!AA19+'20_CASH_FLOW'!AA20+'20_CASH_FLOW'!AA27</f>
        <v>25.7988553848761</v>
      </c>
      <c r="AB28" s="58" t="n">
        <f aca="false">'20_CASH_FLOW'!AB19+'20_CASH_FLOW'!AB20+'20_CASH_FLOW'!AB27</f>
        <v>22.908542900734</v>
      </c>
      <c r="AC28" s="58" t="n">
        <f aca="false">'20_CASH_FLOW'!AC19+'20_CASH_FLOW'!AC20+'20_CASH_FLOW'!AC27</f>
        <v>23.1374083583673</v>
      </c>
      <c r="AD28" s="58" t="n">
        <f aca="false">'20_CASH_FLOW'!AD19+'20_CASH_FLOW'!AD20+'20_CASH_FLOW'!AD27</f>
        <v>23.3708511251532</v>
      </c>
      <c r="AE28" s="58" t="n">
        <f aca="false">'20_CASH_FLOW'!AE19+'20_CASH_FLOW'!AE20+'20_CASH_FLOW'!AE27</f>
        <v>23.6089627472749</v>
      </c>
      <c r="AF28" s="58" t="n">
        <f aca="false">'20_CASH_FLOW'!AF19+'20_CASH_FLOW'!AF20+'20_CASH_FLOW'!AF27</f>
        <v>23.851836601839</v>
      </c>
      <c r="AG28" s="58" t="n">
        <f aca="false">'20_CASH_FLOW'!AG19+'20_CASH_FLOW'!AG20+'20_CASH_FLOW'!AG27</f>
        <v>0</v>
      </c>
      <c r="AH28" s="58" t="n">
        <f aca="false">'20_CASH_FLOW'!AH19+'20_CASH_FLOW'!AH20+'20_CASH_FLOW'!AH27</f>
        <v>0</v>
      </c>
      <c r="AI28" s="58" t="n">
        <f aca="false">'20_CASH_FLOW'!AI19+'20_CASH_FLOW'!AI20+'20_CASH_FLOW'!AI27</f>
        <v>0</v>
      </c>
      <c r="AJ28" s="58" t="n">
        <f aca="false">'20_CASH_FLOW'!AJ19+'20_CASH_FLOW'!AJ20+'20_CASH_FLOW'!AJ27</f>
        <v>0</v>
      </c>
      <c r="AK28" s="58" t="n">
        <f aca="false">'20_CASH_FLOW'!AK19+'20_CASH_FLOW'!AK20+'20_CASH_FLOW'!AK27</f>
        <v>0</v>
      </c>
      <c r="AL28" s="58" t="n">
        <f aca="false">'20_CASH_FLOW'!AL19+'20_CASH_FLOW'!AL20+'20_CASH_FLOW'!AL27</f>
        <v>0</v>
      </c>
      <c r="AM28" s="58" t="n">
        <f aca="false">'20_CASH_FLOW'!AM19+'20_CASH_FLOW'!AM20+'20_CASH_FLOW'!AM27</f>
        <v>0</v>
      </c>
      <c r="AN28" s="58" t="n">
        <f aca="false">'20_CASH_FLOW'!AN19+'20_CASH_FLOW'!AN20+'20_CASH_FLOW'!AN27</f>
        <v>0</v>
      </c>
      <c r="AO28" s="58" t="n">
        <f aca="false">'20_CASH_FLOW'!AO19+'20_CASH_FLOW'!AO20+'20_CASH_FLOW'!AO27</f>
        <v>0</v>
      </c>
      <c r="AP28" s="58" t="n">
        <f aca="false">'20_CASH_FLOW'!AP19+'20_CASH_FLOW'!AP20+'20_CASH_FLOW'!AP27</f>
        <v>0</v>
      </c>
      <c r="AQ28" s="58" t="n">
        <f aca="false">'20_CASH_FLOW'!AQ19+'20_CASH_FLOW'!AQ20+'20_CASH_FLOW'!AQ27</f>
        <v>0</v>
      </c>
      <c r="AR28" s="58" t="n">
        <f aca="false">'20_CASH_FLOW'!AR19+'20_CASH_FLOW'!AR20+'20_CASH_FLOW'!AR27</f>
        <v>0</v>
      </c>
    </row>
    <row r="29" customFormat="false" ht="15" hidden="false" customHeight="true" outlineLevel="0" collapsed="false">
      <c r="A29" s="23" t="s">
        <v>932</v>
      </c>
      <c r="B29" s="23" t="s">
        <v>121</v>
      </c>
      <c r="E29" s="58" t="n">
        <f aca="false">'20_CASH_FLOW'!D35</f>
        <v>0</v>
      </c>
      <c r="F29" s="58" t="n">
        <f aca="false">'20_CASH_FLOW'!E35</f>
        <v>0</v>
      </c>
      <c r="G29" s="58" t="n">
        <f aca="false">'20_CASH_FLOW'!F35</f>
        <v>0</v>
      </c>
      <c r="H29" s="58" t="n">
        <f aca="false">'20_CASH_FLOW'!G35</f>
        <v>0</v>
      </c>
      <c r="I29" s="58" t="n">
        <f aca="false">'20_CASH_FLOW'!H35</f>
        <v>0</v>
      </c>
      <c r="J29" s="58" t="n">
        <f aca="false">'20_CASH_FLOW'!I35</f>
        <v>0</v>
      </c>
      <c r="K29" s="58" t="n">
        <f aca="false">'20_CASH_FLOW'!J35</f>
        <v>0</v>
      </c>
      <c r="L29" s="58" t="n">
        <f aca="false">'20_CASH_FLOW'!K35</f>
        <v>0</v>
      </c>
      <c r="M29" s="58" t="n">
        <f aca="false">'20_CASH_FLOW'!L35</f>
        <v>0</v>
      </c>
      <c r="N29" s="58" t="n">
        <f aca="false">'20_CASH_FLOW'!M35</f>
        <v>0</v>
      </c>
      <c r="O29" s="58" t="n">
        <f aca="false">'20_CASH_FLOW'!N35</f>
        <v>0</v>
      </c>
      <c r="P29" s="58" t="n">
        <f aca="false">'20_CASH_FLOW'!O35</f>
        <v>0</v>
      </c>
      <c r="Q29" s="58" t="n">
        <f aca="false">'20_CASH_FLOW'!P35</f>
        <v>0</v>
      </c>
      <c r="R29" s="58" t="n">
        <f aca="false">'20_CASH_FLOW'!Q35</f>
        <v>0</v>
      </c>
      <c r="S29" s="58" t="n">
        <f aca="false">'20_CASH_FLOW'!R35</f>
        <v>0</v>
      </c>
      <c r="T29" s="58" t="n">
        <f aca="false">'20_CASH_FLOW'!S35</f>
        <v>0</v>
      </c>
      <c r="U29" s="58" t="n">
        <f aca="false">'20_CASH_FLOW'!T35</f>
        <v>0</v>
      </c>
      <c r="V29" s="58" t="n">
        <f aca="false">'20_CASH_FLOW'!U35</f>
        <v>0</v>
      </c>
      <c r="W29" s="58" t="n">
        <f aca="false">'20_CASH_FLOW'!V35</f>
        <v>0</v>
      </c>
      <c r="X29" s="58" t="n">
        <f aca="false">'20_CASH_FLOW'!W35</f>
        <v>0</v>
      </c>
      <c r="Y29" s="58" t="n">
        <f aca="false">'20_CASH_FLOW'!X35</f>
        <v>0</v>
      </c>
      <c r="Z29" s="58" t="n">
        <f aca="false">'20_CASH_FLOW'!Y35</f>
        <v>0</v>
      </c>
      <c r="AA29" s="58" t="n">
        <f aca="false">'20_CASH_FLOW'!Z35</f>
        <v>0</v>
      </c>
      <c r="AB29" s="58" t="n">
        <f aca="false">'20_CASH_FLOW'!AA35</f>
        <v>0</v>
      </c>
      <c r="AC29" s="58" t="n">
        <f aca="false">'20_CASH_FLOW'!AB35</f>
        <v>0</v>
      </c>
      <c r="AD29" s="58" t="n">
        <f aca="false">'20_CASH_FLOW'!AC35</f>
        <v>0</v>
      </c>
      <c r="AE29" s="58" t="n">
        <f aca="false">'20_CASH_FLOW'!AD35</f>
        <v>0</v>
      </c>
      <c r="AF29" s="58" t="n">
        <f aca="false">'20_CASH_FLOW'!AE35</f>
        <v>0</v>
      </c>
      <c r="AG29" s="58" t="n">
        <f aca="false">'20_CASH_FLOW'!AF35</f>
        <v>0</v>
      </c>
      <c r="AH29" s="58" t="n">
        <f aca="false">'20_CASH_FLOW'!AG35</f>
        <v>0</v>
      </c>
      <c r="AI29" s="58" t="n">
        <f aca="false">'20_CASH_FLOW'!AH35</f>
        <v>0</v>
      </c>
      <c r="AJ29" s="58" t="n">
        <f aca="false">'20_CASH_FLOW'!AI35</f>
        <v>0</v>
      </c>
      <c r="AK29" s="58" t="n">
        <f aca="false">'20_CASH_FLOW'!AJ35</f>
        <v>0</v>
      </c>
      <c r="AL29" s="58" t="n">
        <f aca="false">'20_CASH_FLOW'!AK35</f>
        <v>0</v>
      </c>
      <c r="AM29" s="58" t="n">
        <f aca="false">'20_CASH_FLOW'!AL35</f>
        <v>0</v>
      </c>
      <c r="AN29" s="58" t="n">
        <f aca="false">'20_CASH_FLOW'!AM35</f>
        <v>0</v>
      </c>
      <c r="AO29" s="58" t="n">
        <f aca="false">'20_CASH_FLOW'!AN35</f>
        <v>0</v>
      </c>
      <c r="AP29" s="58" t="n">
        <f aca="false">'20_CASH_FLOW'!AO35</f>
        <v>0</v>
      </c>
      <c r="AQ29" s="58" t="n">
        <f aca="false">'20_CASH_FLOW'!AP35</f>
        <v>0</v>
      </c>
      <c r="AR29" s="58" t="n">
        <f aca="false">'20_CASH_FLOW'!AQ35</f>
        <v>0</v>
      </c>
    </row>
    <row r="30" customFormat="false" ht="15" hidden="false" customHeight="true" outlineLevel="0" collapsed="false">
      <c r="A30" s="23" t="s">
        <v>933</v>
      </c>
      <c r="B30" s="23" t="s">
        <v>121</v>
      </c>
      <c r="C30" s="58" t="n">
        <f aca="false">SUM('20_CASH_FLOW'!$E$30:$AR$30)</f>
        <v>0</v>
      </c>
      <c r="E30" s="58" t="n">
        <f aca="false">MAX(0,-('20_CASH_FLOW'!E28+'20_CASH_FLOW'!E29))</f>
        <v>-0</v>
      </c>
      <c r="F30" s="58" t="n">
        <f aca="false">MAX(0,-('20_CASH_FLOW'!F28+'20_CASH_FLOW'!F29))</f>
        <v>-0</v>
      </c>
      <c r="G30" s="58" t="n">
        <f aca="false">MAX(0,-('20_CASH_FLOW'!G28+'20_CASH_FLOW'!G29))</f>
        <v>-0</v>
      </c>
      <c r="H30" s="58" t="n">
        <f aca="false">MAX(0,-('20_CASH_FLOW'!H28+'20_CASH_FLOW'!H29))</f>
        <v>0</v>
      </c>
      <c r="I30" s="58" t="n">
        <f aca="false">MAX(0,-('20_CASH_FLOW'!I28+'20_CASH_FLOW'!I29))</f>
        <v>0</v>
      </c>
      <c r="J30" s="58" t="n">
        <f aca="false">MAX(0,-('20_CASH_FLOW'!J28+'20_CASH_FLOW'!J29))</f>
        <v>0</v>
      </c>
      <c r="K30" s="58" t="n">
        <f aca="false">MAX(0,-('20_CASH_FLOW'!K28+'20_CASH_FLOW'!K29))</f>
        <v>0</v>
      </c>
      <c r="L30" s="58" t="n">
        <f aca="false">MAX(0,-('20_CASH_FLOW'!L28+'20_CASH_FLOW'!L29))</f>
        <v>0</v>
      </c>
      <c r="M30" s="58" t="n">
        <f aca="false">MAX(0,-('20_CASH_FLOW'!M28+'20_CASH_FLOW'!M29))</f>
        <v>0</v>
      </c>
      <c r="N30" s="58" t="n">
        <f aca="false">MAX(0,-('20_CASH_FLOW'!N28+'20_CASH_FLOW'!N29))</f>
        <v>0</v>
      </c>
      <c r="O30" s="58" t="n">
        <f aca="false">MAX(0,-('20_CASH_FLOW'!O28+'20_CASH_FLOW'!O29))</f>
        <v>0</v>
      </c>
      <c r="P30" s="58" t="n">
        <f aca="false">MAX(0,-('20_CASH_FLOW'!P28+'20_CASH_FLOW'!P29))</f>
        <v>0</v>
      </c>
      <c r="Q30" s="58" t="n">
        <f aca="false">MAX(0,-('20_CASH_FLOW'!Q28+'20_CASH_FLOW'!Q29))</f>
        <v>0</v>
      </c>
      <c r="R30" s="58" t="n">
        <f aca="false">MAX(0,-('20_CASH_FLOW'!R28+'20_CASH_FLOW'!R29))</f>
        <v>0</v>
      </c>
      <c r="S30" s="58" t="n">
        <f aca="false">MAX(0,-('20_CASH_FLOW'!S28+'20_CASH_FLOW'!S29))</f>
        <v>0</v>
      </c>
      <c r="T30" s="58" t="n">
        <f aca="false">MAX(0,-('20_CASH_FLOW'!T28+'20_CASH_FLOW'!T29))</f>
        <v>0</v>
      </c>
      <c r="U30" s="58" t="n">
        <f aca="false">MAX(0,-('20_CASH_FLOW'!U28+'20_CASH_FLOW'!U29))</f>
        <v>0</v>
      </c>
      <c r="V30" s="58" t="n">
        <f aca="false">MAX(0,-('20_CASH_FLOW'!V28+'20_CASH_FLOW'!V29))</f>
        <v>0</v>
      </c>
      <c r="W30" s="58" t="n">
        <f aca="false">MAX(0,-('20_CASH_FLOW'!W28+'20_CASH_FLOW'!W29))</f>
        <v>0</v>
      </c>
      <c r="X30" s="58" t="n">
        <f aca="false">MAX(0,-('20_CASH_FLOW'!X28+'20_CASH_FLOW'!X29))</f>
        <v>0</v>
      </c>
      <c r="Y30" s="58" t="n">
        <f aca="false">MAX(0,-('20_CASH_FLOW'!Y28+'20_CASH_FLOW'!Y29))</f>
        <v>0</v>
      </c>
      <c r="Z30" s="58" t="n">
        <f aca="false">MAX(0,-('20_CASH_FLOW'!Z28+'20_CASH_FLOW'!Z29))</f>
        <v>0</v>
      </c>
      <c r="AA30" s="58" t="n">
        <f aca="false">MAX(0,-('20_CASH_FLOW'!AA28+'20_CASH_FLOW'!AA29))</f>
        <v>0</v>
      </c>
      <c r="AB30" s="58" t="n">
        <f aca="false">MAX(0,-('20_CASH_FLOW'!AB28+'20_CASH_FLOW'!AB29))</f>
        <v>0</v>
      </c>
      <c r="AC30" s="58" t="n">
        <f aca="false">MAX(0,-('20_CASH_FLOW'!AC28+'20_CASH_FLOW'!AC29))</f>
        <v>0</v>
      </c>
      <c r="AD30" s="58" t="n">
        <f aca="false">MAX(0,-('20_CASH_FLOW'!AD28+'20_CASH_FLOW'!AD29))</f>
        <v>0</v>
      </c>
      <c r="AE30" s="58" t="n">
        <f aca="false">MAX(0,-('20_CASH_FLOW'!AE28+'20_CASH_FLOW'!AE29))</f>
        <v>0</v>
      </c>
      <c r="AF30" s="58" t="n">
        <f aca="false">MAX(0,-('20_CASH_FLOW'!AF28+'20_CASH_FLOW'!AF29))</f>
        <v>0</v>
      </c>
      <c r="AG30" s="58" t="n">
        <f aca="false">MAX(0,-('20_CASH_FLOW'!AG28+'20_CASH_FLOW'!AG29))</f>
        <v>-0</v>
      </c>
      <c r="AH30" s="58" t="n">
        <f aca="false">MAX(0,-('20_CASH_FLOW'!AH28+'20_CASH_FLOW'!AH29))</f>
        <v>-0</v>
      </c>
      <c r="AI30" s="58" t="n">
        <f aca="false">MAX(0,-('20_CASH_FLOW'!AI28+'20_CASH_FLOW'!AI29))</f>
        <v>-0</v>
      </c>
      <c r="AJ30" s="58" t="n">
        <f aca="false">MAX(0,-('20_CASH_FLOW'!AJ28+'20_CASH_FLOW'!AJ29))</f>
        <v>-0</v>
      </c>
      <c r="AK30" s="58" t="n">
        <f aca="false">MAX(0,-('20_CASH_FLOW'!AK28+'20_CASH_FLOW'!AK29))</f>
        <v>-0</v>
      </c>
      <c r="AL30" s="58" t="n">
        <f aca="false">MAX(0,-('20_CASH_FLOW'!AL28+'20_CASH_FLOW'!AL29))</f>
        <v>-0</v>
      </c>
      <c r="AM30" s="58" t="n">
        <f aca="false">MAX(0,-('20_CASH_FLOW'!AM28+'20_CASH_FLOW'!AM29))</f>
        <v>-0</v>
      </c>
      <c r="AN30" s="58" t="n">
        <f aca="false">MAX(0,-('20_CASH_FLOW'!AN28+'20_CASH_FLOW'!AN29))</f>
        <v>-0</v>
      </c>
      <c r="AO30" s="58" t="n">
        <f aca="false">MAX(0,-('20_CASH_FLOW'!AO28+'20_CASH_FLOW'!AO29))</f>
        <v>-0</v>
      </c>
      <c r="AP30" s="58" t="n">
        <f aca="false">MAX(0,-('20_CASH_FLOW'!AP28+'20_CASH_FLOW'!AP29))</f>
        <v>-0</v>
      </c>
      <c r="AQ30" s="58" t="n">
        <f aca="false">MAX(0,-('20_CASH_FLOW'!AQ28+'20_CASH_FLOW'!AQ29))</f>
        <v>-0</v>
      </c>
      <c r="AR30" s="58" t="n">
        <f aca="false">MAX(0,-('20_CASH_FLOW'!AR28+'20_CASH_FLOW'!AR29))</f>
        <v>-0</v>
      </c>
    </row>
    <row r="31" customFormat="false" ht="15" hidden="false" customHeight="true" outlineLevel="0" collapsed="false">
      <c r="A31" s="23" t="s">
        <v>934</v>
      </c>
      <c r="B31" s="23" t="s">
        <v>386</v>
      </c>
      <c r="E31" s="69" t="n">
        <f aca="false">IF('06_CONSTRUCTION'!E14=1,IF('18_DEBT'!E40&gt;0.001,IF('20_CASH_FLOW'!E21&gt;='17A_STRUCTURES'!$C$25,1,0),1),0)</f>
        <v>0</v>
      </c>
      <c r="F31" s="69" t="n">
        <f aca="false">IF('06_CONSTRUCTION'!F14=1,IF('18_DEBT'!F40&gt;0.001,IF('20_CASH_FLOW'!F21&gt;='17A_STRUCTURES'!$C$25,1,0),1),0)</f>
        <v>0</v>
      </c>
      <c r="G31" s="69" t="n">
        <f aca="false">IF('06_CONSTRUCTION'!G14=1,IF('18_DEBT'!G40&gt;0.001,IF('20_CASH_FLOW'!G21&gt;='17A_STRUCTURES'!$C$25,1,0),1),0)</f>
        <v>0</v>
      </c>
      <c r="H31" s="69" t="n">
        <f aca="false">IF('06_CONSTRUCTION'!H14=1,IF('18_DEBT'!H40&gt;0.001,IF('20_CASH_FLOW'!H21&gt;='17A_STRUCTURES'!$C$25,1,0),1),0)</f>
        <v>1</v>
      </c>
      <c r="I31" s="69" t="n">
        <f aca="false">IF('06_CONSTRUCTION'!I14=1,IF('18_DEBT'!I40&gt;0.001,IF('20_CASH_FLOW'!I21&gt;='17A_STRUCTURES'!$C$25,1,0),1),0)</f>
        <v>1</v>
      </c>
      <c r="J31" s="69" t="n">
        <f aca="false">IF('06_CONSTRUCTION'!J14=1,IF('18_DEBT'!J40&gt;0.001,IF('20_CASH_FLOW'!J21&gt;='17A_STRUCTURES'!$C$25,1,0),1),0)</f>
        <v>1</v>
      </c>
      <c r="K31" s="69" t="n">
        <f aca="false">IF('06_CONSTRUCTION'!K14=1,IF('18_DEBT'!K40&gt;0.001,IF('20_CASH_FLOW'!K21&gt;='17A_STRUCTURES'!$C$25,1,0),1),0)</f>
        <v>1</v>
      </c>
      <c r="L31" s="69" t="n">
        <f aca="false">IF('06_CONSTRUCTION'!L14=1,IF('18_DEBT'!L40&gt;0.001,IF('20_CASH_FLOW'!L21&gt;='17A_STRUCTURES'!$C$25,1,0),1),0)</f>
        <v>1</v>
      </c>
      <c r="M31" s="69" t="n">
        <f aca="false">IF('06_CONSTRUCTION'!M14=1,IF('18_DEBT'!M40&gt;0.001,IF('20_CASH_FLOW'!M21&gt;='17A_STRUCTURES'!$C$25,1,0),1),0)</f>
        <v>1</v>
      </c>
      <c r="N31" s="69" t="n">
        <f aca="false">IF('06_CONSTRUCTION'!N14=1,IF('18_DEBT'!N40&gt;0.001,IF('20_CASH_FLOW'!N21&gt;='17A_STRUCTURES'!$C$25,1,0),1),0)</f>
        <v>1</v>
      </c>
      <c r="O31" s="69" t="n">
        <f aca="false">IF('06_CONSTRUCTION'!O14=1,IF('18_DEBT'!O40&gt;0.001,IF('20_CASH_FLOW'!O21&gt;='17A_STRUCTURES'!$C$25,1,0),1),0)</f>
        <v>1</v>
      </c>
      <c r="P31" s="69" t="n">
        <f aca="false">IF('06_CONSTRUCTION'!P14=1,IF('18_DEBT'!P40&gt;0.001,IF('20_CASH_FLOW'!P21&gt;='17A_STRUCTURES'!$C$25,1,0),1),0)</f>
        <v>1</v>
      </c>
      <c r="Q31" s="69" t="n">
        <f aca="false">IF('06_CONSTRUCTION'!Q14=1,IF('18_DEBT'!Q40&gt;0.001,IF('20_CASH_FLOW'!Q21&gt;='17A_STRUCTURES'!$C$25,1,0),1),0)</f>
        <v>1</v>
      </c>
      <c r="R31" s="69" t="n">
        <f aca="false">IF('06_CONSTRUCTION'!R14=1,IF('18_DEBT'!R40&gt;0.001,IF('20_CASH_FLOW'!R21&gt;='17A_STRUCTURES'!$C$25,1,0),1),0)</f>
        <v>1</v>
      </c>
      <c r="S31" s="69" t="n">
        <f aca="false">IF('06_CONSTRUCTION'!S14=1,IF('18_DEBT'!S40&gt;0.001,IF('20_CASH_FLOW'!S21&gt;='17A_STRUCTURES'!$C$25,1,0),1),0)</f>
        <v>1</v>
      </c>
      <c r="T31" s="69" t="n">
        <f aca="false">IF('06_CONSTRUCTION'!T14=1,IF('18_DEBT'!T40&gt;0.001,IF('20_CASH_FLOW'!T21&gt;='17A_STRUCTURES'!$C$25,1,0),1),0)</f>
        <v>1</v>
      </c>
      <c r="U31" s="69" t="n">
        <f aca="false">IF('06_CONSTRUCTION'!U14=1,IF('18_DEBT'!U40&gt;0.001,IF('20_CASH_FLOW'!U21&gt;='17A_STRUCTURES'!$C$25,1,0),1),0)</f>
        <v>1</v>
      </c>
      <c r="V31" s="69" t="n">
        <f aca="false">IF('06_CONSTRUCTION'!V14=1,IF('18_DEBT'!V40&gt;0.001,IF('20_CASH_FLOW'!V21&gt;='17A_STRUCTURES'!$C$25,1,0),1),0)</f>
        <v>1</v>
      </c>
      <c r="W31" s="69" t="n">
        <f aca="false">IF('06_CONSTRUCTION'!W14=1,IF('18_DEBT'!W40&gt;0.001,IF('20_CASH_FLOW'!W21&gt;='17A_STRUCTURES'!$C$25,1,0),1),0)</f>
        <v>1</v>
      </c>
      <c r="X31" s="69" t="n">
        <f aca="false">IF('06_CONSTRUCTION'!X14=1,IF('18_DEBT'!X40&gt;0.001,IF('20_CASH_FLOW'!X21&gt;='17A_STRUCTURES'!$C$25,1,0),1),0)</f>
        <v>1</v>
      </c>
      <c r="Y31" s="69" t="n">
        <f aca="false">IF('06_CONSTRUCTION'!Y14=1,IF('18_DEBT'!Y40&gt;0.001,IF('20_CASH_FLOW'!Y21&gt;='17A_STRUCTURES'!$C$25,1,0),1),0)</f>
        <v>1</v>
      </c>
      <c r="Z31" s="69" t="n">
        <f aca="false">IF('06_CONSTRUCTION'!Z14=1,IF('18_DEBT'!Z40&gt;0.001,IF('20_CASH_FLOW'!Z21&gt;='17A_STRUCTURES'!$C$25,1,0),1),0)</f>
        <v>1</v>
      </c>
      <c r="AA31" s="69" t="n">
        <f aca="false">IF('06_CONSTRUCTION'!AA14=1,IF('18_DEBT'!AA40&gt;0.001,IF('20_CASH_FLOW'!AA21&gt;='17A_STRUCTURES'!$C$25,1,0),1),0)</f>
        <v>1</v>
      </c>
      <c r="AB31" s="69" t="n">
        <f aca="false">IF('06_CONSTRUCTION'!AB14=1,IF('18_DEBT'!AB40&gt;0.001,IF('20_CASH_FLOW'!AB21&gt;='17A_STRUCTURES'!$C$25,1,0),1),0)</f>
        <v>1</v>
      </c>
      <c r="AC31" s="69" t="n">
        <f aca="false">IF('06_CONSTRUCTION'!AC14=1,IF('18_DEBT'!AC40&gt;0.001,IF('20_CASH_FLOW'!AC21&gt;='17A_STRUCTURES'!$C$25,1,0),1),0)</f>
        <v>1</v>
      </c>
      <c r="AD31" s="69" t="n">
        <f aca="false">IF('06_CONSTRUCTION'!AD14=1,IF('18_DEBT'!AD40&gt;0.001,IF('20_CASH_FLOW'!AD21&gt;='17A_STRUCTURES'!$C$25,1,0),1),0)</f>
        <v>1</v>
      </c>
      <c r="AE31" s="69" t="n">
        <f aca="false">IF('06_CONSTRUCTION'!AE14=1,IF('18_DEBT'!AE40&gt;0.001,IF('20_CASH_FLOW'!AE21&gt;='17A_STRUCTURES'!$C$25,1,0),1),0)</f>
        <v>1</v>
      </c>
      <c r="AF31" s="69" t="n">
        <f aca="false">IF('06_CONSTRUCTION'!AF14=1,IF('18_DEBT'!AF40&gt;0.001,IF('20_CASH_FLOW'!AF21&gt;='17A_STRUCTURES'!$C$25,1,0),1),0)</f>
        <v>1</v>
      </c>
      <c r="AG31" s="69" t="n">
        <f aca="false">IF('06_CONSTRUCTION'!AG14=1,IF('18_DEBT'!AG40&gt;0.001,IF('20_CASH_FLOW'!AG21&gt;='17A_STRUCTURES'!$C$25,1,0),1),0)</f>
        <v>0</v>
      </c>
      <c r="AH31" s="69" t="n">
        <f aca="false">IF('06_CONSTRUCTION'!AH14=1,IF('18_DEBT'!AH40&gt;0.001,IF('20_CASH_FLOW'!AH21&gt;='17A_STRUCTURES'!$C$25,1,0),1),0)</f>
        <v>0</v>
      </c>
      <c r="AI31" s="69" t="n">
        <f aca="false">IF('06_CONSTRUCTION'!AI14=1,IF('18_DEBT'!AI40&gt;0.001,IF('20_CASH_FLOW'!AI21&gt;='17A_STRUCTURES'!$C$25,1,0),1),0)</f>
        <v>0</v>
      </c>
      <c r="AJ31" s="69" t="n">
        <f aca="false">IF('06_CONSTRUCTION'!AJ14=1,IF('18_DEBT'!AJ40&gt;0.001,IF('20_CASH_FLOW'!AJ21&gt;='17A_STRUCTURES'!$C$25,1,0),1),0)</f>
        <v>0</v>
      </c>
      <c r="AK31" s="69" t="n">
        <f aca="false">IF('06_CONSTRUCTION'!AK14=1,IF('18_DEBT'!AK40&gt;0.001,IF('20_CASH_FLOW'!AK21&gt;='17A_STRUCTURES'!$C$25,1,0),1),0)</f>
        <v>0</v>
      </c>
      <c r="AL31" s="69" t="n">
        <f aca="false">IF('06_CONSTRUCTION'!AL14=1,IF('18_DEBT'!AL40&gt;0.001,IF('20_CASH_FLOW'!AL21&gt;='17A_STRUCTURES'!$C$25,1,0),1),0)</f>
        <v>0</v>
      </c>
      <c r="AM31" s="69" t="n">
        <f aca="false">IF('06_CONSTRUCTION'!AM14=1,IF('18_DEBT'!AM40&gt;0.001,IF('20_CASH_FLOW'!AM21&gt;='17A_STRUCTURES'!$C$25,1,0),1),0)</f>
        <v>0</v>
      </c>
      <c r="AN31" s="69" t="n">
        <f aca="false">IF('06_CONSTRUCTION'!AN14=1,IF('18_DEBT'!AN40&gt;0.001,IF('20_CASH_FLOW'!AN21&gt;='17A_STRUCTURES'!$C$25,1,0),1),0)</f>
        <v>0</v>
      </c>
      <c r="AO31" s="69" t="n">
        <f aca="false">IF('06_CONSTRUCTION'!AO14=1,IF('18_DEBT'!AO40&gt;0.001,IF('20_CASH_FLOW'!AO21&gt;='17A_STRUCTURES'!$C$25,1,0),1),0)</f>
        <v>0</v>
      </c>
      <c r="AP31" s="69" t="n">
        <f aca="false">IF('06_CONSTRUCTION'!AP14=1,IF('18_DEBT'!AP40&gt;0.001,IF('20_CASH_FLOW'!AP21&gt;='17A_STRUCTURES'!$C$25,1,0),1),0)</f>
        <v>0</v>
      </c>
      <c r="AQ31" s="69" t="n">
        <f aca="false">IF('06_CONSTRUCTION'!AQ14=1,IF('18_DEBT'!AQ40&gt;0.001,IF('20_CASH_FLOW'!AQ21&gt;='17A_STRUCTURES'!$C$25,1,0),1),0)</f>
        <v>0</v>
      </c>
      <c r="AR31" s="69" t="n">
        <f aca="false">IF('06_CONSTRUCTION'!AR14=1,IF('18_DEBT'!AR40&gt;0.001,IF('20_CASH_FLOW'!AR21&gt;='17A_STRUCTURES'!$C$25,1,0),1),0)</f>
        <v>0</v>
      </c>
    </row>
    <row r="32" customFormat="false" ht="15" hidden="false" customHeight="true" outlineLevel="0" collapsed="false">
      <c r="A32" s="23" t="s">
        <v>935</v>
      </c>
      <c r="B32" s="23" t="s">
        <v>121</v>
      </c>
      <c r="E32" s="58" t="n">
        <f aca="false">'20_CASH_FLOW'!E28+'20_CASH_FLOW'!E29+'20_CASH_FLOW'!E30</f>
        <v>0</v>
      </c>
      <c r="F32" s="58" t="n">
        <f aca="false">'20_CASH_FLOW'!F28+'20_CASH_FLOW'!F29+'20_CASH_FLOW'!F30</f>
        <v>0</v>
      </c>
      <c r="G32" s="58" t="n">
        <f aca="false">'20_CASH_FLOW'!G28+'20_CASH_FLOW'!G29+'20_CASH_FLOW'!G30</f>
        <v>0</v>
      </c>
      <c r="H32" s="58" t="n">
        <f aca="false">'20_CASH_FLOW'!H28+'20_CASH_FLOW'!H29+'20_CASH_FLOW'!H30</f>
        <v>6.07974450455133</v>
      </c>
      <c r="I32" s="58" t="n">
        <f aca="false">'20_CASH_FLOW'!I28+'20_CASH_FLOW'!I29+'20_CASH_FLOW'!I30</f>
        <v>9.45661660773896</v>
      </c>
      <c r="J32" s="58" t="n">
        <f aca="false">'20_CASH_FLOW'!J28+'20_CASH_FLOW'!J29+'20_CASH_FLOW'!J30</f>
        <v>9.53700186694667</v>
      </c>
      <c r="K32" s="58" t="n">
        <f aca="false">'20_CASH_FLOW'!K28+'20_CASH_FLOW'!K29+'20_CASH_FLOW'!K30</f>
        <v>9.61899483133852</v>
      </c>
      <c r="L32" s="58" t="n">
        <f aca="false">'20_CASH_FLOW'!L28+'20_CASH_FLOW'!L29+'20_CASH_FLOW'!L30</f>
        <v>11.4785121695314</v>
      </c>
      <c r="M32" s="58" t="n">
        <f aca="false">'20_CASH_FLOW'!M28+'20_CASH_FLOW'!M29+'20_CASH_FLOW'!M30</f>
        <v>10.5915374247141</v>
      </c>
      <c r="N32" s="58" t="n">
        <f aca="false">'20_CASH_FLOW'!N28+'20_CASH_FLOW'!N29+'20_CASH_FLOW'!N30</f>
        <v>10.503569979623</v>
      </c>
      <c r="O32" s="58" t="n">
        <f aca="false">'20_CASH_FLOW'!O28+'20_CASH_FLOW'!O29+'20_CASH_FLOW'!O30</f>
        <v>10.4023171719161</v>
      </c>
      <c r="P32" s="58" t="n">
        <f aca="false">'20_CASH_FLOW'!P28+'20_CASH_FLOW'!P29+'20_CASH_FLOW'!P30</f>
        <v>10.2865912132441</v>
      </c>
      <c r="Q32" s="58" t="n">
        <f aca="false">'20_CASH_FLOW'!Q28+'20_CASH_FLOW'!Q29+'20_CASH_FLOW'!Q30</f>
        <v>10.1551067930028</v>
      </c>
      <c r="R32" s="58" t="n">
        <f aca="false">'20_CASH_FLOW'!R28+'20_CASH_FLOW'!R29+'20_CASH_FLOW'!R30</f>
        <v>10.006473226569</v>
      </c>
      <c r="S32" s="58" t="n">
        <f aca="false">'20_CASH_FLOW'!S28+'20_CASH_FLOW'!S29+'20_CASH_FLOW'!S30</f>
        <v>9.83918597439599</v>
      </c>
      <c r="T32" s="58" t="n">
        <f aca="false">'20_CASH_FLOW'!T28+'20_CASH_FLOW'!T29+'20_CASH_FLOW'!T30</f>
        <v>9.65161748161608</v>
      </c>
      <c r="U32" s="58" t="n">
        <f aca="false">'20_CASH_FLOW'!U28+'20_CASH_FLOW'!U29+'20_CASH_FLOW'!U30</f>
        <v>9.44200728377207</v>
      </c>
      <c r="V32" s="58" t="n">
        <f aca="false">'20_CASH_FLOW'!V28+'20_CASH_FLOW'!V29+'20_CASH_FLOW'!V30</f>
        <v>9.20845131994613</v>
      </c>
      <c r="W32" s="58" t="n">
        <f aca="false">'20_CASH_FLOW'!W28+'20_CASH_FLOW'!W29+'20_CASH_FLOW'!W30</f>
        <v>17.1606391252175</v>
      </c>
      <c r="X32" s="58" t="n">
        <f aca="false">'20_CASH_FLOW'!X28+'20_CASH_FLOW'!X29+'20_CASH_FLOW'!X30</f>
        <v>25.1517757133511</v>
      </c>
      <c r="Y32" s="58" t="n">
        <f aca="false">'20_CASH_FLOW'!Y28+'20_CASH_FLOW'!Y29+'20_CASH_FLOW'!Y30</f>
        <v>25.3632120195611</v>
      </c>
      <c r="Z32" s="58" t="n">
        <f aca="false">'20_CASH_FLOW'!Z28+'20_CASH_FLOW'!Z29+'20_CASH_FLOW'!Z30</f>
        <v>25.5788770518952</v>
      </c>
      <c r="AA32" s="58" t="n">
        <f aca="false">'20_CASH_FLOW'!AA28+'20_CASH_FLOW'!AA29+'20_CASH_FLOW'!AA30</f>
        <v>25.7988553848761</v>
      </c>
      <c r="AB32" s="58" t="n">
        <f aca="false">'20_CASH_FLOW'!AB28+'20_CASH_FLOW'!AB29+'20_CASH_FLOW'!AB30</f>
        <v>22.908542900734</v>
      </c>
      <c r="AC32" s="58" t="n">
        <f aca="false">'20_CASH_FLOW'!AC28+'20_CASH_FLOW'!AC29+'20_CASH_FLOW'!AC30</f>
        <v>23.1374083583673</v>
      </c>
      <c r="AD32" s="58" t="n">
        <f aca="false">'20_CASH_FLOW'!AD28+'20_CASH_FLOW'!AD29+'20_CASH_FLOW'!AD30</f>
        <v>23.3708511251532</v>
      </c>
      <c r="AE32" s="58" t="n">
        <f aca="false">'20_CASH_FLOW'!AE28+'20_CASH_FLOW'!AE29+'20_CASH_FLOW'!AE30</f>
        <v>23.6089627472749</v>
      </c>
      <c r="AF32" s="58" t="n">
        <f aca="false">'20_CASH_FLOW'!AF28+'20_CASH_FLOW'!AF29+'20_CASH_FLOW'!AF30</f>
        <v>23.851836601839</v>
      </c>
      <c r="AG32" s="58" t="n">
        <f aca="false">'20_CASH_FLOW'!AG28+'20_CASH_FLOW'!AG29+'20_CASH_FLOW'!AG30</f>
        <v>0</v>
      </c>
      <c r="AH32" s="58" t="n">
        <f aca="false">'20_CASH_FLOW'!AH28+'20_CASH_FLOW'!AH29+'20_CASH_FLOW'!AH30</f>
        <v>0</v>
      </c>
      <c r="AI32" s="58" t="n">
        <f aca="false">'20_CASH_FLOW'!AI28+'20_CASH_FLOW'!AI29+'20_CASH_FLOW'!AI30</f>
        <v>0</v>
      </c>
      <c r="AJ32" s="58" t="n">
        <f aca="false">'20_CASH_FLOW'!AJ28+'20_CASH_FLOW'!AJ29+'20_CASH_FLOW'!AJ30</f>
        <v>0</v>
      </c>
      <c r="AK32" s="58" t="n">
        <f aca="false">'20_CASH_FLOW'!AK28+'20_CASH_FLOW'!AK29+'20_CASH_FLOW'!AK30</f>
        <v>0</v>
      </c>
      <c r="AL32" s="58" t="n">
        <f aca="false">'20_CASH_FLOW'!AL28+'20_CASH_FLOW'!AL29+'20_CASH_FLOW'!AL30</f>
        <v>0</v>
      </c>
      <c r="AM32" s="58" t="n">
        <f aca="false">'20_CASH_FLOW'!AM28+'20_CASH_FLOW'!AM29+'20_CASH_FLOW'!AM30</f>
        <v>0</v>
      </c>
      <c r="AN32" s="58" t="n">
        <f aca="false">'20_CASH_FLOW'!AN28+'20_CASH_FLOW'!AN29+'20_CASH_FLOW'!AN30</f>
        <v>0</v>
      </c>
      <c r="AO32" s="58" t="n">
        <f aca="false">'20_CASH_FLOW'!AO28+'20_CASH_FLOW'!AO29+'20_CASH_FLOW'!AO30</f>
        <v>0</v>
      </c>
      <c r="AP32" s="58" t="n">
        <f aca="false">'20_CASH_FLOW'!AP28+'20_CASH_FLOW'!AP29+'20_CASH_FLOW'!AP30</f>
        <v>0</v>
      </c>
      <c r="AQ32" s="58" t="n">
        <f aca="false">'20_CASH_FLOW'!AQ28+'20_CASH_FLOW'!AQ29+'20_CASH_FLOW'!AQ30</f>
        <v>0</v>
      </c>
      <c r="AR32" s="58" t="n">
        <f aca="false">'20_CASH_FLOW'!AR28+'20_CASH_FLOW'!AR29+'20_CASH_FLOW'!AR30</f>
        <v>0</v>
      </c>
    </row>
    <row r="33" customFormat="false" ht="15" hidden="false" customHeight="true" outlineLevel="0" collapsed="false">
      <c r="A33" s="23" t="s">
        <v>936</v>
      </c>
      <c r="B33" s="23" t="s">
        <v>121</v>
      </c>
      <c r="C33" s="58" t="n">
        <f aca="false">SUM('20_CASH_FLOW'!$E$33:$AR$33)</f>
        <v>0</v>
      </c>
      <c r="E33" s="58" t="n">
        <f aca="false">IF(OR('20_CASH_FLOW'!E31=1,'06_CONSTRUCTION'!E5='02_PROJECT_INPUTS'!$C$13),MIN('20_CASH_FLOW'!D39,MAX(0,'20_CASH_FLOW'!E32)),0)</f>
        <v>0</v>
      </c>
      <c r="F33" s="58" t="n">
        <f aca="false">IF(OR('20_CASH_FLOW'!F31=1,'06_CONSTRUCTION'!F5='02_PROJECT_INPUTS'!$C$13),MIN('20_CASH_FLOW'!E39,MAX(0,'20_CASH_FLOW'!F32)),0)</f>
        <v>0</v>
      </c>
      <c r="G33" s="58" t="n">
        <f aca="false">IF(OR('20_CASH_FLOW'!G31=1,'06_CONSTRUCTION'!G5='02_PROJECT_INPUTS'!$C$13),MIN('20_CASH_FLOW'!F39,MAX(0,'20_CASH_FLOW'!G32)),0)</f>
        <v>0</v>
      </c>
      <c r="H33" s="58" t="n">
        <f aca="false">IF(OR('20_CASH_FLOW'!H31=1,'06_CONSTRUCTION'!H5='02_PROJECT_INPUTS'!$C$13),MIN('20_CASH_FLOW'!G39,MAX(0,'20_CASH_FLOW'!H32)),0)</f>
        <v>0</v>
      </c>
      <c r="I33" s="58" t="n">
        <f aca="false">IF(OR('20_CASH_FLOW'!I31=1,'06_CONSTRUCTION'!I5='02_PROJECT_INPUTS'!$C$13),MIN('20_CASH_FLOW'!H39,MAX(0,'20_CASH_FLOW'!I32)),0)</f>
        <v>0</v>
      </c>
      <c r="J33" s="58" t="n">
        <f aca="false">IF(OR('20_CASH_FLOW'!J31=1,'06_CONSTRUCTION'!J5='02_PROJECT_INPUTS'!$C$13),MIN('20_CASH_FLOW'!I39,MAX(0,'20_CASH_FLOW'!J32)),0)</f>
        <v>0</v>
      </c>
      <c r="K33" s="58" t="n">
        <f aca="false">IF(OR('20_CASH_FLOW'!K31=1,'06_CONSTRUCTION'!K5='02_PROJECT_INPUTS'!$C$13),MIN('20_CASH_FLOW'!J39,MAX(0,'20_CASH_FLOW'!K32)),0)</f>
        <v>0</v>
      </c>
      <c r="L33" s="58" t="n">
        <f aca="false">IF(OR('20_CASH_FLOW'!L31=1,'06_CONSTRUCTION'!L5='02_PROJECT_INPUTS'!$C$13),MIN('20_CASH_FLOW'!K39,MAX(0,'20_CASH_FLOW'!L32)),0)</f>
        <v>0</v>
      </c>
      <c r="M33" s="58" t="n">
        <f aca="false">IF(OR('20_CASH_FLOW'!M31=1,'06_CONSTRUCTION'!M5='02_PROJECT_INPUTS'!$C$13),MIN('20_CASH_FLOW'!L39,MAX(0,'20_CASH_FLOW'!M32)),0)</f>
        <v>0</v>
      </c>
      <c r="N33" s="58" t="n">
        <f aca="false">IF(OR('20_CASH_FLOW'!N31=1,'06_CONSTRUCTION'!N5='02_PROJECT_INPUTS'!$C$13),MIN('20_CASH_FLOW'!M39,MAX(0,'20_CASH_FLOW'!N32)),0)</f>
        <v>0</v>
      </c>
      <c r="O33" s="58" t="n">
        <f aca="false">IF(OR('20_CASH_FLOW'!O31=1,'06_CONSTRUCTION'!O5='02_PROJECT_INPUTS'!$C$13),MIN('20_CASH_FLOW'!N39,MAX(0,'20_CASH_FLOW'!O32)),0)</f>
        <v>0</v>
      </c>
      <c r="P33" s="58" t="n">
        <f aca="false">IF(OR('20_CASH_FLOW'!P31=1,'06_CONSTRUCTION'!P5='02_PROJECT_INPUTS'!$C$13),MIN('20_CASH_FLOW'!O39,MAX(0,'20_CASH_FLOW'!P32)),0)</f>
        <v>0</v>
      </c>
      <c r="Q33" s="58" t="n">
        <f aca="false">IF(OR('20_CASH_FLOW'!Q31=1,'06_CONSTRUCTION'!Q5='02_PROJECT_INPUTS'!$C$13),MIN('20_CASH_FLOW'!P39,MAX(0,'20_CASH_FLOW'!Q32)),0)</f>
        <v>0</v>
      </c>
      <c r="R33" s="58" t="n">
        <f aca="false">IF(OR('20_CASH_FLOW'!R31=1,'06_CONSTRUCTION'!R5='02_PROJECT_INPUTS'!$C$13),MIN('20_CASH_FLOW'!Q39,MAX(0,'20_CASH_FLOW'!R32)),0)</f>
        <v>0</v>
      </c>
      <c r="S33" s="58" t="n">
        <f aca="false">IF(OR('20_CASH_FLOW'!S31=1,'06_CONSTRUCTION'!S5='02_PROJECT_INPUTS'!$C$13),MIN('20_CASH_FLOW'!R39,MAX(0,'20_CASH_FLOW'!S32)),0)</f>
        <v>0</v>
      </c>
      <c r="T33" s="58" t="n">
        <f aca="false">IF(OR('20_CASH_FLOW'!T31=1,'06_CONSTRUCTION'!T5='02_PROJECT_INPUTS'!$C$13),MIN('20_CASH_FLOW'!S39,MAX(0,'20_CASH_FLOW'!T32)),0)</f>
        <v>0</v>
      </c>
      <c r="U33" s="58" t="n">
        <f aca="false">IF(OR('20_CASH_FLOW'!U31=1,'06_CONSTRUCTION'!U5='02_PROJECT_INPUTS'!$C$13),MIN('20_CASH_FLOW'!T39,MAX(0,'20_CASH_FLOW'!U32)),0)</f>
        <v>0</v>
      </c>
      <c r="V33" s="58" t="n">
        <f aca="false">IF(OR('20_CASH_FLOW'!V31=1,'06_CONSTRUCTION'!V5='02_PROJECT_INPUTS'!$C$13),MIN('20_CASH_FLOW'!U39,MAX(0,'20_CASH_FLOW'!V32)),0)</f>
        <v>0</v>
      </c>
      <c r="W33" s="58" t="n">
        <f aca="false">IF(OR('20_CASH_FLOW'!W31=1,'06_CONSTRUCTION'!W5='02_PROJECT_INPUTS'!$C$13),MIN('20_CASH_FLOW'!V39,MAX(0,'20_CASH_FLOW'!W32)),0)</f>
        <v>0</v>
      </c>
      <c r="X33" s="58" t="n">
        <f aca="false">IF(OR('20_CASH_FLOW'!X31=1,'06_CONSTRUCTION'!X5='02_PROJECT_INPUTS'!$C$13),MIN('20_CASH_FLOW'!W39,MAX(0,'20_CASH_FLOW'!X32)),0)</f>
        <v>0</v>
      </c>
      <c r="Y33" s="58" t="n">
        <f aca="false">IF(OR('20_CASH_FLOW'!Y31=1,'06_CONSTRUCTION'!Y5='02_PROJECT_INPUTS'!$C$13),MIN('20_CASH_FLOW'!X39,MAX(0,'20_CASH_FLOW'!Y32)),0)</f>
        <v>0</v>
      </c>
      <c r="Z33" s="58" t="n">
        <f aca="false">IF(OR('20_CASH_FLOW'!Z31=1,'06_CONSTRUCTION'!Z5='02_PROJECT_INPUTS'!$C$13),MIN('20_CASH_FLOW'!Y39,MAX(0,'20_CASH_FLOW'!Z32)),0)</f>
        <v>0</v>
      </c>
      <c r="AA33" s="58" t="n">
        <f aca="false">IF(OR('20_CASH_FLOW'!AA31=1,'06_CONSTRUCTION'!AA5='02_PROJECT_INPUTS'!$C$13),MIN('20_CASH_FLOW'!Z39,MAX(0,'20_CASH_FLOW'!AA32)),0)</f>
        <v>0</v>
      </c>
      <c r="AB33" s="58" t="n">
        <f aca="false">IF(OR('20_CASH_FLOW'!AB31=1,'06_CONSTRUCTION'!AB5='02_PROJECT_INPUTS'!$C$13),MIN('20_CASH_FLOW'!AA39,MAX(0,'20_CASH_FLOW'!AB32)),0)</f>
        <v>0</v>
      </c>
      <c r="AC33" s="58" t="n">
        <f aca="false">IF(OR('20_CASH_FLOW'!AC31=1,'06_CONSTRUCTION'!AC5='02_PROJECT_INPUTS'!$C$13),MIN('20_CASH_FLOW'!AB39,MAX(0,'20_CASH_FLOW'!AC32)),0)</f>
        <v>0</v>
      </c>
      <c r="AD33" s="58" t="n">
        <f aca="false">IF(OR('20_CASH_FLOW'!AD31=1,'06_CONSTRUCTION'!AD5='02_PROJECT_INPUTS'!$C$13),MIN('20_CASH_FLOW'!AC39,MAX(0,'20_CASH_FLOW'!AD32)),0)</f>
        <v>0</v>
      </c>
      <c r="AE33" s="58" t="n">
        <f aca="false">IF(OR('20_CASH_FLOW'!AE31=1,'06_CONSTRUCTION'!AE5='02_PROJECT_INPUTS'!$C$13),MIN('20_CASH_FLOW'!AD39,MAX(0,'20_CASH_FLOW'!AE32)),0)</f>
        <v>0</v>
      </c>
      <c r="AF33" s="58" t="n">
        <f aca="false">IF(OR('20_CASH_FLOW'!AF31=1,'06_CONSTRUCTION'!AF5='02_PROJECT_INPUTS'!$C$13),MIN('20_CASH_FLOW'!AE39,MAX(0,'20_CASH_FLOW'!AF32)),0)</f>
        <v>0</v>
      </c>
      <c r="AG33" s="58" t="n">
        <f aca="false">IF(OR('20_CASH_FLOW'!AG31=1,'06_CONSTRUCTION'!AG5='02_PROJECT_INPUTS'!$C$13),MIN('20_CASH_FLOW'!AF39,MAX(0,'20_CASH_FLOW'!AG32)),0)</f>
        <v>0</v>
      </c>
      <c r="AH33" s="58" t="n">
        <f aca="false">IF(OR('20_CASH_FLOW'!AH31=1,'06_CONSTRUCTION'!AH5='02_PROJECT_INPUTS'!$C$13),MIN('20_CASH_FLOW'!AG39,MAX(0,'20_CASH_FLOW'!AH32)),0)</f>
        <v>0</v>
      </c>
      <c r="AI33" s="58" t="n">
        <f aca="false">IF(OR('20_CASH_FLOW'!AI31=1,'06_CONSTRUCTION'!AI5='02_PROJECT_INPUTS'!$C$13),MIN('20_CASH_FLOW'!AH39,MAX(0,'20_CASH_FLOW'!AI32)),0)</f>
        <v>0</v>
      </c>
      <c r="AJ33" s="58" t="n">
        <f aca="false">IF(OR('20_CASH_FLOW'!AJ31=1,'06_CONSTRUCTION'!AJ5='02_PROJECT_INPUTS'!$C$13),MIN('20_CASH_FLOW'!AI39,MAX(0,'20_CASH_FLOW'!AJ32)),0)</f>
        <v>0</v>
      </c>
      <c r="AK33" s="58" t="n">
        <f aca="false">IF(OR('20_CASH_FLOW'!AK31=1,'06_CONSTRUCTION'!AK5='02_PROJECT_INPUTS'!$C$13),MIN('20_CASH_FLOW'!AJ39,MAX(0,'20_CASH_FLOW'!AK32)),0)</f>
        <v>0</v>
      </c>
      <c r="AL33" s="58" t="n">
        <f aca="false">IF(OR('20_CASH_FLOW'!AL31=1,'06_CONSTRUCTION'!AL5='02_PROJECT_INPUTS'!$C$13),MIN('20_CASH_FLOW'!AK39,MAX(0,'20_CASH_FLOW'!AL32)),0)</f>
        <v>0</v>
      </c>
      <c r="AM33" s="58" t="n">
        <f aca="false">IF(OR('20_CASH_FLOW'!AM31=1,'06_CONSTRUCTION'!AM5='02_PROJECT_INPUTS'!$C$13),MIN('20_CASH_FLOW'!AL39,MAX(0,'20_CASH_FLOW'!AM32)),0)</f>
        <v>0</v>
      </c>
      <c r="AN33" s="58" t="n">
        <f aca="false">IF(OR('20_CASH_FLOW'!AN31=1,'06_CONSTRUCTION'!AN5='02_PROJECT_INPUTS'!$C$13),MIN('20_CASH_FLOW'!AM39,MAX(0,'20_CASH_FLOW'!AN32)),0)</f>
        <v>0</v>
      </c>
      <c r="AO33" s="58" t="n">
        <f aca="false">IF(OR('20_CASH_FLOW'!AO31=1,'06_CONSTRUCTION'!AO5='02_PROJECT_INPUTS'!$C$13),MIN('20_CASH_FLOW'!AN39,MAX(0,'20_CASH_FLOW'!AO32)),0)</f>
        <v>0</v>
      </c>
      <c r="AP33" s="58" t="n">
        <f aca="false">IF(OR('20_CASH_FLOW'!AP31=1,'06_CONSTRUCTION'!AP5='02_PROJECT_INPUTS'!$C$13),MIN('20_CASH_FLOW'!AO39,MAX(0,'20_CASH_FLOW'!AP32)),0)</f>
        <v>0</v>
      </c>
      <c r="AQ33" s="58" t="n">
        <f aca="false">IF(OR('20_CASH_FLOW'!AQ31=1,'06_CONSTRUCTION'!AQ5='02_PROJECT_INPUTS'!$C$13),MIN('20_CASH_FLOW'!AP39,MAX(0,'20_CASH_FLOW'!AQ32)),0)</f>
        <v>0</v>
      </c>
      <c r="AR33" s="58" t="n">
        <f aca="false">IF(OR('20_CASH_FLOW'!AR31=1,'06_CONSTRUCTION'!AR5='02_PROJECT_INPUTS'!$C$13),MIN('20_CASH_FLOW'!AQ39,MAX(0,'20_CASH_FLOW'!AR32)),0)</f>
        <v>0</v>
      </c>
    </row>
    <row r="34" customFormat="false" ht="15" hidden="false" customHeight="true" outlineLevel="0" collapsed="false">
      <c r="A34" s="23" t="s">
        <v>937</v>
      </c>
      <c r="B34" s="23" t="s">
        <v>121</v>
      </c>
      <c r="C34" s="58" t="n">
        <f aca="false">SUM('20_CASH_FLOW'!$E$34:$AR$34)</f>
        <v>382.188688877176</v>
      </c>
      <c r="E34" s="58" t="n">
        <f aca="false">IF(OR('20_CASH_FLOW'!E31=1,'06_CONSTRUCTION'!E5='02_PROJECT_INPUTS'!$C$13),MAX(0,'20_CASH_FLOW'!E32-'20_CASH_FLOW'!E33),0)</f>
        <v>0</v>
      </c>
      <c r="F34" s="58" t="n">
        <f aca="false">IF(OR('20_CASH_FLOW'!F31=1,'06_CONSTRUCTION'!F5='02_PROJECT_INPUTS'!$C$13),MAX(0,'20_CASH_FLOW'!F32-'20_CASH_FLOW'!F33),0)</f>
        <v>0</v>
      </c>
      <c r="G34" s="58" t="n">
        <f aca="false">IF(OR('20_CASH_FLOW'!G31=1,'06_CONSTRUCTION'!G5='02_PROJECT_INPUTS'!$C$13),MAX(0,'20_CASH_FLOW'!G32-'20_CASH_FLOW'!G33),0)</f>
        <v>0</v>
      </c>
      <c r="H34" s="58" t="n">
        <f aca="false">IF(OR('20_CASH_FLOW'!H31=1,'06_CONSTRUCTION'!H5='02_PROJECT_INPUTS'!$C$13),MAX(0,'20_CASH_FLOW'!H32-'20_CASH_FLOW'!H33),0)</f>
        <v>6.07974450455133</v>
      </c>
      <c r="I34" s="58" t="n">
        <f aca="false">IF(OR('20_CASH_FLOW'!I31=1,'06_CONSTRUCTION'!I5='02_PROJECT_INPUTS'!$C$13),MAX(0,'20_CASH_FLOW'!I32-'20_CASH_FLOW'!I33),0)</f>
        <v>9.45661660773896</v>
      </c>
      <c r="J34" s="58" t="n">
        <f aca="false">IF(OR('20_CASH_FLOW'!J31=1,'06_CONSTRUCTION'!J5='02_PROJECT_INPUTS'!$C$13),MAX(0,'20_CASH_FLOW'!J32-'20_CASH_FLOW'!J33),0)</f>
        <v>9.53700186694667</v>
      </c>
      <c r="K34" s="58" t="n">
        <f aca="false">IF(OR('20_CASH_FLOW'!K31=1,'06_CONSTRUCTION'!K5='02_PROJECT_INPUTS'!$C$13),MAX(0,'20_CASH_FLOW'!K32-'20_CASH_FLOW'!K33),0)</f>
        <v>9.61899483133852</v>
      </c>
      <c r="L34" s="58" t="n">
        <f aca="false">IF(OR('20_CASH_FLOW'!L31=1,'06_CONSTRUCTION'!L5='02_PROJECT_INPUTS'!$C$13),MAX(0,'20_CASH_FLOW'!L32-'20_CASH_FLOW'!L33),0)</f>
        <v>11.4785121695314</v>
      </c>
      <c r="M34" s="58" t="n">
        <f aca="false">IF(OR('20_CASH_FLOW'!M31=1,'06_CONSTRUCTION'!M5='02_PROJECT_INPUTS'!$C$13),MAX(0,'20_CASH_FLOW'!M32-'20_CASH_FLOW'!M33),0)</f>
        <v>10.5915374247141</v>
      </c>
      <c r="N34" s="58" t="n">
        <f aca="false">IF(OR('20_CASH_FLOW'!N31=1,'06_CONSTRUCTION'!N5='02_PROJECT_INPUTS'!$C$13),MAX(0,'20_CASH_FLOW'!N32-'20_CASH_FLOW'!N33),0)</f>
        <v>10.503569979623</v>
      </c>
      <c r="O34" s="58" t="n">
        <f aca="false">IF(OR('20_CASH_FLOW'!O31=1,'06_CONSTRUCTION'!O5='02_PROJECT_INPUTS'!$C$13),MAX(0,'20_CASH_FLOW'!O32-'20_CASH_FLOW'!O33),0)</f>
        <v>10.4023171719161</v>
      </c>
      <c r="P34" s="58" t="n">
        <f aca="false">IF(OR('20_CASH_FLOW'!P31=1,'06_CONSTRUCTION'!P5='02_PROJECT_INPUTS'!$C$13),MAX(0,'20_CASH_FLOW'!P32-'20_CASH_FLOW'!P33),0)</f>
        <v>10.2865912132441</v>
      </c>
      <c r="Q34" s="58" t="n">
        <f aca="false">IF(OR('20_CASH_FLOW'!Q31=1,'06_CONSTRUCTION'!Q5='02_PROJECT_INPUTS'!$C$13),MAX(0,'20_CASH_FLOW'!Q32-'20_CASH_FLOW'!Q33),0)</f>
        <v>10.1551067930028</v>
      </c>
      <c r="R34" s="58" t="n">
        <f aca="false">IF(OR('20_CASH_FLOW'!R31=1,'06_CONSTRUCTION'!R5='02_PROJECT_INPUTS'!$C$13),MAX(0,'20_CASH_FLOW'!R32-'20_CASH_FLOW'!R33),0)</f>
        <v>10.006473226569</v>
      </c>
      <c r="S34" s="58" t="n">
        <f aca="false">IF(OR('20_CASH_FLOW'!S31=1,'06_CONSTRUCTION'!S5='02_PROJECT_INPUTS'!$C$13),MAX(0,'20_CASH_FLOW'!S32-'20_CASH_FLOW'!S33),0)</f>
        <v>9.83918597439599</v>
      </c>
      <c r="T34" s="58" t="n">
        <f aca="false">IF(OR('20_CASH_FLOW'!T31=1,'06_CONSTRUCTION'!T5='02_PROJECT_INPUTS'!$C$13),MAX(0,'20_CASH_FLOW'!T32-'20_CASH_FLOW'!T33),0)</f>
        <v>9.65161748161608</v>
      </c>
      <c r="U34" s="58" t="n">
        <f aca="false">IF(OR('20_CASH_FLOW'!U31=1,'06_CONSTRUCTION'!U5='02_PROJECT_INPUTS'!$C$13),MAX(0,'20_CASH_FLOW'!U32-'20_CASH_FLOW'!U33),0)</f>
        <v>9.44200728377207</v>
      </c>
      <c r="V34" s="58" t="n">
        <f aca="false">IF(OR('20_CASH_FLOW'!V31=1,'06_CONSTRUCTION'!V5='02_PROJECT_INPUTS'!$C$13),MAX(0,'20_CASH_FLOW'!V32-'20_CASH_FLOW'!V33),0)</f>
        <v>9.20845131994613</v>
      </c>
      <c r="W34" s="58" t="n">
        <f aca="false">IF(OR('20_CASH_FLOW'!W31=1,'06_CONSTRUCTION'!W5='02_PROJECT_INPUTS'!$C$13),MAX(0,'20_CASH_FLOW'!W32-'20_CASH_FLOW'!W33),0)</f>
        <v>17.1606391252175</v>
      </c>
      <c r="X34" s="58" t="n">
        <f aca="false">IF(OR('20_CASH_FLOW'!X31=1,'06_CONSTRUCTION'!X5='02_PROJECT_INPUTS'!$C$13),MAX(0,'20_CASH_FLOW'!X32-'20_CASH_FLOW'!X33),0)</f>
        <v>25.1517757133511</v>
      </c>
      <c r="Y34" s="58" t="n">
        <f aca="false">IF(OR('20_CASH_FLOW'!Y31=1,'06_CONSTRUCTION'!Y5='02_PROJECT_INPUTS'!$C$13),MAX(0,'20_CASH_FLOW'!Y32-'20_CASH_FLOW'!Y33),0)</f>
        <v>25.3632120195611</v>
      </c>
      <c r="Z34" s="58" t="n">
        <f aca="false">IF(OR('20_CASH_FLOW'!Z31=1,'06_CONSTRUCTION'!Z5='02_PROJECT_INPUTS'!$C$13),MAX(0,'20_CASH_FLOW'!Z32-'20_CASH_FLOW'!Z33),0)</f>
        <v>25.5788770518952</v>
      </c>
      <c r="AA34" s="58" t="n">
        <f aca="false">IF(OR('20_CASH_FLOW'!AA31=1,'06_CONSTRUCTION'!AA5='02_PROJECT_INPUTS'!$C$13),MAX(0,'20_CASH_FLOW'!AA32-'20_CASH_FLOW'!AA33),0)</f>
        <v>25.7988553848761</v>
      </c>
      <c r="AB34" s="58" t="n">
        <f aca="false">IF(OR('20_CASH_FLOW'!AB31=1,'06_CONSTRUCTION'!AB5='02_PROJECT_INPUTS'!$C$13),MAX(0,'20_CASH_FLOW'!AB32-'20_CASH_FLOW'!AB33),0)</f>
        <v>22.908542900734</v>
      </c>
      <c r="AC34" s="58" t="n">
        <f aca="false">IF(OR('20_CASH_FLOW'!AC31=1,'06_CONSTRUCTION'!AC5='02_PROJECT_INPUTS'!$C$13),MAX(0,'20_CASH_FLOW'!AC32-'20_CASH_FLOW'!AC33),0)</f>
        <v>23.1374083583673</v>
      </c>
      <c r="AD34" s="58" t="n">
        <f aca="false">IF(OR('20_CASH_FLOW'!AD31=1,'06_CONSTRUCTION'!AD5='02_PROJECT_INPUTS'!$C$13),MAX(0,'20_CASH_FLOW'!AD32-'20_CASH_FLOW'!AD33),0)</f>
        <v>23.3708511251532</v>
      </c>
      <c r="AE34" s="58" t="n">
        <f aca="false">IF(OR('20_CASH_FLOW'!AE31=1,'06_CONSTRUCTION'!AE5='02_PROJECT_INPUTS'!$C$13),MAX(0,'20_CASH_FLOW'!AE32-'20_CASH_FLOW'!AE33),0)</f>
        <v>23.6089627472749</v>
      </c>
      <c r="AF34" s="58" t="n">
        <f aca="false">IF(OR('20_CASH_FLOW'!AF31=1,'06_CONSTRUCTION'!AF5='02_PROJECT_INPUTS'!$C$13),MAX(0,'20_CASH_FLOW'!AF32-'20_CASH_FLOW'!AF33),0)</f>
        <v>23.851836601839</v>
      </c>
      <c r="AG34" s="58" t="n">
        <f aca="false">IF(OR('20_CASH_FLOW'!AG31=1,'06_CONSTRUCTION'!AG5='02_PROJECT_INPUTS'!$C$13),MAX(0,'20_CASH_FLOW'!AG32-'20_CASH_FLOW'!AG33),0)</f>
        <v>0</v>
      </c>
      <c r="AH34" s="58" t="n">
        <f aca="false">IF(OR('20_CASH_FLOW'!AH31=1,'06_CONSTRUCTION'!AH5='02_PROJECT_INPUTS'!$C$13),MAX(0,'20_CASH_FLOW'!AH32-'20_CASH_FLOW'!AH33),0)</f>
        <v>0</v>
      </c>
      <c r="AI34" s="58" t="n">
        <f aca="false">IF(OR('20_CASH_FLOW'!AI31=1,'06_CONSTRUCTION'!AI5='02_PROJECT_INPUTS'!$C$13),MAX(0,'20_CASH_FLOW'!AI32-'20_CASH_FLOW'!AI33),0)</f>
        <v>0</v>
      </c>
      <c r="AJ34" s="58" t="n">
        <f aca="false">IF(OR('20_CASH_FLOW'!AJ31=1,'06_CONSTRUCTION'!AJ5='02_PROJECT_INPUTS'!$C$13),MAX(0,'20_CASH_FLOW'!AJ32-'20_CASH_FLOW'!AJ33),0)</f>
        <v>0</v>
      </c>
      <c r="AK34" s="58" t="n">
        <f aca="false">IF(OR('20_CASH_FLOW'!AK31=1,'06_CONSTRUCTION'!AK5='02_PROJECT_INPUTS'!$C$13),MAX(0,'20_CASH_FLOW'!AK32-'20_CASH_FLOW'!AK33),0)</f>
        <v>0</v>
      </c>
      <c r="AL34" s="58" t="n">
        <f aca="false">IF(OR('20_CASH_FLOW'!AL31=1,'06_CONSTRUCTION'!AL5='02_PROJECT_INPUTS'!$C$13),MAX(0,'20_CASH_FLOW'!AL32-'20_CASH_FLOW'!AL33),0)</f>
        <v>0</v>
      </c>
      <c r="AM34" s="58" t="n">
        <f aca="false">IF(OR('20_CASH_FLOW'!AM31=1,'06_CONSTRUCTION'!AM5='02_PROJECT_INPUTS'!$C$13),MAX(0,'20_CASH_FLOW'!AM32-'20_CASH_FLOW'!AM33),0)</f>
        <v>0</v>
      </c>
      <c r="AN34" s="58" t="n">
        <f aca="false">IF(OR('20_CASH_FLOW'!AN31=1,'06_CONSTRUCTION'!AN5='02_PROJECT_INPUTS'!$C$13),MAX(0,'20_CASH_FLOW'!AN32-'20_CASH_FLOW'!AN33),0)</f>
        <v>0</v>
      </c>
      <c r="AO34" s="58" t="n">
        <f aca="false">IF(OR('20_CASH_FLOW'!AO31=1,'06_CONSTRUCTION'!AO5='02_PROJECT_INPUTS'!$C$13),MAX(0,'20_CASH_FLOW'!AO32-'20_CASH_FLOW'!AO33),0)</f>
        <v>0</v>
      </c>
      <c r="AP34" s="58" t="n">
        <f aca="false">IF(OR('20_CASH_FLOW'!AP31=1,'06_CONSTRUCTION'!AP5='02_PROJECT_INPUTS'!$C$13),MAX(0,'20_CASH_FLOW'!AP32-'20_CASH_FLOW'!AP33),0)</f>
        <v>0</v>
      </c>
      <c r="AQ34" s="58" t="n">
        <f aca="false">IF(OR('20_CASH_FLOW'!AQ31=1,'06_CONSTRUCTION'!AQ5='02_PROJECT_INPUTS'!$C$13),MAX(0,'20_CASH_FLOW'!AQ32-'20_CASH_FLOW'!AQ33),0)</f>
        <v>0</v>
      </c>
      <c r="AR34" s="58" t="n">
        <f aca="false">IF(OR('20_CASH_FLOW'!AR31=1,'06_CONSTRUCTION'!AR5='02_PROJECT_INPUTS'!$C$13),MAX(0,'20_CASH_FLOW'!AR32-'20_CASH_FLOW'!AR33),0)</f>
        <v>0</v>
      </c>
    </row>
    <row r="35" customFormat="false" ht="15" hidden="false" customHeight="true" outlineLevel="0" collapsed="false">
      <c r="A35" s="23" t="s">
        <v>938</v>
      </c>
      <c r="B35" s="23" t="s">
        <v>121</v>
      </c>
      <c r="E35" s="58" t="n">
        <f aca="false">'20_CASH_FLOW'!E32-'20_CASH_FLOW'!E33-'20_CASH_FLOW'!E34</f>
        <v>0</v>
      </c>
      <c r="F35" s="58" t="n">
        <f aca="false">'20_CASH_FLOW'!F32-'20_CASH_FLOW'!F33-'20_CASH_FLOW'!F34</f>
        <v>0</v>
      </c>
      <c r="G35" s="58" t="n">
        <f aca="false">'20_CASH_FLOW'!G32-'20_CASH_FLOW'!G33-'20_CASH_FLOW'!G34</f>
        <v>0</v>
      </c>
      <c r="H35" s="58" t="n">
        <f aca="false">'20_CASH_FLOW'!H32-'20_CASH_FLOW'!H33-'20_CASH_FLOW'!H34</f>
        <v>0</v>
      </c>
      <c r="I35" s="58" t="n">
        <f aca="false">'20_CASH_FLOW'!I32-'20_CASH_FLOW'!I33-'20_CASH_FLOW'!I34</f>
        <v>0</v>
      </c>
      <c r="J35" s="58" t="n">
        <f aca="false">'20_CASH_FLOW'!J32-'20_CASH_FLOW'!J33-'20_CASH_FLOW'!J34</f>
        <v>0</v>
      </c>
      <c r="K35" s="58" t="n">
        <f aca="false">'20_CASH_FLOW'!K32-'20_CASH_FLOW'!K33-'20_CASH_FLOW'!K34</f>
        <v>0</v>
      </c>
      <c r="L35" s="58" t="n">
        <f aca="false">'20_CASH_FLOW'!L32-'20_CASH_FLOW'!L33-'20_CASH_FLOW'!L34</f>
        <v>0</v>
      </c>
      <c r="M35" s="58" t="n">
        <f aca="false">'20_CASH_FLOW'!M32-'20_CASH_FLOW'!M33-'20_CASH_FLOW'!M34</f>
        <v>0</v>
      </c>
      <c r="N35" s="58" t="n">
        <f aca="false">'20_CASH_FLOW'!N32-'20_CASH_FLOW'!N33-'20_CASH_FLOW'!N34</f>
        <v>0</v>
      </c>
      <c r="O35" s="58" t="n">
        <f aca="false">'20_CASH_FLOW'!O32-'20_CASH_FLOW'!O33-'20_CASH_FLOW'!O34</f>
        <v>0</v>
      </c>
      <c r="P35" s="58" t="n">
        <f aca="false">'20_CASH_FLOW'!P32-'20_CASH_FLOW'!P33-'20_CASH_FLOW'!P34</f>
        <v>0</v>
      </c>
      <c r="Q35" s="58" t="n">
        <f aca="false">'20_CASH_FLOW'!Q32-'20_CASH_FLOW'!Q33-'20_CASH_FLOW'!Q34</f>
        <v>0</v>
      </c>
      <c r="R35" s="58" t="n">
        <f aca="false">'20_CASH_FLOW'!R32-'20_CASH_FLOW'!R33-'20_CASH_FLOW'!R34</f>
        <v>0</v>
      </c>
      <c r="S35" s="58" t="n">
        <f aca="false">'20_CASH_FLOW'!S32-'20_CASH_FLOW'!S33-'20_CASH_FLOW'!S34</f>
        <v>0</v>
      </c>
      <c r="T35" s="58" t="n">
        <f aca="false">'20_CASH_FLOW'!T32-'20_CASH_FLOW'!T33-'20_CASH_FLOW'!T34</f>
        <v>0</v>
      </c>
      <c r="U35" s="58" t="n">
        <f aca="false">'20_CASH_FLOW'!U32-'20_CASH_FLOW'!U33-'20_CASH_FLOW'!U34</f>
        <v>0</v>
      </c>
      <c r="V35" s="58" t="n">
        <f aca="false">'20_CASH_FLOW'!V32-'20_CASH_FLOW'!V33-'20_CASH_FLOW'!V34</f>
        <v>0</v>
      </c>
      <c r="W35" s="58" t="n">
        <f aca="false">'20_CASH_FLOW'!W32-'20_CASH_FLOW'!W33-'20_CASH_FLOW'!W34</f>
        <v>0</v>
      </c>
      <c r="X35" s="58" t="n">
        <f aca="false">'20_CASH_FLOW'!X32-'20_CASH_FLOW'!X33-'20_CASH_FLOW'!X34</f>
        <v>0</v>
      </c>
      <c r="Y35" s="58" t="n">
        <f aca="false">'20_CASH_FLOW'!Y32-'20_CASH_FLOW'!Y33-'20_CASH_FLOW'!Y34</f>
        <v>0</v>
      </c>
      <c r="Z35" s="58" t="n">
        <f aca="false">'20_CASH_FLOW'!Z32-'20_CASH_FLOW'!Z33-'20_CASH_FLOW'!Z34</f>
        <v>0</v>
      </c>
      <c r="AA35" s="58" t="n">
        <f aca="false">'20_CASH_FLOW'!AA32-'20_CASH_FLOW'!AA33-'20_CASH_FLOW'!AA34</f>
        <v>0</v>
      </c>
      <c r="AB35" s="58" t="n">
        <f aca="false">'20_CASH_FLOW'!AB32-'20_CASH_FLOW'!AB33-'20_CASH_FLOW'!AB34</f>
        <v>0</v>
      </c>
      <c r="AC35" s="58" t="n">
        <f aca="false">'20_CASH_FLOW'!AC32-'20_CASH_FLOW'!AC33-'20_CASH_FLOW'!AC34</f>
        <v>0</v>
      </c>
      <c r="AD35" s="58" t="n">
        <f aca="false">'20_CASH_FLOW'!AD32-'20_CASH_FLOW'!AD33-'20_CASH_FLOW'!AD34</f>
        <v>0</v>
      </c>
      <c r="AE35" s="58" t="n">
        <f aca="false">'20_CASH_FLOW'!AE32-'20_CASH_FLOW'!AE33-'20_CASH_FLOW'!AE34</f>
        <v>0</v>
      </c>
      <c r="AF35" s="58" t="n">
        <f aca="false">'20_CASH_FLOW'!AF32-'20_CASH_FLOW'!AF33-'20_CASH_FLOW'!AF34</f>
        <v>0</v>
      </c>
      <c r="AG35" s="58" t="n">
        <f aca="false">'20_CASH_FLOW'!AG32-'20_CASH_FLOW'!AG33-'20_CASH_FLOW'!AG34</f>
        <v>0</v>
      </c>
      <c r="AH35" s="58" t="n">
        <f aca="false">'20_CASH_FLOW'!AH32-'20_CASH_FLOW'!AH33-'20_CASH_FLOW'!AH34</f>
        <v>0</v>
      </c>
      <c r="AI35" s="58" t="n">
        <f aca="false">'20_CASH_FLOW'!AI32-'20_CASH_FLOW'!AI33-'20_CASH_FLOW'!AI34</f>
        <v>0</v>
      </c>
      <c r="AJ35" s="58" t="n">
        <f aca="false">'20_CASH_FLOW'!AJ32-'20_CASH_FLOW'!AJ33-'20_CASH_FLOW'!AJ34</f>
        <v>0</v>
      </c>
      <c r="AK35" s="58" t="n">
        <f aca="false">'20_CASH_FLOW'!AK32-'20_CASH_FLOW'!AK33-'20_CASH_FLOW'!AK34</f>
        <v>0</v>
      </c>
      <c r="AL35" s="58" t="n">
        <f aca="false">'20_CASH_FLOW'!AL32-'20_CASH_FLOW'!AL33-'20_CASH_FLOW'!AL34</f>
        <v>0</v>
      </c>
      <c r="AM35" s="58" t="n">
        <f aca="false">'20_CASH_FLOW'!AM32-'20_CASH_FLOW'!AM33-'20_CASH_FLOW'!AM34</f>
        <v>0</v>
      </c>
      <c r="AN35" s="58" t="n">
        <f aca="false">'20_CASH_FLOW'!AN32-'20_CASH_FLOW'!AN33-'20_CASH_FLOW'!AN34</f>
        <v>0</v>
      </c>
      <c r="AO35" s="58" t="n">
        <f aca="false">'20_CASH_FLOW'!AO32-'20_CASH_FLOW'!AO33-'20_CASH_FLOW'!AO34</f>
        <v>0</v>
      </c>
      <c r="AP35" s="58" t="n">
        <f aca="false">'20_CASH_FLOW'!AP32-'20_CASH_FLOW'!AP33-'20_CASH_FLOW'!AP34</f>
        <v>0</v>
      </c>
      <c r="AQ35" s="58" t="n">
        <f aca="false">'20_CASH_FLOW'!AQ32-'20_CASH_FLOW'!AQ33-'20_CASH_FLOW'!AQ34</f>
        <v>0</v>
      </c>
      <c r="AR35" s="58" t="n">
        <f aca="false">'20_CASH_FLOW'!AR32-'20_CASH_FLOW'!AR33-'20_CASH_FLOW'!AR34</f>
        <v>0</v>
      </c>
    </row>
    <row r="36" customFormat="false" ht="15" hidden="false" customHeight="true" outlineLevel="0" collapsed="false">
      <c r="A36" s="21" t="s">
        <v>939</v>
      </c>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row>
    <row r="37" customFormat="false" ht="15" hidden="false" customHeight="true" outlineLevel="0" collapsed="false">
      <c r="A37" s="23" t="s">
        <v>940</v>
      </c>
      <c r="B37" s="23" t="s">
        <v>121</v>
      </c>
      <c r="C37" s="58" t="n">
        <f aca="false">SUM('20_CASH_FLOW'!$E$37:$AR$37)</f>
        <v>0</v>
      </c>
      <c r="E37" s="58" t="n">
        <f aca="false">'20_CASH_FLOW'!E30*'17A_STRUCTURES'!$C$12</f>
        <v>-0</v>
      </c>
      <c r="F37" s="58" t="n">
        <f aca="false">'20_CASH_FLOW'!F30*'17A_STRUCTURES'!$C$12</f>
        <v>-0</v>
      </c>
      <c r="G37" s="58" t="n">
        <f aca="false">'20_CASH_FLOW'!G30*'17A_STRUCTURES'!$C$12</f>
        <v>-0</v>
      </c>
      <c r="H37" s="58" t="n">
        <f aca="false">'20_CASH_FLOW'!H30*'17A_STRUCTURES'!$C$12</f>
        <v>0</v>
      </c>
      <c r="I37" s="58" t="n">
        <f aca="false">'20_CASH_FLOW'!I30*'17A_STRUCTURES'!$C$12</f>
        <v>0</v>
      </c>
      <c r="J37" s="58" t="n">
        <f aca="false">'20_CASH_FLOW'!J30*'17A_STRUCTURES'!$C$12</f>
        <v>0</v>
      </c>
      <c r="K37" s="58" t="n">
        <f aca="false">'20_CASH_FLOW'!K30*'17A_STRUCTURES'!$C$12</f>
        <v>0</v>
      </c>
      <c r="L37" s="58" t="n">
        <f aca="false">'20_CASH_FLOW'!L30*'17A_STRUCTURES'!$C$12</f>
        <v>0</v>
      </c>
      <c r="M37" s="58" t="n">
        <f aca="false">'20_CASH_FLOW'!M30*'17A_STRUCTURES'!$C$12</f>
        <v>0</v>
      </c>
      <c r="N37" s="58" t="n">
        <f aca="false">'20_CASH_FLOW'!N30*'17A_STRUCTURES'!$C$12</f>
        <v>0</v>
      </c>
      <c r="O37" s="58" t="n">
        <f aca="false">'20_CASH_FLOW'!O30*'17A_STRUCTURES'!$C$12</f>
        <v>0</v>
      </c>
      <c r="P37" s="58" t="n">
        <f aca="false">'20_CASH_FLOW'!P30*'17A_STRUCTURES'!$C$12</f>
        <v>0</v>
      </c>
      <c r="Q37" s="58" t="n">
        <f aca="false">'20_CASH_FLOW'!Q30*'17A_STRUCTURES'!$C$12</f>
        <v>0</v>
      </c>
      <c r="R37" s="58" t="n">
        <f aca="false">'20_CASH_FLOW'!R30*'17A_STRUCTURES'!$C$12</f>
        <v>0</v>
      </c>
      <c r="S37" s="58" t="n">
        <f aca="false">'20_CASH_FLOW'!S30*'17A_STRUCTURES'!$C$12</f>
        <v>0</v>
      </c>
      <c r="T37" s="58" t="n">
        <f aca="false">'20_CASH_FLOW'!T30*'17A_STRUCTURES'!$C$12</f>
        <v>0</v>
      </c>
      <c r="U37" s="58" t="n">
        <f aca="false">'20_CASH_FLOW'!U30*'17A_STRUCTURES'!$C$12</f>
        <v>0</v>
      </c>
      <c r="V37" s="58" t="n">
        <f aca="false">'20_CASH_FLOW'!V30*'17A_STRUCTURES'!$C$12</f>
        <v>0</v>
      </c>
      <c r="W37" s="58" t="n">
        <f aca="false">'20_CASH_FLOW'!W30*'17A_STRUCTURES'!$C$12</f>
        <v>0</v>
      </c>
      <c r="X37" s="58" t="n">
        <f aca="false">'20_CASH_FLOW'!X30*'17A_STRUCTURES'!$C$12</f>
        <v>0</v>
      </c>
      <c r="Y37" s="58" t="n">
        <f aca="false">'20_CASH_FLOW'!Y30*'17A_STRUCTURES'!$C$12</f>
        <v>0</v>
      </c>
      <c r="Z37" s="58" t="n">
        <f aca="false">'20_CASH_FLOW'!Z30*'17A_STRUCTURES'!$C$12</f>
        <v>0</v>
      </c>
      <c r="AA37" s="58" t="n">
        <f aca="false">'20_CASH_FLOW'!AA30*'17A_STRUCTURES'!$C$12</f>
        <v>0</v>
      </c>
      <c r="AB37" s="58" t="n">
        <f aca="false">'20_CASH_FLOW'!AB30*'17A_STRUCTURES'!$C$12</f>
        <v>0</v>
      </c>
      <c r="AC37" s="58" t="n">
        <f aca="false">'20_CASH_FLOW'!AC30*'17A_STRUCTURES'!$C$12</f>
        <v>0</v>
      </c>
      <c r="AD37" s="58" t="n">
        <f aca="false">'20_CASH_FLOW'!AD30*'17A_STRUCTURES'!$C$12</f>
        <v>0</v>
      </c>
      <c r="AE37" s="58" t="n">
        <f aca="false">'20_CASH_FLOW'!AE30*'17A_STRUCTURES'!$C$12</f>
        <v>0</v>
      </c>
      <c r="AF37" s="58" t="n">
        <f aca="false">'20_CASH_FLOW'!AF30*'17A_STRUCTURES'!$C$12</f>
        <v>0</v>
      </c>
      <c r="AG37" s="58" t="n">
        <f aca="false">'20_CASH_FLOW'!AG30*'17A_STRUCTURES'!$C$12</f>
        <v>-0</v>
      </c>
      <c r="AH37" s="58" t="n">
        <f aca="false">'20_CASH_FLOW'!AH30*'17A_STRUCTURES'!$C$12</f>
        <v>-0</v>
      </c>
      <c r="AI37" s="58" t="n">
        <f aca="false">'20_CASH_FLOW'!AI30*'17A_STRUCTURES'!$C$12</f>
        <v>-0</v>
      </c>
      <c r="AJ37" s="58" t="n">
        <f aca="false">'20_CASH_FLOW'!AJ30*'17A_STRUCTURES'!$C$12</f>
        <v>-0</v>
      </c>
      <c r="AK37" s="58" t="n">
        <f aca="false">'20_CASH_FLOW'!AK30*'17A_STRUCTURES'!$C$12</f>
        <v>-0</v>
      </c>
      <c r="AL37" s="58" t="n">
        <f aca="false">'20_CASH_FLOW'!AL30*'17A_STRUCTURES'!$C$12</f>
        <v>-0</v>
      </c>
      <c r="AM37" s="58" t="n">
        <f aca="false">'20_CASH_FLOW'!AM30*'17A_STRUCTURES'!$C$12</f>
        <v>-0</v>
      </c>
      <c r="AN37" s="58" t="n">
        <f aca="false">'20_CASH_FLOW'!AN30*'17A_STRUCTURES'!$C$12</f>
        <v>-0</v>
      </c>
      <c r="AO37" s="58" t="n">
        <f aca="false">'20_CASH_FLOW'!AO30*'17A_STRUCTURES'!$C$12</f>
        <v>-0</v>
      </c>
      <c r="AP37" s="58" t="n">
        <f aca="false">'20_CASH_FLOW'!AP30*'17A_STRUCTURES'!$C$12</f>
        <v>-0</v>
      </c>
      <c r="AQ37" s="58" t="n">
        <f aca="false">'20_CASH_FLOW'!AQ30*'17A_STRUCTURES'!$C$12</f>
        <v>-0</v>
      </c>
      <c r="AR37" s="58" t="n">
        <f aca="false">'20_CASH_FLOW'!AR30*'17A_STRUCTURES'!$C$12</f>
        <v>-0</v>
      </c>
    </row>
    <row r="38" customFormat="false" ht="15" hidden="false" customHeight="true" outlineLevel="0" collapsed="false">
      <c r="A38" s="23" t="s">
        <v>941</v>
      </c>
      <c r="B38" s="23" t="s">
        <v>121</v>
      </c>
      <c r="C38" s="58" t="n">
        <f aca="false">SUM('20_CASH_FLOW'!$E$38:$AR$38)</f>
        <v>0</v>
      </c>
      <c r="E38" s="58" t="n">
        <f aca="false">'20_CASH_FLOW'!E30-'20_CASH_FLOW'!E37</f>
        <v>0</v>
      </c>
      <c r="F38" s="58" t="n">
        <f aca="false">'20_CASH_FLOW'!F30-'20_CASH_FLOW'!F37</f>
        <v>0</v>
      </c>
      <c r="G38" s="58" t="n">
        <f aca="false">'20_CASH_FLOW'!G30-'20_CASH_FLOW'!G37</f>
        <v>0</v>
      </c>
      <c r="H38" s="58" t="n">
        <f aca="false">'20_CASH_FLOW'!H30-'20_CASH_FLOW'!H37</f>
        <v>0</v>
      </c>
      <c r="I38" s="58" t="n">
        <f aca="false">'20_CASH_FLOW'!I30-'20_CASH_FLOW'!I37</f>
        <v>0</v>
      </c>
      <c r="J38" s="58" t="n">
        <f aca="false">'20_CASH_FLOW'!J30-'20_CASH_FLOW'!J37</f>
        <v>0</v>
      </c>
      <c r="K38" s="58" t="n">
        <f aca="false">'20_CASH_FLOW'!K30-'20_CASH_FLOW'!K37</f>
        <v>0</v>
      </c>
      <c r="L38" s="58" t="n">
        <f aca="false">'20_CASH_FLOW'!L30-'20_CASH_FLOW'!L37</f>
        <v>0</v>
      </c>
      <c r="M38" s="58" t="n">
        <f aca="false">'20_CASH_FLOW'!M30-'20_CASH_FLOW'!M37</f>
        <v>0</v>
      </c>
      <c r="N38" s="58" t="n">
        <f aca="false">'20_CASH_FLOW'!N30-'20_CASH_FLOW'!N37</f>
        <v>0</v>
      </c>
      <c r="O38" s="58" t="n">
        <f aca="false">'20_CASH_FLOW'!O30-'20_CASH_FLOW'!O37</f>
        <v>0</v>
      </c>
      <c r="P38" s="58" t="n">
        <f aca="false">'20_CASH_FLOW'!P30-'20_CASH_FLOW'!P37</f>
        <v>0</v>
      </c>
      <c r="Q38" s="58" t="n">
        <f aca="false">'20_CASH_FLOW'!Q30-'20_CASH_FLOW'!Q37</f>
        <v>0</v>
      </c>
      <c r="R38" s="58" t="n">
        <f aca="false">'20_CASH_FLOW'!R30-'20_CASH_FLOW'!R37</f>
        <v>0</v>
      </c>
      <c r="S38" s="58" t="n">
        <f aca="false">'20_CASH_FLOW'!S30-'20_CASH_FLOW'!S37</f>
        <v>0</v>
      </c>
      <c r="T38" s="58" t="n">
        <f aca="false">'20_CASH_FLOW'!T30-'20_CASH_FLOW'!T37</f>
        <v>0</v>
      </c>
      <c r="U38" s="58" t="n">
        <f aca="false">'20_CASH_FLOW'!U30-'20_CASH_FLOW'!U37</f>
        <v>0</v>
      </c>
      <c r="V38" s="58" t="n">
        <f aca="false">'20_CASH_FLOW'!V30-'20_CASH_FLOW'!V37</f>
        <v>0</v>
      </c>
      <c r="W38" s="58" t="n">
        <f aca="false">'20_CASH_FLOW'!W30-'20_CASH_FLOW'!W37</f>
        <v>0</v>
      </c>
      <c r="X38" s="58" t="n">
        <f aca="false">'20_CASH_FLOW'!X30-'20_CASH_FLOW'!X37</f>
        <v>0</v>
      </c>
      <c r="Y38" s="58" t="n">
        <f aca="false">'20_CASH_FLOW'!Y30-'20_CASH_FLOW'!Y37</f>
        <v>0</v>
      </c>
      <c r="Z38" s="58" t="n">
        <f aca="false">'20_CASH_FLOW'!Z30-'20_CASH_FLOW'!Z37</f>
        <v>0</v>
      </c>
      <c r="AA38" s="58" t="n">
        <f aca="false">'20_CASH_FLOW'!AA30-'20_CASH_FLOW'!AA37</f>
        <v>0</v>
      </c>
      <c r="AB38" s="58" t="n">
        <f aca="false">'20_CASH_FLOW'!AB30-'20_CASH_FLOW'!AB37</f>
        <v>0</v>
      </c>
      <c r="AC38" s="58" t="n">
        <f aca="false">'20_CASH_FLOW'!AC30-'20_CASH_FLOW'!AC37</f>
        <v>0</v>
      </c>
      <c r="AD38" s="58" t="n">
        <f aca="false">'20_CASH_FLOW'!AD30-'20_CASH_FLOW'!AD37</f>
        <v>0</v>
      </c>
      <c r="AE38" s="58" t="n">
        <f aca="false">'20_CASH_FLOW'!AE30-'20_CASH_FLOW'!AE37</f>
        <v>0</v>
      </c>
      <c r="AF38" s="58" t="n">
        <f aca="false">'20_CASH_FLOW'!AF30-'20_CASH_FLOW'!AF37</f>
        <v>0</v>
      </c>
      <c r="AG38" s="58" t="n">
        <f aca="false">'20_CASH_FLOW'!AG30-'20_CASH_FLOW'!AG37</f>
        <v>0</v>
      </c>
      <c r="AH38" s="58" t="n">
        <f aca="false">'20_CASH_FLOW'!AH30-'20_CASH_FLOW'!AH37</f>
        <v>0</v>
      </c>
      <c r="AI38" s="58" t="n">
        <f aca="false">'20_CASH_FLOW'!AI30-'20_CASH_FLOW'!AI37</f>
        <v>0</v>
      </c>
      <c r="AJ38" s="58" t="n">
        <f aca="false">'20_CASH_FLOW'!AJ30-'20_CASH_FLOW'!AJ37</f>
        <v>0</v>
      </c>
      <c r="AK38" s="58" t="n">
        <f aca="false">'20_CASH_FLOW'!AK30-'20_CASH_FLOW'!AK37</f>
        <v>0</v>
      </c>
      <c r="AL38" s="58" t="n">
        <f aca="false">'20_CASH_FLOW'!AL30-'20_CASH_FLOW'!AL37</f>
        <v>0</v>
      </c>
      <c r="AM38" s="58" t="n">
        <f aca="false">'20_CASH_FLOW'!AM30-'20_CASH_FLOW'!AM37</f>
        <v>0</v>
      </c>
      <c r="AN38" s="58" t="n">
        <f aca="false">'20_CASH_FLOW'!AN30-'20_CASH_FLOW'!AN37</f>
        <v>0</v>
      </c>
      <c r="AO38" s="58" t="n">
        <f aca="false">'20_CASH_FLOW'!AO30-'20_CASH_FLOW'!AO37</f>
        <v>0</v>
      </c>
      <c r="AP38" s="58" t="n">
        <f aca="false">'20_CASH_FLOW'!AP30-'20_CASH_FLOW'!AP37</f>
        <v>0</v>
      </c>
      <c r="AQ38" s="58" t="n">
        <f aca="false">'20_CASH_FLOW'!AQ30-'20_CASH_FLOW'!AQ37</f>
        <v>0</v>
      </c>
      <c r="AR38" s="58" t="n">
        <f aca="false">'20_CASH_FLOW'!AR30-'20_CASH_FLOW'!AR37</f>
        <v>0</v>
      </c>
    </row>
    <row r="39" customFormat="false" ht="15" hidden="false" customHeight="true" outlineLevel="0" collapsed="false">
      <c r="A39" s="23" t="s">
        <v>942</v>
      </c>
      <c r="B39" s="23" t="s">
        <v>121</v>
      </c>
      <c r="E39" s="58" t="n">
        <f aca="false">'20_CASH_FLOW'!D39+'20_CASH_FLOW'!E37-'20_CASH_FLOW'!E33</f>
        <v>0</v>
      </c>
      <c r="F39" s="58" t="n">
        <f aca="false">'20_CASH_FLOW'!E39+'20_CASH_FLOW'!F37-'20_CASH_FLOW'!F33</f>
        <v>0</v>
      </c>
      <c r="G39" s="58" t="n">
        <f aca="false">'20_CASH_FLOW'!F39+'20_CASH_FLOW'!G37-'20_CASH_FLOW'!G33</f>
        <v>0</v>
      </c>
      <c r="H39" s="58" t="n">
        <f aca="false">'20_CASH_FLOW'!G39+'20_CASH_FLOW'!H37-'20_CASH_FLOW'!H33</f>
        <v>0</v>
      </c>
      <c r="I39" s="58" t="n">
        <f aca="false">'20_CASH_FLOW'!H39+'20_CASH_FLOW'!I37-'20_CASH_FLOW'!I33</f>
        <v>0</v>
      </c>
      <c r="J39" s="58" t="n">
        <f aca="false">'20_CASH_FLOW'!I39+'20_CASH_FLOW'!J37-'20_CASH_FLOW'!J33</f>
        <v>0</v>
      </c>
      <c r="K39" s="58" t="n">
        <f aca="false">'20_CASH_FLOW'!J39+'20_CASH_FLOW'!K37-'20_CASH_FLOW'!K33</f>
        <v>0</v>
      </c>
      <c r="L39" s="58" t="n">
        <f aca="false">'20_CASH_FLOW'!K39+'20_CASH_FLOW'!L37-'20_CASH_FLOW'!L33</f>
        <v>0</v>
      </c>
      <c r="M39" s="58" t="n">
        <f aca="false">'20_CASH_FLOW'!L39+'20_CASH_FLOW'!M37-'20_CASH_FLOW'!M33</f>
        <v>0</v>
      </c>
      <c r="N39" s="58" t="n">
        <f aca="false">'20_CASH_FLOW'!M39+'20_CASH_FLOW'!N37-'20_CASH_FLOW'!N33</f>
        <v>0</v>
      </c>
      <c r="O39" s="58" t="n">
        <f aca="false">'20_CASH_FLOW'!N39+'20_CASH_FLOW'!O37-'20_CASH_FLOW'!O33</f>
        <v>0</v>
      </c>
      <c r="P39" s="58" t="n">
        <f aca="false">'20_CASH_FLOW'!O39+'20_CASH_FLOW'!P37-'20_CASH_FLOW'!P33</f>
        <v>0</v>
      </c>
      <c r="Q39" s="58" t="n">
        <f aca="false">'20_CASH_FLOW'!P39+'20_CASH_FLOW'!Q37-'20_CASH_FLOW'!Q33</f>
        <v>0</v>
      </c>
      <c r="R39" s="58" t="n">
        <f aca="false">'20_CASH_FLOW'!Q39+'20_CASH_FLOW'!R37-'20_CASH_FLOW'!R33</f>
        <v>0</v>
      </c>
      <c r="S39" s="58" t="n">
        <f aca="false">'20_CASH_FLOW'!R39+'20_CASH_FLOW'!S37-'20_CASH_FLOW'!S33</f>
        <v>0</v>
      </c>
      <c r="T39" s="58" t="n">
        <f aca="false">'20_CASH_FLOW'!S39+'20_CASH_FLOW'!T37-'20_CASH_FLOW'!T33</f>
        <v>0</v>
      </c>
      <c r="U39" s="58" t="n">
        <f aca="false">'20_CASH_FLOW'!T39+'20_CASH_FLOW'!U37-'20_CASH_FLOW'!U33</f>
        <v>0</v>
      </c>
      <c r="V39" s="58" t="n">
        <f aca="false">'20_CASH_FLOW'!U39+'20_CASH_FLOW'!V37-'20_CASH_FLOW'!V33</f>
        <v>0</v>
      </c>
      <c r="W39" s="58" t="n">
        <f aca="false">'20_CASH_FLOW'!V39+'20_CASH_FLOW'!W37-'20_CASH_FLOW'!W33</f>
        <v>0</v>
      </c>
      <c r="X39" s="58" t="n">
        <f aca="false">'20_CASH_FLOW'!W39+'20_CASH_FLOW'!X37-'20_CASH_FLOW'!X33</f>
        <v>0</v>
      </c>
      <c r="Y39" s="58" t="n">
        <f aca="false">'20_CASH_FLOW'!X39+'20_CASH_FLOW'!Y37-'20_CASH_FLOW'!Y33</f>
        <v>0</v>
      </c>
      <c r="Z39" s="58" t="n">
        <f aca="false">'20_CASH_FLOW'!Y39+'20_CASH_FLOW'!Z37-'20_CASH_FLOW'!Z33</f>
        <v>0</v>
      </c>
      <c r="AA39" s="58" t="n">
        <f aca="false">'20_CASH_FLOW'!Z39+'20_CASH_FLOW'!AA37-'20_CASH_FLOW'!AA33</f>
        <v>0</v>
      </c>
      <c r="AB39" s="58" t="n">
        <f aca="false">'20_CASH_FLOW'!AA39+'20_CASH_FLOW'!AB37-'20_CASH_FLOW'!AB33</f>
        <v>0</v>
      </c>
      <c r="AC39" s="58" t="n">
        <f aca="false">'20_CASH_FLOW'!AB39+'20_CASH_FLOW'!AC37-'20_CASH_FLOW'!AC33</f>
        <v>0</v>
      </c>
      <c r="AD39" s="58" t="n">
        <f aca="false">'20_CASH_FLOW'!AC39+'20_CASH_FLOW'!AD37-'20_CASH_FLOW'!AD33</f>
        <v>0</v>
      </c>
      <c r="AE39" s="58" t="n">
        <f aca="false">'20_CASH_FLOW'!AD39+'20_CASH_FLOW'!AE37-'20_CASH_FLOW'!AE33</f>
        <v>0</v>
      </c>
      <c r="AF39" s="58" t="n">
        <f aca="false">'20_CASH_FLOW'!AE39+'20_CASH_FLOW'!AF37-'20_CASH_FLOW'!AF33</f>
        <v>0</v>
      </c>
      <c r="AG39" s="58" t="n">
        <f aca="false">'20_CASH_FLOW'!AF39+'20_CASH_FLOW'!AG37-'20_CASH_FLOW'!AG33</f>
        <v>0</v>
      </c>
      <c r="AH39" s="58" t="n">
        <f aca="false">'20_CASH_FLOW'!AG39+'20_CASH_FLOW'!AH37-'20_CASH_FLOW'!AH33</f>
        <v>0</v>
      </c>
      <c r="AI39" s="58" t="n">
        <f aca="false">'20_CASH_FLOW'!AH39+'20_CASH_FLOW'!AI37-'20_CASH_FLOW'!AI33</f>
        <v>0</v>
      </c>
      <c r="AJ39" s="58" t="n">
        <f aca="false">'20_CASH_FLOW'!AI39+'20_CASH_FLOW'!AJ37-'20_CASH_FLOW'!AJ33</f>
        <v>0</v>
      </c>
      <c r="AK39" s="58" t="n">
        <f aca="false">'20_CASH_FLOW'!AJ39+'20_CASH_FLOW'!AK37-'20_CASH_FLOW'!AK33</f>
        <v>0</v>
      </c>
      <c r="AL39" s="58" t="n">
        <f aca="false">'20_CASH_FLOW'!AK39+'20_CASH_FLOW'!AL37-'20_CASH_FLOW'!AL33</f>
        <v>0</v>
      </c>
      <c r="AM39" s="58" t="n">
        <f aca="false">'20_CASH_FLOW'!AL39+'20_CASH_FLOW'!AM37-'20_CASH_FLOW'!AM33</f>
        <v>0</v>
      </c>
      <c r="AN39" s="58" t="n">
        <f aca="false">'20_CASH_FLOW'!AM39+'20_CASH_FLOW'!AN37-'20_CASH_FLOW'!AN33</f>
        <v>0</v>
      </c>
      <c r="AO39" s="58" t="n">
        <f aca="false">'20_CASH_FLOW'!AN39+'20_CASH_FLOW'!AO37-'20_CASH_FLOW'!AO33</f>
        <v>0</v>
      </c>
      <c r="AP39" s="58" t="n">
        <f aca="false">'20_CASH_FLOW'!AO39+'20_CASH_FLOW'!AP37-'20_CASH_FLOW'!AP33</f>
        <v>0</v>
      </c>
      <c r="AQ39" s="58" t="n">
        <f aca="false">'20_CASH_FLOW'!AP39+'20_CASH_FLOW'!AQ37-'20_CASH_FLOW'!AQ33</f>
        <v>0</v>
      </c>
      <c r="AR39" s="58" t="n">
        <f aca="false">'20_CASH_FLOW'!AQ39+'20_CASH_FLOW'!AR37-'20_CASH_FLOW'!AR33</f>
        <v>0</v>
      </c>
    </row>
    <row r="40" customFormat="false" ht="15" hidden="false" customHeight="true" outlineLevel="0" collapsed="false">
      <c r="A40" s="23" t="s">
        <v>943</v>
      </c>
      <c r="B40" s="23" t="s">
        <v>121</v>
      </c>
      <c r="C40" s="58" t="n">
        <f aca="false">SUM('20_CASH_FLOW'!$E$40:$AR$40)</f>
        <v>0</v>
      </c>
      <c r="E40" s="58" t="n">
        <f aca="false">-'20_CASH_FLOW'!E11+('20_CASH_FLOW'!E34-'20_CASH_FLOW'!E38)*'19_EQUITY'!$C$7</f>
        <v>0</v>
      </c>
      <c r="F40" s="58" t="n">
        <f aca="false">-'20_CASH_FLOW'!F11+('20_CASH_FLOW'!F34-'20_CASH_FLOW'!F38)*'19_EQUITY'!$C$7</f>
        <v>0</v>
      </c>
      <c r="G40" s="58" t="n">
        <f aca="false">-'20_CASH_FLOW'!G11+('20_CASH_FLOW'!G34-'20_CASH_FLOW'!G38)*'19_EQUITY'!$C$7</f>
        <v>0</v>
      </c>
      <c r="H40" s="58" t="n">
        <f aca="false">-'20_CASH_FLOW'!H11+('20_CASH_FLOW'!H34-'20_CASH_FLOW'!H38)*'19_EQUITY'!$C$7</f>
        <v>0</v>
      </c>
      <c r="I40" s="58" t="n">
        <f aca="false">-'20_CASH_FLOW'!I11+('20_CASH_FLOW'!I34-'20_CASH_FLOW'!I38)*'19_EQUITY'!$C$7</f>
        <v>0</v>
      </c>
      <c r="J40" s="58" t="n">
        <f aca="false">-'20_CASH_FLOW'!J11+('20_CASH_FLOW'!J34-'20_CASH_FLOW'!J38)*'19_EQUITY'!$C$7</f>
        <v>0</v>
      </c>
      <c r="K40" s="58" t="n">
        <f aca="false">-'20_CASH_FLOW'!K11+('20_CASH_FLOW'!K34-'20_CASH_FLOW'!K38)*'19_EQUITY'!$C$7</f>
        <v>0</v>
      </c>
      <c r="L40" s="58" t="n">
        <f aca="false">-'20_CASH_FLOW'!L11+('20_CASH_FLOW'!L34-'20_CASH_FLOW'!L38)*'19_EQUITY'!$C$7</f>
        <v>0</v>
      </c>
      <c r="M40" s="58" t="n">
        <f aca="false">-'20_CASH_FLOW'!M11+('20_CASH_FLOW'!M34-'20_CASH_FLOW'!M38)*'19_EQUITY'!$C$7</f>
        <v>0</v>
      </c>
      <c r="N40" s="58" t="n">
        <f aca="false">-'20_CASH_FLOW'!N11+('20_CASH_FLOW'!N34-'20_CASH_FLOW'!N38)*'19_EQUITY'!$C$7</f>
        <v>0</v>
      </c>
      <c r="O40" s="58" t="n">
        <f aca="false">-'20_CASH_FLOW'!O11+('20_CASH_FLOW'!O34-'20_CASH_FLOW'!O38)*'19_EQUITY'!$C$7</f>
        <v>0</v>
      </c>
      <c r="P40" s="58" t="n">
        <f aca="false">-'20_CASH_FLOW'!P11+('20_CASH_FLOW'!P34-'20_CASH_FLOW'!P38)*'19_EQUITY'!$C$7</f>
        <v>0</v>
      </c>
      <c r="Q40" s="58" t="n">
        <f aca="false">-'20_CASH_FLOW'!Q11+('20_CASH_FLOW'!Q34-'20_CASH_FLOW'!Q38)*'19_EQUITY'!$C$7</f>
        <v>0</v>
      </c>
      <c r="R40" s="58" t="n">
        <f aca="false">-'20_CASH_FLOW'!R11+('20_CASH_FLOW'!R34-'20_CASH_FLOW'!R38)*'19_EQUITY'!$C$7</f>
        <v>0</v>
      </c>
      <c r="S40" s="58" t="n">
        <f aca="false">-'20_CASH_FLOW'!S11+('20_CASH_FLOW'!S34-'20_CASH_FLOW'!S38)*'19_EQUITY'!$C$7</f>
        <v>0</v>
      </c>
      <c r="T40" s="58" t="n">
        <f aca="false">-'20_CASH_FLOW'!T11+('20_CASH_FLOW'!T34-'20_CASH_FLOW'!T38)*'19_EQUITY'!$C$7</f>
        <v>0</v>
      </c>
      <c r="U40" s="58" t="n">
        <f aca="false">-'20_CASH_FLOW'!U11+('20_CASH_FLOW'!U34-'20_CASH_FLOW'!U38)*'19_EQUITY'!$C$7</f>
        <v>0</v>
      </c>
      <c r="V40" s="58" t="n">
        <f aca="false">-'20_CASH_FLOW'!V11+('20_CASH_FLOW'!V34-'20_CASH_FLOW'!V38)*'19_EQUITY'!$C$7</f>
        <v>0</v>
      </c>
      <c r="W40" s="58" t="n">
        <f aca="false">-'20_CASH_FLOW'!W11+('20_CASH_FLOW'!W34-'20_CASH_FLOW'!W38)*'19_EQUITY'!$C$7</f>
        <v>0</v>
      </c>
      <c r="X40" s="58" t="n">
        <f aca="false">-'20_CASH_FLOW'!X11+('20_CASH_FLOW'!X34-'20_CASH_FLOW'!X38)*'19_EQUITY'!$C$7</f>
        <v>0</v>
      </c>
      <c r="Y40" s="58" t="n">
        <f aca="false">-'20_CASH_FLOW'!Y11+('20_CASH_FLOW'!Y34-'20_CASH_FLOW'!Y38)*'19_EQUITY'!$C$7</f>
        <v>0</v>
      </c>
      <c r="Z40" s="58" t="n">
        <f aca="false">-'20_CASH_FLOW'!Z11+('20_CASH_FLOW'!Z34-'20_CASH_FLOW'!Z38)*'19_EQUITY'!$C$7</f>
        <v>0</v>
      </c>
      <c r="AA40" s="58" t="n">
        <f aca="false">-'20_CASH_FLOW'!AA11+('20_CASH_FLOW'!AA34-'20_CASH_FLOW'!AA38)*'19_EQUITY'!$C$7</f>
        <v>0</v>
      </c>
      <c r="AB40" s="58" t="n">
        <f aca="false">-'20_CASH_FLOW'!AB11+('20_CASH_FLOW'!AB34-'20_CASH_FLOW'!AB38)*'19_EQUITY'!$C$7</f>
        <v>0</v>
      </c>
      <c r="AC40" s="58" t="n">
        <f aca="false">-'20_CASH_FLOW'!AC11+('20_CASH_FLOW'!AC34-'20_CASH_FLOW'!AC38)*'19_EQUITY'!$C$7</f>
        <v>0</v>
      </c>
      <c r="AD40" s="58" t="n">
        <f aca="false">-'20_CASH_FLOW'!AD11+('20_CASH_FLOW'!AD34-'20_CASH_FLOW'!AD38)*'19_EQUITY'!$C$7</f>
        <v>0</v>
      </c>
      <c r="AE40" s="58" t="n">
        <f aca="false">-'20_CASH_FLOW'!AE11+('20_CASH_FLOW'!AE34-'20_CASH_FLOW'!AE38)*'19_EQUITY'!$C$7</f>
        <v>0</v>
      </c>
      <c r="AF40" s="58" t="n">
        <f aca="false">-'20_CASH_FLOW'!AF11+('20_CASH_FLOW'!AF34-'20_CASH_FLOW'!AF38)*'19_EQUITY'!$C$7</f>
        <v>0</v>
      </c>
      <c r="AG40" s="58" t="n">
        <f aca="false">-'20_CASH_FLOW'!AG11+('20_CASH_FLOW'!AG34-'20_CASH_FLOW'!AG38)*'19_EQUITY'!$C$7</f>
        <v>0</v>
      </c>
      <c r="AH40" s="58" t="n">
        <f aca="false">-'20_CASH_FLOW'!AH11+('20_CASH_FLOW'!AH34-'20_CASH_FLOW'!AH38)*'19_EQUITY'!$C$7</f>
        <v>0</v>
      </c>
      <c r="AI40" s="58" t="n">
        <f aca="false">-'20_CASH_FLOW'!AI11+('20_CASH_FLOW'!AI34-'20_CASH_FLOW'!AI38)*'19_EQUITY'!$C$7</f>
        <v>0</v>
      </c>
      <c r="AJ40" s="58" t="n">
        <f aca="false">-'20_CASH_FLOW'!AJ11+('20_CASH_FLOW'!AJ34-'20_CASH_FLOW'!AJ38)*'19_EQUITY'!$C$7</f>
        <v>0</v>
      </c>
      <c r="AK40" s="58" t="n">
        <f aca="false">-'20_CASH_FLOW'!AK11+('20_CASH_FLOW'!AK34-'20_CASH_FLOW'!AK38)*'19_EQUITY'!$C$7</f>
        <v>0</v>
      </c>
      <c r="AL40" s="58" t="n">
        <f aca="false">-'20_CASH_FLOW'!AL11+('20_CASH_FLOW'!AL34-'20_CASH_FLOW'!AL38)*'19_EQUITY'!$C$7</f>
        <v>0</v>
      </c>
      <c r="AM40" s="58" t="n">
        <f aca="false">-'20_CASH_FLOW'!AM11+('20_CASH_FLOW'!AM34-'20_CASH_FLOW'!AM38)*'19_EQUITY'!$C$7</f>
        <v>0</v>
      </c>
      <c r="AN40" s="58" t="n">
        <f aca="false">-'20_CASH_FLOW'!AN11+('20_CASH_FLOW'!AN34-'20_CASH_FLOW'!AN38)*'19_EQUITY'!$C$7</f>
        <v>0</v>
      </c>
      <c r="AO40" s="58" t="n">
        <f aca="false">-'20_CASH_FLOW'!AO11+('20_CASH_FLOW'!AO34-'20_CASH_FLOW'!AO38)*'19_EQUITY'!$C$7</f>
        <v>0</v>
      </c>
      <c r="AP40" s="58" t="n">
        <f aca="false">-'20_CASH_FLOW'!AP11+('20_CASH_FLOW'!AP34-'20_CASH_FLOW'!AP38)*'19_EQUITY'!$C$7</f>
        <v>0</v>
      </c>
      <c r="AQ40" s="58" t="n">
        <f aca="false">-'20_CASH_FLOW'!AQ11+('20_CASH_FLOW'!AQ34-'20_CASH_FLOW'!AQ38)*'19_EQUITY'!$C$7</f>
        <v>0</v>
      </c>
      <c r="AR40" s="58" t="n">
        <f aca="false">-'20_CASH_FLOW'!AR11+('20_CASH_FLOW'!AR34-'20_CASH_FLOW'!AR38)*'19_EQUITY'!$C$7</f>
        <v>0</v>
      </c>
    </row>
    <row r="41" customFormat="false" ht="15" hidden="false" customHeight="true" outlineLevel="0" collapsed="false">
      <c r="A41" s="19" t="s">
        <v>944</v>
      </c>
      <c r="B41" s="23" t="s">
        <v>121</v>
      </c>
      <c r="C41" s="58" t="n">
        <f aca="false">SUM('20_CASH_FLOW'!$E$41:$AR$41)</f>
        <v>312.580487872616</v>
      </c>
      <c r="E41" s="72" t="n">
        <f aca="false">-'20_CASH_FLOW'!E12+('20_CASH_FLOW'!E34-'20_CASH_FLOW'!E38)*(1-'19_EQUITY'!$C$7)</f>
        <v>-12.9236870598323</v>
      </c>
      <c r="F41" s="72" t="n">
        <f aca="false">-'20_CASH_FLOW'!F12+('20_CASH_FLOW'!F34-'20_CASH_FLOW'!F38)*(1-'19_EQUITY'!$C$7)</f>
        <v>-24.3112172614676</v>
      </c>
      <c r="G41" s="72" t="n">
        <f aca="false">-'20_CASH_FLOW'!G12+('20_CASH_FLOW'!G34-'20_CASH_FLOW'!G38)*(1-'19_EQUITY'!$C$7)</f>
        <v>-32.3732966832598</v>
      </c>
      <c r="H41" s="72" t="n">
        <f aca="false">-'20_CASH_FLOW'!H12+('20_CASH_FLOW'!H34-'20_CASH_FLOW'!H38)*(1-'19_EQUITY'!$C$7)</f>
        <v>6.07974450455133</v>
      </c>
      <c r="I41" s="72" t="n">
        <f aca="false">-'20_CASH_FLOW'!I12+('20_CASH_FLOW'!I34-'20_CASH_FLOW'!I38)*(1-'19_EQUITY'!$C$7)</f>
        <v>9.45661660773896</v>
      </c>
      <c r="J41" s="72" t="n">
        <f aca="false">-'20_CASH_FLOW'!J12+('20_CASH_FLOW'!J34-'20_CASH_FLOW'!J38)*(1-'19_EQUITY'!$C$7)</f>
        <v>9.53700186694667</v>
      </c>
      <c r="K41" s="72" t="n">
        <f aca="false">-'20_CASH_FLOW'!K12+('20_CASH_FLOW'!K34-'20_CASH_FLOW'!K38)*(1-'19_EQUITY'!$C$7)</f>
        <v>9.61899483133852</v>
      </c>
      <c r="L41" s="72" t="n">
        <f aca="false">-'20_CASH_FLOW'!L12+('20_CASH_FLOW'!L34-'20_CASH_FLOW'!L38)*(1-'19_EQUITY'!$C$7)</f>
        <v>11.4785121695314</v>
      </c>
      <c r="M41" s="72" t="n">
        <f aca="false">-'20_CASH_FLOW'!M12+('20_CASH_FLOW'!M34-'20_CASH_FLOW'!M38)*(1-'19_EQUITY'!$C$7)</f>
        <v>10.5915374247141</v>
      </c>
      <c r="N41" s="72" t="n">
        <f aca="false">-'20_CASH_FLOW'!N12+('20_CASH_FLOW'!N34-'20_CASH_FLOW'!N38)*(1-'19_EQUITY'!$C$7)</f>
        <v>10.503569979623</v>
      </c>
      <c r="O41" s="72" t="n">
        <f aca="false">-'20_CASH_FLOW'!O12+('20_CASH_FLOW'!O34-'20_CASH_FLOW'!O38)*(1-'19_EQUITY'!$C$7)</f>
        <v>10.4023171719161</v>
      </c>
      <c r="P41" s="72" t="n">
        <f aca="false">-'20_CASH_FLOW'!P12+('20_CASH_FLOW'!P34-'20_CASH_FLOW'!P38)*(1-'19_EQUITY'!$C$7)</f>
        <v>10.2865912132441</v>
      </c>
      <c r="Q41" s="72" t="n">
        <f aca="false">-'20_CASH_FLOW'!Q12+('20_CASH_FLOW'!Q34-'20_CASH_FLOW'!Q38)*(1-'19_EQUITY'!$C$7)</f>
        <v>10.1551067930028</v>
      </c>
      <c r="R41" s="72" t="n">
        <f aca="false">-'20_CASH_FLOW'!R12+('20_CASH_FLOW'!R34-'20_CASH_FLOW'!R38)*(1-'19_EQUITY'!$C$7)</f>
        <v>10.006473226569</v>
      </c>
      <c r="S41" s="72" t="n">
        <f aca="false">-'20_CASH_FLOW'!S12+('20_CASH_FLOW'!S34-'20_CASH_FLOW'!S38)*(1-'19_EQUITY'!$C$7)</f>
        <v>9.83918597439599</v>
      </c>
      <c r="T41" s="72" t="n">
        <f aca="false">-'20_CASH_FLOW'!T12+('20_CASH_FLOW'!T34-'20_CASH_FLOW'!T38)*(1-'19_EQUITY'!$C$7)</f>
        <v>9.65161748161608</v>
      </c>
      <c r="U41" s="72" t="n">
        <f aca="false">-'20_CASH_FLOW'!U12+('20_CASH_FLOW'!U34-'20_CASH_FLOW'!U38)*(1-'19_EQUITY'!$C$7)</f>
        <v>9.44200728377207</v>
      </c>
      <c r="V41" s="72" t="n">
        <f aca="false">-'20_CASH_FLOW'!V12+('20_CASH_FLOW'!V34-'20_CASH_FLOW'!V38)*(1-'19_EQUITY'!$C$7)</f>
        <v>9.20845131994613</v>
      </c>
      <c r="W41" s="72" t="n">
        <f aca="false">-'20_CASH_FLOW'!W12+('20_CASH_FLOW'!W34-'20_CASH_FLOW'!W38)*(1-'19_EQUITY'!$C$7)</f>
        <v>17.1606391252175</v>
      </c>
      <c r="X41" s="72" t="n">
        <f aca="false">-'20_CASH_FLOW'!X12+('20_CASH_FLOW'!X34-'20_CASH_FLOW'!X38)*(1-'19_EQUITY'!$C$7)</f>
        <v>25.1517757133511</v>
      </c>
      <c r="Y41" s="72" t="n">
        <f aca="false">-'20_CASH_FLOW'!Y12+('20_CASH_FLOW'!Y34-'20_CASH_FLOW'!Y38)*(1-'19_EQUITY'!$C$7)</f>
        <v>25.3632120195611</v>
      </c>
      <c r="Z41" s="72" t="n">
        <f aca="false">-'20_CASH_FLOW'!Z12+('20_CASH_FLOW'!Z34-'20_CASH_FLOW'!Z38)*(1-'19_EQUITY'!$C$7)</f>
        <v>25.5788770518952</v>
      </c>
      <c r="AA41" s="72" t="n">
        <f aca="false">-'20_CASH_FLOW'!AA12+('20_CASH_FLOW'!AA34-'20_CASH_FLOW'!AA38)*(1-'19_EQUITY'!$C$7)</f>
        <v>25.7988553848761</v>
      </c>
      <c r="AB41" s="72" t="n">
        <f aca="false">-'20_CASH_FLOW'!AB12+('20_CASH_FLOW'!AB34-'20_CASH_FLOW'!AB38)*(1-'19_EQUITY'!$C$7)</f>
        <v>22.908542900734</v>
      </c>
      <c r="AC41" s="72" t="n">
        <f aca="false">-'20_CASH_FLOW'!AC12+('20_CASH_FLOW'!AC34-'20_CASH_FLOW'!AC38)*(1-'19_EQUITY'!$C$7)</f>
        <v>23.1374083583673</v>
      </c>
      <c r="AD41" s="72" t="n">
        <f aca="false">-'20_CASH_FLOW'!AD12+('20_CASH_FLOW'!AD34-'20_CASH_FLOW'!AD38)*(1-'19_EQUITY'!$C$7)</f>
        <v>23.3708511251532</v>
      </c>
      <c r="AE41" s="72" t="n">
        <f aca="false">-'20_CASH_FLOW'!AE12+('20_CASH_FLOW'!AE34-'20_CASH_FLOW'!AE38)*(1-'19_EQUITY'!$C$7)</f>
        <v>23.6089627472749</v>
      </c>
      <c r="AF41" s="72" t="n">
        <f aca="false">-'20_CASH_FLOW'!AF12+('20_CASH_FLOW'!AF34-'20_CASH_FLOW'!AF38)*(1-'19_EQUITY'!$C$7)</f>
        <v>23.851836601839</v>
      </c>
      <c r="AG41" s="72" t="n">
        <f aca="false">-'20_CASH_FLOW'!AG12+('20_CASH_FLOW'!AG34-'20_CASH_FLOW'!AG38)*(1-'19_EQUITY'!$C$7)</f>
        <v>0</v>
      </c>
      <c r="AH41" s="72" t="n">
        <f aca="false">-'20_CASH_FLOW'!AH12+('20_CASH_FLOW'!AH34-'20_CASH_FLOW'!AH38)*(1-'19_EQUITY'!$C$7)</f>
        <v>0</v>
      </c>
      <c r="AI41" s="72" t="n">
        <f aca="false">-'20_CASH_FLOW'!AI12+('20_CASH_FLOW'!AI34-'20_CASH_FLOW'!AI38)*(1-'19_EQUITY'!$C$7)</f>
        <v>0</v>
      </c>
      <c r="AJ41" s="72" t="n">
        <f aca="false">-'20_CASH_FLOW'!AJ12+('20_CASH_FLOW'!AJ34-'20_CASH_FLOW'!AJ38)*(1-'19_EQUITY'!$C$7)</f>
        <v>0</v>
      </c>
      <c r="AK41" s="72" t="n">
        <f aca="false">-'20_CASH_FLOW'!AK12+('20_CASH_FLOW'!AK34-'20_CASH_FLOW'!AK38)*(1-'19_EQUITY'!$C$7)</f>
        <v>0</v>
      </c>
      <c r="AL41" s="72" t="n">
        <f aca="false">-'20_CASH_FLOW'!AL12+('20_CASH_FLOW'!AL34-'20_CASH_FLOW'!AL38)*(1-'19_EQUITY'!$C$7)</f>
        <v>0</v>
      </c>
      <c r="AM41" s="72" t="n">
        <f aca="false">-'20_CASH_FLOW'!AM12+('20_CASH_FLOW'!AM34-'20_CASH_FLOW'!AM38)*(1-'19_EQUITY'!$C$7)</f>
        <v>0</v>
      </c>
      <c r="AN41" s="72" t="n">
        <f aca="false">-'20_CASH_FLOW'!AN12+('20_CASH_FLOW'!AN34-'20_CASH_FLOW'!AN38)*(1-'19_EQUITY'!$C$7)</f>
        <v>0</v>
      </c>
      <c r="AO41" s="72" t="n">
        <f aca="false">-'20_CASH_FLOW'!AO12+('20_CASH_FLOW'!AO34-'20_CASH_FLOW'!AO38)*(1-'19_EQUITY'!$C$7)</f>
        <v>0</v>
      </c>
      <c r="AP41" s="72" t="n">
        <f aca="false">-'20_CASH_FLOW'!AP12+('20_CASH_FLOW'!AP34-'20_CASH_FLOW'!AP38)*(1-'19_EQUITY'!$C$7)</f>
        <v>0</v>
      </c>
      <c r="AQ41" s="72" t="n">
        <f aca="false">-'20_CASH_FLOW'!AQ12+('20_CASH_FLOW'!AQ34-'20_CASH_FLOW'!AQ38)*(1-'19_EQUITY'!$C$7)</f>
        <v>0</v>
      </c>
      <c r="AR41" s="72" t="n">
        <f aca="false">-'20_CASH_FLOW'!AR12+('20_CASH_FLOW'!AR34-'20_CASH_FLOW'!AR38)*(1-'19_EQUITY'!$C$7)</f>
        <v>0</v>
      </c>
    </row>
    <row r="42" customFormat="false" ht="15" hidden="false" customHeight="true" outlineLevel="0" collapsed="false">
      <c r="A42" s="23" t="s">
        <v>945</v>
      </c>
      <c r="B42" s="23" t="s">
        <v>121</v>
      </c>
      <c r="E42" s="58" t="n">
        <f aca="false">'20_CASH_FLOW'!D42+'20_CASH_FLOW'!E41</f>
        <v>-12.9236870598323</v>
      </c>
      <c r="F42" s="58" t="n">
        <f aca="false">'20_CASH_FLOW'!E42+'20_CASH_FLOW'!F41</f>
        <v>-37.2349043212999</v>
      </c>
      <c r="G42" s="58" t="n">
        <f aca="false">'20_CASH_FLOW'!F42+'20_CASH_FLOW'!G41</f>
        <v>-69.6082010045597</v>
      </c>
      <c r="H42" s="58" t="n">
        <f aca="false">'20_CASH_FLOW'!G42+'20_CASH_FLOW'!H41</f>
        <v>-63.5284565000083</v>
      </c>
      <c r="I42" s="58" t="n">
        <f aca="false">'20_CASH_FLOW'!H42+'20_CASH_FLOW'!I41</f>
        <v>-54.0718398922694</v>
      </c>
      <c r="J42" s="58" t="n">
        <f aca="false">'20_CASH_FLOW'!I42+'20_CASH_FLOW'!J41</f>
        <v>-44.5348380253227</v>
      </c>
      <c r="K42" s="58" t="n">
        <f aca="false">'20_CASH_FLOW'!J42+'20_CASH_FLOW'!K41</f>
        <v>-34.9158431939842</v>
      </c>
      <c r="L42" s="58" t="n">
        <f aca="false">'20_CASH_FLOW'!K42+'20_CASH_FLOW'!L41</f>
        <v>-23.4373310244527</v>
      </c>
      <c r="M42" s="58" t="n">
        <f aca="false">'20_CASH_FLOW'!L42+'20_CASH_FLOW'!M41</f>
        <v>-12.8457935997386</v>
      </c>
      <c r="N42" s="58" t="n">
        <f aca="false">'20_CASH_FLOW'!M42+'20_CASH_FLOW'!N41</f>
        <v>-2.34222362011566</v>
      </c>
      <c r="O42" s="58" t="n">
        <f aca="false">'20_CASH_FLOW'!N42+'20_CASH_FLOW'!O41</f>
        <v>8.06009355180046</v>
      </c>
      <c r="P42" s="58" t="n">
        <f aca="false">'20_CASH_FLOW'!O42+'20_CASH_FLOW'!P41</f>
        <v>18.3466847650446</v>
      </c>
      <c r="Q42" s="58" t="n">
        <f aca="false">'20_CASH_FLOW'!P42+'20_CASH_FLOW'!Q41</f>
        <v>28.5017915580473</v>
      </c>
      <c r="R42" s="58" t="n">
        <f aca="false">'20_CASH_FLOW'!Q42+'20_CASH_FLOW'!R41</f>
        <v>38.5082647846163</v>
      </c>
      <c r="S42" s="58" t="n">
        <f aca="false">'20_CASH_FLOW'!R42+'20_CASH_FLOW'!S41</f>
        <v>48.3474507590123</v>
      </c>
      <c r="T42" s="58" t="n">
        <f aca="false">'20_CASH_FLOW'!S42+'20_CASH_FLOW'!T41</f>
        <v>57.9990682406284</v>
      </c>
      <c r="U42" s="58" t="n">
        <f aca="false">'20_CASH_FLOW'!T42+'20_CASH_FLOW'!U41</f>
        <v>67.4410755244005</v>
      </c>
      <c r="V42" s="58" t="n">
        <f aca="false">'20_CASH_FLOW'!U42+'20_CASH_FLOW'!V41</f>
        <v>76.6495268443466</v>
      </c>
      <c r="W42" s="58" t="n">
        <f aca="false">'20_CASH_FLOW'!V42+'20_CASH_FLOW'!W41</f>
        <v>93.8101659695641</v>
      </c>
      <c r="X42" s="58" t="n">
        <f aca="false">'20_CASH_FLOW'!W42+'20_CASH_FLOW'!X41</f>
        <v>118.961941682915</v>
      </c>
      <c r="Y42" s="58" t="n">
        <f aca="false">'20_CASH_FLOW'!X42+'20_CASH_FLOW'!Y41</f>
        <v>144.325153702476</v>
      </c>
      <c r="Z42" s="58" t="n">
        <f aca="false">'20_CASH_FLOW'!Y42+'20_CASH_FLOW'!Z41</f>
        <v>169.904030754372</v>
      </c>
      <c r="AA42" s="58" t="n">
        <f aca="false">'20_CASH_FLOW'!Z42+'20_CASH_FLOW'!AA41</f>
        <v>195.702886139248</v>
      </c>
      <c r="AB42" s="58" t="n">
        <f aca="false">'20_CASH_FLOW'!AA42+'20_CASH_FLOW'!AB41</f>
        <v>218.611429039982</v>
      </c>
      <c r="AC42" s="58" t="n">
        <f aca="false">'20_CASH_FLOW'!AB42+'20_CASH_FLOW'!AC41</f>
        <v>241.748837398349</v>
      </c>
      <c r="AD42" s="58" t="n">
        <f aca="false">'20_CASH_FLOW'!AC42+'20_CASH_FLOW'!AD41</f>
        <v>265.119688523502</v>
      </c>
      <c r="AE42" s="58" t="n">
        <f aca="false">'20_CASH_FLOW'!AD42+'20_CASH_FLOW'!AE41</f>
        <v>288.728651270777</v>
      </c>
      <c r="AF42" s="58" t="n">
        <f aca="false">'20_CASH_FLOW'!AE42+'20_CASH_FLOW'!AF41</f>
        <v>312.580487872616</v>
      </c>
      <c r="AG42" s="58" t="n">
        <f aca="false">'20_CASH_FLOW'!AF42+'20_CASH_FLOW'!AG41</f>
        <v>312.580487872616</v>
      </c>
      <c r="AH42" s="58" t="n">
        <f aca="false">'20_CASH_FLOW'!AG42+'20_CASH_FLOW'!AH41</f>
        <v>312.580487872616</v>
      </c>
      <c r="AI42" s="58" t="n">
        <f aca="false">'20_CASH_FLOW'!AH42+'20_CASH_FLOW'!AI41</f>
        <v>312.580487872616</v>
      </c>
      <c r="AJ42" s="58" t="n">
        <f aca="false">'20_CASH_FLOW'!AI42+'20_CASH_FLOW'!AJ41</f>
        <v>312.580487872616</v>
      </c>
      <c r="AK42" s="58" t="n">
        <f aca="false">'20_CASH_FLOW'!AJ42+'20_CASH_FLOW'!AK41</f>
        <v>312.580487872616</v>
      </c>
      <c r="AL42" s="58" t="n">
        <f aca="false">'20_CASH_FLOW'!AK42+'20_CASH_FLOW'!AL41</f>
        <v>312.580487872616</v>
      </c>
      <c r="AM42" s="58" t="n">
        <f aca="false">'20_CASH_FLOW'!AL42+'20_CASH_FLOW'!AM41</f>
        <v>312.580487872616</v>
      </c>
      <c r="AN42" s="58" t="n">
        <f aca="false">'20_CASH_FLOW'!AM42+'20_CASH_FLOW'!AN41</f>
        <v>312.580487872616</v>
      </c>
      <c r="AO42" s="58" t="n">
        <f aca="false">'20_CASH_FLOW'!AN42+'20_CASH_FLOW'!AO41</f>
        <v>312.580487872616</v>
      </c>
      <c r="AP42" s="58" t="n">
        <f aca="false">'20_CASH_FLOW'!AO42+'20_CASH_FLOW'!AP41</f>
        <v>312.580487872616</v>
      </c>
      <c r="AQ42" s="58" t="n">
        <f aca="false">'20_CASH_FLOW'!AP42+'20_CASH_FLOW'!AQ41</f>
        <v>312.580487872616</v>
      </c>
      <c r="AR42" s="58" t="n">
        <f aca="false">'20_CASH_FLOW'!AQ42+'20_CASH_FLOW'!AR41</f>
        <v>312.580487872616</v>
      </c>
    </row>
    <row r="43" customFormat="false" ht="15" hidden="false" customHeight="true" outlineLevel="0" collapsed="false">
      <c r="A43" s="21" t="s">
        <v>946</v>
      </c>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row>
    <row r="44" customFormat="false" ht="15" hidden="false" customHeight="true" outlineLevel="0" collapsed="false">
      <c r="A44" s="19" t="s">
        <v>947</v>
      </c>
      <c r="B44" s="23" t="s">
        <v>121</v>
      </c>
      <c r="C44" s="58" t="n">
        <f aca="false">SUM('20_CASH_FLOW'!$E$44:$AR$44)</f>
        <v>429.514543450819</v>
      </c>
      <c r="E44" s="72" t="n">
        <f aca="false">-'06_CONSTRUCTION'!E25-'08_TRANSMISSION'!E33-IF(1=1,'17_PROJECT_FINANCE'!$C$7,0)+'06_CONSTRUCTION'!E14*('20_CASH_FLOW'!E17-'21_TAX'!E20)</f>
        <v>-44.901175</v>
      </c>
      <c r="F44" s="72" t="n">
        <f aca="false">-'06_CONSTRUCTION'!F25-'08_TRANSMISSION'!F33-IF(2=1,'17_PROJECT_FINANCE'!$C$7,0)+'06_CONSTRUCTION'!F14*('20_CASH_FLOW'!F17-'21_TAX'!F20)</f>
        <v>-91.1732375</v>
      </c>
      <c r="G44" s="72" t="n">
        <f aca="false">-'06_CONSTRUCTION'!G25-'08_TRANSMISSION'!G33-IF(3=1,'17_PROJECT_FINANCE'!$C$7,0)+'06_CONSTRUCTION'!G14*('20_CASH_FLOW'!G17-'21_TAX'!G20)</f>
        <v>-51.222302578125</v>
      </c>
      <c r="H44" s="72" t="n">
        <f aca="false">-'06_CONSTRUCTION'!H25-'08_TRANSMISSION'!H33-IF(4=1,'17_PROJECT_FINANCE'!$C$7,0)+'06_CONSTRUCTION'!H14*('20_CASH_FLOW'!H17-'21_TAX'!H20)</f>
        <v>22.4303783686298</v>
      </c>
      <c r="I44" s="72" t="n">
        <f aca="false">-'06_CONSTRUCTION'!I25-'08_TRANSMISSION'!I33-IF(5=1,'17_PROJECT_FINANCE'!$C$7,0)+'06_CONSTRUCTION'!I14*('20_CASH_FLOW'!I17-'21_TAX'!I20)</f>
        <v>27.6004064535552</v>
      </c>
      <c r="J44" s="72" t="n">
        <f aca="false">-'06_CONSTRUCTION'!J25-'08_TRANSMISSION'!J33-IF(6=1,'17_PROJECT_FINANCE'!$C$7,0)+'06_CONSTRUCTION'!J14*('20_CASH_FLOW'!J17-'21_TAX'!J20)</f>
        <v>27.8248354392243</v>
      </c>
      <c r="K44" s="72" t="n">
        <f aca="false">-'06_CONSTRUCTION'!K25-'08_TRANSMISSION'!K33-IF(7=1,'17_PROJECT_FINANCE'!$C$7,0)+'06_CONSTRUCTION'!K14*('20_CASH_FLOW'!K17-'21_TAX'!K20)</f>
        <v>28.0537530046067</v>
      </c>
      <c r="L44" s="72" t="n">
        <f aca="false">-'06_CONSTRUCTION'!L25-'08_TRANSMISSION'!L33-IF(8=1,'17_PROJECT_FINANCE'!$C$7,0)+'06_CONSTRUCTION'!L14*('20_CASH_FLOW'!L17-'21_TAX'!L20)</f>
        <v>28.2872489212969</v>
      </c>
      <c r="M44" s="72" t="n">
        <f aca="false">-'06_CONSTRUCTION'!M25-'08_TRANSMISSION'!M33-IF(9=1,'17_PROJECT_FINANCE'!$C$7,0)+'06_CONSTRUCTION'!M14*('20_CASH_FLOW'!M17-'21_TAX'!M20)</f>
        <v>23.0824807132071</v>
      </c>
      <c r="N44" s="72" t="n">
        <f aca="false">-'06_CONSTRUCTION'!N25-'08_TRANSMISSION'!N33-IF(10=1,'17_PROJECT_FINANCE'!$C$7,0)+'06_CONSTRUCTION'!N14*('20_CASH_FLOW'!N17-'21_TAX'!N20)</f>
        <v>23.2525311194142</v>
      </c>
      <c r="O44" s="72" t="n">
        <f aca="false">-'06_CONSTRUCTION'!O25-'08_TRANSMISSION'!O33-IF(11=1,'17_PROJECT_FINANCE'!$C$7,0)+'06_CONSTRUCTION'!O14*('20_CASH_FLOW'!O17-'21_TAX'!O20)</f>
        <v>23.4259825337454</v>
      </c>
      <c r="P44" s="72" t="n">
        <f aca="false">-'06_CONSTRUCTION'!P25-'08_TRANSMISSION'!P33-IF(12=1,'17_PROJECT_FINANCE'!$C$7,0)+'06_CONSTRUCTION'!P14*('20_CASH_FLOW'!P17-'21_TAX'!P20)</f>
        <v>23.6029029763633</v>
      </c>
      <c r="Q44" s="72" t="n">
        <f aca="false">-'06_CONSTRUCTION'!Q25-'08_TRANSMISSION'!Q33-IF(13=1,'17_PROJECT_FINANCE'!$C$7,0)+'06_CONSTRUCTION'!Q14*('20_CASH_FLOW'!Q17-'21_TAX'!Q20)</f>
        <v>23.7833618278335</v>
      </c>
      <c r="R44" s="72" t="n">
        <f aca="false">-'06_CONSTRUCTION'!R25-'08_TRANSMISSION'!R33-IF(14=1,'17_PROJECT_FINANCE'!$C$7,0)+'06_CONSTRUCTION'!R14*('20_CASH_FLOW'!R17-'21_TAX'!R20)</f>
        <v>23.9674298563331</v>
      </c>
      <c r="S44" s="72" t="n">
        <f aca="false">-'06_CONSTRUCTION'!S25-'08_TRANSMISSION'!S33-IF(15=1,'17_PROJECT_FINANCE'!$C$7,0)+'06_CONSTRUCTION'!S14*('20_CASH_FLOW'!S17-'21_TAX'!S20)</f>
        <v>24.1551792454027</v>
      </c>
      <c r="T44" s="72" t="n">
        <f aca="false">-'06_CONSTRUCTION'!T25-'08_TRANSMISSION'!T33-IF(16=1,'17_PROJECT_FINANCE'!$C$7,0)+'06_CONSTRUCTION'!T14*('20_CASH_FLOW'!T17-'21_TAX'!T20)</f>
        <v>24.3466836222537</v>
      </c>
      <c r="U44" s="72" t="n">
        <f aca="false">-'06_CONSTRUCTION'!U25-'08_TRANSMISSION'!U33-IF(17=1,'17_PROJECT_FINANCE'!$C$7,0)+'06_CONSTRUCTION'!U14*('20_CASH_FLOW'!U17-'21_TAX'!U20)</f>
        <v>24.5420180866418</v>
      </c>
      <c r="V44" s="72" t="n">
        <f aca="false">-'06_CONSTRUCTION'!V25-'08_TRANSMISSION'!V33-IF(18=1,'17_PROJECT_FINANCE'!$C$7,0)+'06_CONSTRUCTION'!V14*('20_CASH_FLOW'!V17-'21_TAX'!V20)</f>
        <v>24.7412592403175</v>
      </c>
      <c r="W44" s="72" t="n">
        <f aca="false">-'06_CONSTRUCTION'!W25-'08_TRANSMISSION'!W33-IF(19=1,'17_PROJECT_FINANCE'!$C$7,0)+'06_CONSTRUCTION'!W14*('20_CASH_FLOW'!W17-'21_TAX'!W20)</f>
        <v>24.9444852170668</v>
      </c>
      <c r="X44" s="72" t="n">
        <f aca="false">-'06_CONSTRUCTION'!X25-'08_TRANSMISSION'!X33-IF(20=1,'17_PROJECT_FINANCE'!$C$7,0)+'06_CONSTRUCTION'!X14*('20_CASH_FLOW'!X17-'21_TAX'!X20)</f>
        <v>25.1517757133511</v>
      </c>
      <c r="Y44" s="72" t="n">
        <f aca="false">-'06_CONSTRUCTION'!Y25-'08_TRANSMISSION'!Y33-IF(21=1,'17_PROJECT_FINANCE'!$C$7,0)+'06_CONSTRUCTION'!Y14*('20_CASH_FLOW'!Y17-'21_TAX'!Y20)</f>
        <v>25.3632120195611</v>
      </c>
      <c r="Z44" s="72" t="n">
        <f aca="false">-'06_CONSTRUCTION'!Z25-'08_TRANSMISSION'!Z33-IF(22=1,'17_PROJECT_FINANCE'!$C$7,0)+'06_CONSTRUCTION'!Z14*('20_CASH_FLOW'!Z17-'21_TAX'!Z20)</f>
        <v>25.5788770518952</v>
      </c>
      <c r="AA44" s="72" t="n">
        <f aca="false">-'06_CONSTRUCTION'!AA25-'08_TRANSMISSION'!AA33-IF(23=1,'17_PROJECT_FINANCE'!$C$7,0)+'06_CONSTRUCTION'!AA14*('20_CASH_FLOW'!AA17-'21_TAX'!AA20)</f>
        <v>25.7988553848761</v>
      </c>
      <c r="AB44" s="72" t="n">
        <f aca="false">-'06_CONSTRUCTION'!AB25-'08_TRANSMISSION'!AB33-IF(24=1,'17_PROJECT_FINANCE'!$C$7,0)+'06_CONSTRUCTION'!AB14*('20_CASH_FLOW'!AB17-'21_TAX'!AB20)</f>
        <v>22.908542900734</v>
      </c>
      <c r="AC44" s="72" t="n">
        <f aca="false">-'06_CONSTRUCTION'!AC25-'08_TRANSMISSION'!AC33-IF(25=1,'17_PROJECT_FINANCE'!$C$7,0)+'06_CONSTRUCTION'!AC14*('20_CASH_FLOW'!AC17-'21_TAX'!AC20)</f>
        <v>23.1374083583673</v>
      </c>
      <c r="AD44" s="72" t="n">
        <f aca="false">-'06_CONSTRUCTION'!AD25-'08_TRANSMISSION'!AD33-IF(26=1,'17_PROJECT_FINANCE'!$C$7,0)+'06_CONSTRUCTION'!AD14*('20_CASH_FLOW'!AD17-'21_TAX'!AD20)</f>
        <v>23.3708511251532</v>
      </c>
      <c r="AE44" s="72" t="n">
        <f aca="false">-'06_CONSTRUCTION'!AE25-'08_TRANSMISSION'!AE33-IF(27=1,'17_PROJECT_FINANCE'!$C$7,0)+'06_CONSTRUCTION'!AE14*('20_CASH_FLOW'!AE17-'21_TAX'!AE20)</f>
        <v>23.6089627472749</v>
      </c>
      <c r="AF44" s="72" t="n">
        <f aca="false">-'06_CONSTRUCTION'!AF25-'08_TRANSMISSION'!AF33-IF(28=1,'17_PROJECT_FINANCE'!$C$7,0)+'06_CONSTRUCTION'!AF14*('20_CASH_FLOW'!AF17-'21_TAX'!AF20)</f>
        <v>23.851836601839</v>
      </c>
      <c r="AG44" s="72" t="n">
        <f aca="false">-'06_CONSTRUCTION'!AG25-'08_TRANSMISSION'!AG33-IF(29=1,'17_PROJECT_FINANCE'!$C$7,0)+'06_CONSTRUCTION'!AG14*('20_CASH_FLOW'!AG17-'21_TAX'!AG20)</f>
        <v>0</v>
      </c>
      <c r="AH44" s="72" t="n">
        <f aca="false">-'06_CONSTRUCTION'!AH25-'08_TRANSMISSION'!AH33-IF(30=1,'17_PROJECT_FINANCE'!$C$7,0)+'06_CONSTRUCTION'!AH14*('20_CASH_FLOW'!AH17-'21_TAX'!AH20)</f>
        <v>0</v>
      </c>
      <c r="AI44" s="72" t="n">
        <f aca="false">-'06_CONSTRUCTION'!AI25-'08_TRANSMISSION'!AI33-IF(31=1,'17_PROJECT_FINANCE'!$C$7,0)+'06_CONSTRUCTION'!AI14*('20_CASH_FLOW'!AI17-'21_TAX'!AI20)</f>
        <v>0</v>
      </c>
      <c r="AJ44" s="72" t="n">
        <f aca="false">-'06_CONSTRUCTION'!AJ25-'08_TRANSMISSION'!AJ33-IF(32=1,'17_PROJECT_FINANCE'!$C$7,0)+'06_CONSTRUCTION'!AJ14*('20_CASH_FLOW'!AJ17-'21_TAX'!AJ20)</f>
        <v>0</v>
      </c>
      <c r="AK44" s="72" t="n">
        <f aca="false">-'06_CONSTRUCTION'!AK25-'08_TRANSMISSION'!AK33-IF(33=1,'17_PROJECT_FINANCE'!$C$7,0)+'06_CONSTRUCTION'!AK14*('20_CASH_FLOW'!AK17-'21_TAX'!AK20)</f>
        <v>0</v>
      </c>
      <c r="AL44" s="72" t="n">
        <f aca="false">-'06_CONSTRUCTION'!AL25-'08_TRANSMISSION'!AL33-IF(34=1,'17_PROJECT_FINANCE'!$C$7,0)+'06_CONSTRUCTION'!AL14*('20_CASH_FLOW'!AL17-'21_TAX'!AL20)</f>
        <v>0</v>
      </c>
      <c r="AM44" s="72" t="n">
        <f aca="false">-'06_CONSTRUCTION'!AM25-'08_TRANSMISSION'!AM33-IF(35=1,'17_PROJECT_FINANCE'!$C$7,0)+'06_CONSTRUCTION'!AM14*('20_CASH_FLOW'!AM17-'21_TAX'!AM20)</f>
        <v>0</v>
      </c>
      <c r="AN44" s="72" t="n">
        <f aca="false">-'06_CONSTRUCTION'!AN25-'08_TRANSMISSION'!AN33-IF(36=1,'17_PROJECT_FINANCE'!$C$7,0)+'06_CONSTRUCTION'!AN14*('20_CASH_FLOW'!AN17-'21_TAX'!AN20)</f>
        <v>0</v>
      </c>
      <c r="AO44" s="72" t="n">
        <f aca="false">-'06_CONSTRUCTION'!AO25-'08_TRANSMISSION'!AO33-IF(37=1,'17_PROJECT_FINANCE'!$C$7,0)+'06_CONSTRUCTION'!AO14*('20_CASH_FLOW'!AO17-'21_TAX'!AO20)</f>
        <v>0</v>
      </c>
      <c r="AP44" s="72" t="n">
        <f aca="false">-'06_CONSTRUCTION'!AP25-'08_TRANSMISSION'!AP33-IF(38=1,'17_PROJECT_FINANCE'!$C$7,0)+'06_CONSTRUCTION'!AP14*('20_CASH_FLOW'!AP17-'21_TAX'!AP20)</f>
        <v>0</v>
      </c>
      <c r="AQ44" s="72" t="n">
        <f aca="false">-'06_CONSTRUCTION'!AQ25-'08_TRANSMISSION'!AQ33-IF(39=1,'17_PROJECT_FINANCE'!$C$7,0)+'06_CONSTRUCTION'!AQ14*('20_CASH_FLOW'!AQ17-'21_TAX'!AQ20)</f>
        <v>0</v>
      </c>
      <c r="AR44" s="72" t="n">
        <f aca="false">-'06_CONSTRUCTION'!AR25-'08_TRANSMISSION'!AR33-IF(40=1,'17_PROJECT_FINANCE'!$C$7,0)+'06_CONSTRUCTION'!AR14*('20_CASH_FLOW'!AR17-'21_TAX'!AR20)</f>
        <v>0</v>
      </c>
    </row>
    <row r="45" customFormat="false" ht="15" hidden="false" customHeight="true" outlineLevel="0" collapsed="false">
      <c r="A45" s="23" t="s">
        <v>948</v>
      </c>
      <c r="B45" s="23" t="s">
        <v>121</v>
      </c>
      <c r="C45" s="58" t="n">
        <f aca="false">SUM('20_CASH_FLOW'!$E$45:$AR$45)</f>
        <v>402.620403695902</v>
      </c>
      <c r="E45" s="58" t="n">
        <f aca="false">'06_CONSTRUCTION'!E25+'08_TRANSMISSION'!E33+IF(1=1,'17_PROJECT_FINANCE'!$C$7,0)+'07_OPEX'!E20+'07_OPEX'!E21</f>
        <v>44.901175</v>
      </c>
      <c r="F45" s="58" t="n">
        <f aca="false">'06_CONSTRUCTION'!F25+'08_TRANSMISSION'!F33+IF(2=1,'17_PROJECT_FINANCE'!$C$7,0)+'07_OPEX'!F20+'07_OPEX'!F21</f>
        <v>91.1732375</v>
      </c>
      <c r="G45" s="58" t="n">
        <f aca="false">'06_CONSTRUCTION'!G25+'08_TRANSMISSION'!G33+IF(3=1,'17_PROJECT_FINANCE'!$C$7,0)+'07_OPEX'!G20+'07_OPEX'!G21</f>
        <v>51.222302578125</v>
      </c>
      <c r="H45" s="58" t="n">
        <f aca="false">'06_CONSTRUCTION'!H25+'08_TRANSMISSION'!H33+IF(4=1,'17_PROJECT_FINANCE'!$C$7,0)+'07_OPEX'!H20+'07_OPEX'!H21</f>
        <v>6.56147871590761</v>
      </c>
      <c r="I45" s="58" t="n">
        <f aca="false">'06_CONSTRUCTION'!I25+'08_TRANSMISSION'!I33+IF(5=1,'17_PROJECT_FINANCE'!$C$7,0)+'07_OPEX'!I20+'07_OPEX'!I21</f>
        <v>6.86224290448773</v>
      </c>
      <c r="J45" s="58" t="n">
        <f aca="false">'06_CONSTRUCTION'!J25+'08_TRANSMISSION'!J33+IF(6=1,'17_PROJECT_FINANCE'!$C$7,0)+'07_OPEX'!J20+'07_OPEX'!J21</f>
        <v>6.99948776257748</v>
      </c>
      <c r="K45" s="58" t="n">
        <f aca="false">'06_CONSTRUCTION'!K25+'08_TRANSMISSION'!K33+IF(7=1,'17_PROJECT_FINANCE'!$C$7,0)+'07_OPEX'!K20+'07_OPEX'!K21</f>
        <v>7.13947751782903</v>
      </c>
      <c r="L45" s="58" t="n">
        <f aca="false">'06_CONSTRUCTION'!L25+'08_TRANSMISSION'!L33+IF(8=1,'17_PROJECT_FINANCE'!$C$7,0)+'07_OPEX'!L20+'07_OPEX'!L21</f>
        <v>7.28226706818561</v>
      </c>
      <c r="M45" s="58" t="n">
        <f aca="false">'06_CONSTRUCTION'!M25+'08_TRANSMISSION'!M33+IF(9=1,'17_PROJECT_FINANCE'!$C$7,0)+'07_OPEX'!M20+'07_OPEX'!M21</f>
        <v>7.42791240954933</v>
      </c>
      <c r="N45" s="58" t="n">
        <f aca="false">'06_CONSTRUCTION'!N25+'08_TRANSMISSION'!N33+IF(10=1,'17_PROJECT_FINANCE'!$C$7,0)+'07_OPEX'!N20+'07_OPEX'!N21</f>
        <v>7.57647065774031</v>
      </c>
      <c r="O45" s="58" t="n">
        <f aca="false">'06_CONSTRUCTION'!O25+'08_TRANSMISSION'!O33+IF(11=1,'17_PROJECT_FINANCE'!$C$7,0)+'07_OPEX'!O20+'07_OPEX'!O21</f>
        <v>7.72800007089512</v>
      </c>
      <c r="P45" s="58" t="n">
        <f aca="false">'06_CONSTRUCTION'!P25+'08_TRANSMISSION'!P33+IF(12=1,'17_PROJECT_FINANCE'!$C$7,0)+'07_OPEX'!P20+'07_OPEX'!P21</f>
        <v>7.88256007231302</v>
      </c>
      <c r="Q45" s="58" t="n">
        <f aca="false">'06_CONSTRUCTION'!Q25+'08_TRANSMISSION'!Q33+IF(13=1,'17_PROJECT_FINANCE'!$C$7,0)+'07_OPEX'!Q20+'07_OPEX'!Q21</f>
        <v>8.04021127375928</v>
      </c>
      <c r="R45" s="58" t="n">
        <f aca="false">'06_CONSTRUCTION'!R25+'08_TRANSMISSION'!R33+IF(14=1,'17_PROJECT_FINANCE'!$C$7,0)+'07_OPEX'!R20+'07_OPEX'!R21</f>
        <v>8.20101549923447</v>
      </c>
      <c r="S45" s="58" t="n">
        <f aca="false">'06_CONSTRUCTION'!S25+'08_TRANSMISSION'!S33+IF(15=1,'17_PROJECT_FINANCE'!$C$7,0)+'07_OPEX'!S20+'07_OPEX'!S21</f>
        <v>8.36503580921916</v>
      </c>
      <c r="T45" s="58" t="n">
        <f aca="false">'06_CONSTRUCTION'!T25+'08_TRANSMISSION'!T33+IF(16=1,'17_PROJECT_FINANCE'!$C$7,0)+'07_OPEX'!T20+'07_OPEX'!T21</f>
        <v>8.53233652540354</v>
      </c>
      <c r="U45" s="58" t="n">
        <f aca="false">'06_CONSTRUCTION'!U25+'08_TRANSMISSION'!U33+IF(17=1,'17_PROJECT_FINANCE'!$C$7,0)+'07_OPEX'!U20+'07_OPEX'!U21</f>
        <v>8.70298325591161</v>
      </c>
      <c r="V45" s="58" t="n">
        <f aca="false">'06_CONSTRUCTION'!V25+'08_TRANSMISSION'!V33+IF(18=1,'17_PROJECT_FINANCE'!$C$7,0)+'07_OPEX'!V20+'07_OPEX'!V21</f>
        <v>8.87704292102984</v>
      </c>
      <c r="W45" s="58" t="n">
        <f aca="false">'06_CONSTRUCTION'!W25+'08_TRANSMISSION'!W33+IF(19=1,'17_PROJECT_FINANCE'!$C$7,0)+'07_OPEX'!W20+'07_OPEX'!W21</f>
        <v>9.05458377945044</v>
      </c>
      <c r="X45" s="58" t="n">
        <f aca="false">'06_CONSTRUCTION'!X25+'08_TRANSMISSION'!X33+IF(20=1,'17_PROJECT_FINANCE'!$C$7,0)+'07_OPEX'!X20+'07_OPEX'!X21</f>
        <v>9.23567545503945</v>
      </c>
      <c r="Y45" s="58" t="n">
        <f aca="false">'06_CONSTRUCTION'!Y25+'08_TRANSMISSION'!Y33+IF(21=1,'17_PROJECT_FINANCE'!$C$7,0)+'07_OPEX'!Y20+'07_OPEX'!Y21</f>
        <v>9.42038896414024</v>
      </c>
      <c r="Z45" s="58" t="n">
        <f aca="false">'06_CONSTRUCTION'!Z25+'08_TRANSMISSION'!Z33+IF(22=1,'17_PROJECT_FINANCE'!$C$7,0)+'07_OPEX'!Z20+'07_OPEX'!Z21</f>
        <v>9.60879674342304</v>
      </c>
      <c r="AA45" s="58" t="n">
        <f aca="false">'06_CONSTRUCTION'!AA25+'08_TRANSMISSION'!AA33+IF(23=1,'17_PROJECT_FINANCE'!$C$7,0)+'07_OPEX'!AA20+'07_OPEX'!AA21</f>
        <v>9.80097267829151</v>
      </c>
      <c r="AB45" s="58" t="n">
        <f aca="false">'06_CONSTRUCTION'!AB25+'08_TRANSMISSION'!AB33+IF(24=1,'17_PROJECT_FINANCE'!$C$7,0)+'07_OPEX'!AB20+'07_OPEX'!AB21</f>
        <v>9.99699213185734</v>
      </c>
      <c r="AC45" s="58" t="n">
        <f aca="false">'06_CONSTRUCTION'!AC25+'08_TRANSMISSION'!AC33+IF(25=1,'17_PROJECT_FINANCE'!$C$7,0)+'07_OPEX'!AC20+'07_OPEX'!AC21</f>
        <v>10.1969319744945</v>
      </c>
      <c r="AD45" s="58" t="n">
        <f aca="false">'06_CONSTRUCTION'!AD25+'08_TRANSMISSION'!AD33+IF(26=1,'17_PROJECT_FINANCE'!$C$7,0)+'07_OPEX'!AD20+'07_OPEX'!AD21</f>
        <v>10.4008706139844</v>
      </c>
      <c r="AE45" s="58" t="n">
        <f aca="false">'06_CONSTRUCTION'!AE25+'08_TRANSMISSION'!AE33+IF(27=1,'17_PROJECT_FINANCE'!$C$7,0)+'07_OPEX'!AE20+'07_OPEX'!AE21</f>
        <v>10.6088880262641</v>
      </c>
      <c r="AF45" s="58" t="n">
        <f aca="false">'06_CONSTRUCTION'!AF25+'08_TRANSMISSION'!AF33+IF(28=1,'17_PROJECT_FINANCE'!$C$7,0)+'07_OPEX'!AF20+'07_OPEX'!AF21</f>
        <v>10.8210657867893</v>
      </c>
      <c r="AG45" s="58" t="n">
        <f aca="false">'06_CONSTRUCTION'!AG25+'08_TRANSMISSION'!AG33+IF(29=1,'17_PROJECT_FINANCE'!$C$7,0)+'07_OPEX'!AG20+'07_OPEX'!AG21</f>
        <v>0</v>
      </c>
      <c r="AH45" s="58" t="n">
        <f aca="false">'06_CONSTRUCTION'!AH25+'08_TRANSMISSION'!AH33+IF(30=1,'17_PROJECT_FINANCE'!$C$7,0)+'07_OPEX'!AH20+'07_OPEX'!AH21</f>
        <v>0</v>
      </c>
      <c r="AI45" s="58" t="n">
        <f aca="false">'06_CONSTRUCTION'!AI25+'08_TRANSMISSION'!AI33+IF(31=1,'17_PROJECT_FINANCE'!$C$7,0)+'07_OPEX'!AI20+'07_OPEX'!AI21</f>
        <v>0</v>
      </c>
      <c r="AJ45" s="58" t="n">
        <f aca="false">'06_CONSTRUCTION'!AJ25+'08_TRANSMISSION'!AJ33+IF(32=1,'17_PROJECT_FINANCE'!$C$7,0)+'07_OPEX'!AJ20+'07_OPEX'!AJ21</f>
        <v>0</v>
      </c>
      <c r="AK45" s="58" t="n">
        <f aca="false">'06_CONSTRUCTION'!AK25+'08_TRANSMISSION'!AK33+IF(33=1,'17_PROJECT_FINANCE'!$C$7,0)+'07_OPEX'!AK20+'07_OPEX'!AK21</f>
        <v>0</v>
      </c>
      <c r="AL45" s="58" t="n">
        <f aca="false">'06_CONSTRUCTION'!AL25+'08_TRANSMISSION'!AL33+IF(34=1,'17_PROJECT_FINANCE'!$C$7,0)+'07_OPEX'!AL20+'07_OPEX'!AL21</f>
        <v>0</v>
      </c>
      <c r="AM45" s="58" t="n">
        <f aca="false">'06_CONSTRUCTION'!AM25+'08_TRANSMISSION'!AM33+IF(35=1,'17_PROJECT_FINANCE'!$C$7,0)+'07_OPEX'!AM20+'07_OPEX'!AM21</f>
        <v>0</v>
      </c>
      <c r="AN45" s="58" t="n">
        <f aca="false">'06_CONSTRUCTION'!AN25+'08_TRANSMISSION'!AN33+IF(36=1,'17_PROJECT_FINANCE'!$C$7,0)+'07_OPEX'!AN20+'07_OPEX'!AN21</f>
        <v>0</v>
      </c>
      <c r="AO45" s="58" t="n">
        <f aca="false">'06_CONSTRUCTION'!AO25+'08_TRANSMISSION'!AO33+IF(37=1,'17_PROJECT_FINANCE'!$C$7,0)+'07_OPEX'!AO20+'07_OPEX'!AO21</f>
        <v>0</v>
      </c>
      <c r="AP45" s="58" t="n">
        <f aca="false">'06_CONSTRUCTION'!AP25+'08_TRANSMISSION'!AP33+IF(38=1,'17_PROJECT_FINANCE'!$C$7,0)+'07_OPEX'!AP20+'07_OPEX'!AP21</f>
        <v>0</v>
      </c>
      <c r="AQ45" s="58" t="n">
        <f aca="false">'06_CONSTRUCTION'!AQ25+'08_TRANSMISSION'!AQ33+IF(39=1,'17_PROJECT_FINANCE'!$C$7,0)+'07_OPEX'!AQ20+'07_OPEX'!AQ21</f>
        <v>0</v>
      </c>
      <c r="AR45" s="58" t="n">
        <f aca="false">'06_CONSTRUCTION'!AR25+'08_TRANSMISSION'!AR33+IF(40=1,'17_PROJECT_FINANCE'!$C$7,0)+'07_OPEX'!AR20+'07_OPEX'!AR21</f>
        <v>0</v>
      </c>
    </row>
    <row r="46" customFormat="false" ht="15" hidden="false" customHeight="true" outlineLevel="0" collapsed="false">
      <c r="A46" s="23" t="s">
        <v>949</v>
      </c>
      <c r="B46" s="23" t="s">
        <v>299</v>
      </c>
      <c r="C46" s="56" t="n">
        <f aca="false">SUM('20_CASH_FLOW'!$E$46:$AR$46)</f>
        <v>7268.16224423197</v>
      </c>
      <c r="E46" s="56" t="n">
        <f aca="false">'04_GENERATION'!E20+'16_REVENUE'!E7</f>
        <v>0</v>
      </c>
      <c r="F46" s="56" t="n">
        <f aca="false">'04_GENERATION'!F20+'16_REVENUE'!F7</f>
        <v>0</v>
      </c>
      <c r="G46" s="56" t="n">
        <f aca="false">'04_GENERATION'!G20+'16_REVENUE'!G7</f>
        <v>0</v>
      </c>
      <c r="H46" s="56" t="n">
        <f aca="false">'04_GENERATION'!H20+'16_REVENUE'!H7</f>
        <v>248.609171331878</v>
      </c>
      <c r="I46" s="56" t="n">
        <f aca="false">'04_GENERATION'!I20+'16_REVENUE'!I7</f>
        <v>292.481378037504</v>
      </c>
      <c r="J46" s="56" t="n">
        <f aca="false">'04_GENERATION'!J20+'16_REVENUE'!J7</f>
        <v>292.481378037504</v>
      </c>
      <c r="K46" s="56" t="n">
        <f aca="false">'04_GENERATION'!K20+'16_REVENUE'!K7</f>
        <v>292.481378037504</v>
      </c>
      <c r="L46" s="56" t="n">
        <f aca="false">'04_GENERATION'!L20+'16_REVENUE'!L7</f>
        <v>292.481378037504</v>
      </c>
      <c r="M46" s="56" t="n">
        <f aca="false">'04_GENERATION'!M20+'16_REVENUE'!M7</f>
        <v>292.481378037504</v>
      </c>
      <c r="N46" s="56" t="n">
        <f aca="false">'04_GENERATION'!N20+'16_REVENUE'!N7</f>
        <v>292.481378037504</v>
      </c>
      <c r="O46" s="56" t="n">
        <f aca="false">'04_GENERATION'!O20+'16_REVENUE'!O7</f>
        <v>292.481378037504</v>
      </c>
      <c r="P46" s="56" t="n">
        <f aca="false">'04_GENERATION'!P20+'16_REVENUE'!P7</f>
        <v>292.481378037504</v>
      </c>
      <c r="Q46" s="56" t="n">
        <f aca="false">'04_GENERATION'!Q20+'16_REVENUE'!Q7</f>
        <v>292.481378037504</v>
      </c>
      <c r="R46" s="56" t="n">
        <f aca="false">'04_GENERATION'!R20+'16_REVENUE'!R7</f>
        <v>292.481378037504</v>
      </c>
      <c r="S46" s="56" t="n">
        <f aca="false">'04_GENERATION'!S20+'16_REVENUE'!S7</f>
        <v>292.481378037504</v>
      </c>
      <c r="T46" s="56" t="n">
        <f aca="false">'04_GENERATION'!T20+'16_REVENUE'!T7</f>
        <v>292.481378037504</v>
      </c>
      <c r="U46" s="56" t="n">
        <f aca="false">'04_GENERATION'!U20+'16_REVENUE'!U7</f>
        <v>292.481378037504</v>
      </c>
      <c r="V46" s="56" t="n">
        <f aca="false">'04_GENERATION'!V20+'16_REVENUE'!V7</f>
        <v>292.481378037504</v>
      </c>
      <c r="W46" s="56" t="n">
        <f aca="false">'04_GENERATION'!W20+'16_REVENUE'!W7</f>
        <v>292.481378037504</v>
      </c>
      <c r="X46" s="56" t="n">
        <f aca="false">'04_GENERATION'!X20+'16_REVENUE'!X7</f>
        <v>292.481378037504</v>
      </c>
      <c r="Y46" s="56" t="n">
        <f aca="false">'04_GENERATION'!Y20+'16_REVENUE'!Y7</f>
        <v>292.481378037504</v>
      </c>
      <c r="Z46" s="56" t="n">
        <f aca="false">'04_GENERATION'!Z20+'16_REVENUE'!Z7</f>
        <v>292.481378037504</v>
      </c>
      <c r="AA46" s="56" t="n">
        <f aca="false">'04_GENERATION'!AA20+'16_REVENUE'!AA7</f>
        <v>292.481378037504</v>
      </c>
      <c r="AB46" s="56" t="n">
        <f aca="false">'04_GENERATION'!AB20+'16_REVENUE'!AB7</f>
        <v>292.481378037504</v>
      </c>
      <c r="AC46" s="56" t="n">
        <f aca="false">'04_GENERATION'!AC20+'16_REVENUE'!AC7</f>
        <v>292.481378037504</v>
      </c>
      <c r="AD46" s="56" t="n">
        <f aca="false">'04_GENERATION'!AD20+'16_REVENUE'!AD7</f>
        <v>292.481378037504</v>
      </c>
      <c r="AE46" s="56" t="n">
        <f aca="false">'04_GENERATION'!AE20+'16_REVENUE'!AE7</f>
        <v>292.481378037504</v>
      </c>
      <c r="AF46" s="56" t="n">
        <f aca="false">'04_GENERATION'!AF20+'16_REVENUE'!AF7</f>
        <v>292.481378037504</v>
      </c>
      <c r="AG46" s="56" t="n">
        <f aca="false">'04_GENERATION'!AG20+'16_REVENUE'!AG7</f>
        <v>0</v>
      </c>
      <c r="AH46" s="56" t="n">
        <f aca="false">'04_GENERATION'!AH20+'16_REVENUE'!AH7</f>
        <v>0</v>
      </c>
      <c r="AI46" s="56" t="n">
        <f aca="false">'04_GENERATION'!AI20+'16_REVENUE'!AI7</f>
        <v>0</v>
      </c>
      <c r="AJ46" s="56" t="n">
        <f aca="false">'04_GENERATION'!AJ20+'16_REVENUE'!AJ7</f>
        <v>0</v>
      </c>
      <c r="AK46" s="56" t="n">
        <f aca="false">'04_GENERATION'!AK20+'16_REVENUE'!AK7</f>
        <v>0</v>
      </c>
      <c r="AL46" s="56" t="n">
        <f aca="false">'04_GENERATION'!AL20+'16_REVENUE'!AL7</f>
        <v>0</v>
      </c>
      <c r="AM46" s="56" t="n">
        <f aca="false">'04_GENERATION'!AM20+'16_REVENUE'!AM7</f>
        <v>0</v>
      </c>
      <c r="AN46" s="56" t="n">
        <f aca="false">'04_GENERATION'!AN20+'16_REVENUE'!AN7</f>
        <v>0</v>
      </c>
      <c r="AO46" s="56" t="n">
        <f aca="false">'04_GENERATION'!AO20+'16_REVENUE'!AO7</f>
        <v>0</v>
      </c>
      <c r="AP46" s="56" t="n">
        <f aca="false">'04_GENERATION'!AP20+'16_REVENUE'!AP7</f>
        <v>0</v>
      </c>
      <c r="AQ46" s="56" t="n">
        <f aca="false">'04_GENERATION'!AQ20+'16_REVENUE'!AQ7</f>
        <v>0</v>
      </c>
      <c r="AR46" s="56" t="n">
        <f aca="false">'04_GENERATION'!AR20+'16_REVENUE'!AR7</f>
        <v>0</v>
      </c>
    </row>
    <row r="47" customFormat="false" ht="15" hidden="false" customHeight="true" outlineLevel="0" collapsed="false">
      <c r="A47" s="23" t="s">
        <v>950</v>
      </c>
      <c r="B47" s="23" t="s">
        <v>121</v>
      </c>
      <c r="C47" s="58" t="n">
        <f aca="false">SUM('20_CASH_FLOW'!$E$47:$AR$47)</f>
        <v>402.620403695902</v>
      </c>
      <c r="E47" s="58" t="n">
        <f aca="false">'20_CASH_FLOW'!E45+'08_TRANSMISSION'!E32+IF('08_TRANSMISSION'!$C$17=1,'08_TRANSMISSION'!E34,0)</f>
        <v>44.901175</v>
      </c>
      <c r="F47" s="58" t="n">
        <f aca="false">'20_CASH_FLOW'!F45+'08_TRANSMISSION'!F32+IF('08_TRANSMISSION'!$C$17=1,'08_TRANSMISSION'!F34,0)</f>
        <v>91.1732375</v>
      </c>
      <c r="G47" s="58" t="n">
        <f aca="false">'20_CASH_FLOW'!G45+'08_TRANSMISSION'!G32+IF('08_TRANSMISSION'!$C$17=1,'08_TRANSMISSION'!G34,0)</f>
        <v>51.222302578125</v>
      </c>
      <c r="H47" s="58" t="n">
        <f aca="false">'20_CASH_FLOW'!H45+'08_TRANSMISSION'!H32+IF('08_TRANSMISSION'!$C$17=1,'08_TRANSMISSION'!H34,0)</f>
        <v>6.56147871590761</v>
      </c>
      <c r="I47" s="58" t="n">
        <f aca="false">'20_CASH_FLOW'!I45+'08_TRANSMISSION'!I32+IF('08_TRANSMISSION'!$C$17=1,'08_TRANSMISSION'!I34,0)</f>
        <v>6.86224290448773</v>
      </c>
      <c r="J47" s="58" t="n">
        <f aca="false">'20_CASH_FLOW'!J45+'08_TRANSMISSION'!J32+IF('08_TRANSMISSION'!$C$17=1,'08_TRANSMISSION'!J34,0)</f>
        <v>6.99948776257748</v>
      </c>
      <c r="K47" s="58" t="n">
        <f aca="false">'20_CASH_FLOW'!K45+'08_TRANSMISSION'!K32+IF('08_TRANSMISSION'!$C$17=1,'08_TRANSMISSION'!K34,0)</f>
        <v>7.13947751782903</v>
      </c>
      <c r="L47" s="58" t="n">
        <f aca="false">'20_CASH_FLOW'!L45+'08_TRANSMISSION'!L32+IF('08_TRANSMISSION'!$C$17=1,'08_TRANSMISSION'!L34,0)</f>
        <v>7.28226706818561</v>
      </c>
      <c r="M47" s="58" t="n">
        <f aca="false">'20_CASH_FLOW'!M45+'08_TRANSMISSION'!M32+IF('08_TRANSMISSION'!$C$17=1,'08_TRANSMISSION'!M34,0)</f>
        <v>7.42791240954933</v>
      </c>
      <c r="N47" s="58" t="n">
        <f aca="false">'20_CASH_FLOW'!N45+'08_TRANSMISSION'!N32+IF('08_TRANSMISSION'!$C$17=1,'08_TRANSMISSION'!N34,0)</f>
        <v>7.57647065774031</v>
      </c>
      <c r="O47" s="58" t="n">
        <f aca="false">'20_CASH_FLOW'!O45+'08_TRANSMISSION'!O32+IF('08_TRANSMISSION'!$C$17=1,'08_TRANSMISSION'!O34,0)</f>
        <v>7.72800007089512</v>
      </c>
      <c r="P47" s="58" t="n">
        <f aca="false">'20_CASH_FLOW'!P45+'08_TRANSMISSION'!P32+IF('08_TRANSMISSION'!$C$17=1,'08_TRANSMISSION'!P34,0)</f>
        <v>7.88256007231302</v>
      </c>
      <c r="Q47" s="58" t="n">
        <f aca="false">'20_CASH_FLOW'!Q45+'08_TRANSMISSION'!Q32+IF('08_TRANSMISSION'!$C$17=1,'08_TRANSMISSION'!Q34,0)</f>
        <v>8.04021127375928</v>
      </c>
      <c r="R47" s="58" t="n">
        <f aca="false">'20_CASH_FLOW'!R45+'08_TRANSMISSION'!R32+IF('08_TRANSMISSION'!$C$17=1,'08_TRANSMISSION'!R34,0)</f>
        <v>8.20101549923447</v>
      </c>
      <c r="S47" s="58" t="n">
        <f aca="false">'20_CASH_FLOW'!S45+'08_TRANSMISSION'!S32+IF('08_TRANSMISSION'!$C$17=1,'08_TRANSMISSION'!S34,0)</f>
        <v>8.36503580921916</v>
      </c>
      <c r="T47" s="58" t="n">
        <f aca="false">'20_CASH_FLOW'!T45+'08_TRANSMISSION'!T32+IF('08_TRANSMISSION'!$C$17=1,'08_TRANSMISSION'!T34,0)</f>
        <v>8.53233652540354</v>
      </c>
      <c r="U47" s="58" t="n">
        <f aca="false">'20_CASH_FLOW'!U45+'08_TRANSMISSION'!U32+IF('08_TRANSMISSION'!$C$17=1,'08_TRANSMISSION'!U34,0)</f>
        <v>8.70298325591161</v>
      </c>
      <c r="V47" s="58" t="n">
        <f aca="false">'20_CASH_FLOW'!V45+'08_TRANSMISSION'!V32+IF('08_TRANSMISSION'!$C$17=1,'08_TRANSMISSION'!V34,0)</f>
        <v>8.87704292102984</v>
      </c>
      <c r="W47" s="58" t="n">
        <f aca="false">'20_CASH_FLOW'!W45+'08_TRANSMISSION'!W32+IF('08_TRANSMISSION'!$C$17=1,'08_TRANSMISSION'!W34,0)</f>
        <v>9.05458377945044</v>
      </c>
      <c r="X47" s="58" t="n">
        <f aca="false">'20_CASH_FLOW'!X45+'08_TRANSMISSION'!X32+IF('08_TRANSMISSION'!$C$17=1,'08_TRANSMISSION'!X34,0)</f>
        <v>9.23567545503945</v>
      </c>
      <c r="Y47" s="58" t="n">
        <f aca="false">'20_CASH_FLOW'!Y45+'08_TRANSMISSION'!Y32+IF('08_TRANSMISSION'!$C$17=1,'08_TRANSMISSION'!Y34,0)</f>
        <v>9.42038896414024</v>
      </c>
      <c r="Z47" s="58" t="n">
        <f aca="false">'20_CASH_FLOW'!Z45+'08_TRANSMISSION'!Z32+IF('08_TRANSMISSION'!$C$17=1,'08_TRANSMISSION'!Z34,0)</f>
        <v>9.60879674342304</v>
      </c>
      <c r="AA47" s="58" t="n">
        <f aca="false">'20_CASH_FLOW'!AA45+'08_TRANSMISSION'!AA32+IF('08_TRANSMISSION'!$C$17=1,'08_TRANSMISSION'!AA34,0)</f>
        <v>9.80097267829151</v>
      </c>
      <c r="AB47" s="58" t="n">
        <f aca="false">'20_CASH_FLOW'!AB45+'08_TRANSMISSION'!AB32+IF('08_TRANSMISSION'!$C$17=1,'08_TRANSMISSION'!AB34,0)</f>
        <v>9.99699213185734</v>
      </c>
      <c r="AC47" s="58" t="n">
        <f aca="false">'20_CASH_FLOW'!AC45+'08_TRANSMISSION'!AC32+IF('08_TRANSMISSION'!$C$17=1,'08_TRANSMISSION'!AC34,0)</f>
        <v>10.1969319744945</v>
      </c>
      <c r="AD47" s="58" t="n">
        <f aca="false">'20_CASH_FLOW'!AD45+'08_TRANSMISSION'!AD32+IF('08_TRANSMISSION'!$C$17=1,'08_TRANSMISSION'!AD34,0)</f>
        <v>10.4008706139844</v>
      </c>
      <c r="AE47" s="58" t="n">
        <f aca="false">'20_CASH_FLOW'!AE45+'08_TRANSMISSION'!AE32+IF('08_TRANSMISSION'!$C$17=1,'08_TRANSMISSION'!AE34,0)</f>
        <v>10.6088880262641</v>
      </c>
      <c r="AF47" s="58" t="n">
        <f aca="false">'20_CASH_FLOW'!AF45+'08_TRANSMISSION'!AF32+IF('08_TRANSMISSION'!$C$17=1,'08_TRANSMISSION'!AF34,0)</f>
        <v>10.8210657867893</v>
      </c>
      <c r="AG47" s="58" t="n">
        <f aca="false">'20_CASH_FLOW'!AG45+'08_TRANSMISSION'!AG32+IF('08_TRANSMISSION'!$C$17=1,'08_TRANSMISSION'!AG34,0)</f>
        <v>0</v>
      </c>
      <c r="AH47" s="58" t="n">
        <f aca="false">'20_CASH_FLOW'!AH45+'08_TRANSMISSION'!AH32+IF('08_TRANSMISSION'!$C$17=1,'08_TRANSMISSION'!AH34,0)</f>
        <v>0</v>
      </c>
      <c r="AI47" s="58" t="n">
        <f aca="false">'20_CASH_FLOW'!AI45+'08_TRANSMISSION'!AI32+IF('08_TRANSMISSION'!$C$17=1,'08_TRANSMISSION'!AI34,0)</f>
        <v>0</v>
      </c>
      <c r="AJ47" s="58" t="n">
        <f aca="false">'20_CASH_FLOW'!AJ45+'08_TRANSMISSION'!AJ32+IF('08_TRANSMISSION'!$C$17=1,'08_TRANSMISSION'!AJ34,0)</f>
        <v>0</v>
      </c>
      <c r="AK47" s="58" t="n">
        <f aca="false">'20_CASH_FLOW'!AK45+'08_TRANSMISSION'!AK32+IF('08_TRANSMISSION'!$C$17=1,'08_TRANSMISSION'!AK34,0)</f>
        <v>0</v>
      </c>
      <c r="AL47" s="58" t="n">
        <f aca="false">'20_CASH_FLOW'!AL45+'08_TRANSMISSION'!AL32+IF('08_TRANSMISSION'!$C$17=1,'08_TRANSMISSION'!AL34,0)</f>
        <v>0</v>
      </c>
      <c r="AM47" s="58" t="n">
        <f aca="false">'20_CASH_FLOW'!AM45+'08_TRANSMISSION'!AM32+IF('08_TRANSMISSION'!$C$17=1,'08_TRANSMISSION'!AM34,0)</f>
        <v>0</v>
      </c>
      <c r="AN47" s="58" t="n">
        <f aca="false">'20_CASH_FLOW'!AN45+'08_TRANSMISSION'!AN32+IF('08_TRANSMISSION'!$C$17=1,'08_TRANSMISSION'!AN34,0)</f>
        <v>0</v>
      </c>
      <c r="AO47" s="58" t="n">
        <f aca="false">'20_CASH_FLOW'!AO45+'08_TRANSMISSION'!AO32+IF('08_TRANSMISSION'!$C$17=1,'08_TRANSMISSION'!AO34,0)</f>
        <v>0</v>
      </c>
      <c r="AP47" s="58" t="n">
        <f aca="false">'20_CASH_FLOW'!AP45+'08_TRANSMISSION'!AP32+IF('08_TRANSMISSION'!$C$17=1,'08_TRANSMISSION'!AP34,0)</f>
        <v>0</v>
      </c>
      <c r="AQ47" s="58" t="n">
        <f aca="false">'20_CASH_FLOW'!AQ45+'08_TRANSMISSION'!AQ32+IF('08_TRANSMISSION'!$C$17=1,'08_TRANSMISSION'!AQ34,0)</f>
        <v>0</v>
      </c>
      <c r="AR47" s="58" t="n">
        <f aca="false">'20_CASH_FLOW'!AR45+'08_TRANSMISSION'!AR32+IF('08_TRANSMISSION'!$C$17=1,'08_TRANSMISSION'!AR34,0)</f>
        <v>0</v>
      </c>
    </row>
    <row r="48" customFormat="false" ht="15" hidden="false" customHeight="true" outlineLevel="0" collapsed="false">
      <c r="A48" s="23" t="s">
        <v>951</v>
      </c>
      <c r="B48" s="23" t="s">
        <v>299</v>
      </c>
      <c r="C48" s="56" t="n">
        <f aca="false">SUM('20_CASH_FLOW'!$E$48:$AR$48)</f>
        <v>7122.79899934734</v>
      </c>
      <c r="E48" s="56" t="n">
        <f aca="false">'04_GENERATION'!E20*(1-'08_TRANSMISSION'!$C$15)</f>
        <v>0</v>
      </c>
      <c r="F48" s="56" t="n">
        <f aca="false">'04_GENERATION'!F20*(1-'08_TRANSMISSION'!$C$15)</f>
        <v>0</v>
      </c>
      <c r="G48" s="56" t="n">
        <f aca="false">'04_GENERATION'!G20*(1-'08_TRANSMISSION'!$C$15)</f>
        <v>0</v>
      </c>
      <c r="H48" s="56" t="n">
        <f aca="false">'04_GENERATION'!H20*(1-'08_TRANSMISSION'!$C$15)</f>
        <v>243.636987905241</v>
      </c>
      <c r="I48" s="56" t="n">
        <f aca="false">'04_GENERATION'!I20*(1-'08_TRANSMISSION'!$C$15)</f>
        <v>286.631750476754</v>
      </c>
      <c r="J48" s="56" t="n">
        <f aca="false">'04_GENERATION'!J20*(1-'08_TRANSMISSION'!$C$15)</f>
        <v>286.631750476754</v>
      </c>
      <c r="K48" s="56" t="n">
        <f aca="false">'04_GENERATION'!K20*(1-'08_TRANSMISSION'!$C$15)</f>
        <v>286.631750476754</v>
      </c>
      <c r="L48" s="56" t="n">
        <f aca="false">'04_GENERATION'!L20*(1-'08_TRANSMISSION'!$C$15)</f>
        <v>286.631750476754</v>
      </c>
      <c r="M48" s="56" t="n">
        <f aca="false">'04_GENERATION'!M20*(1-'08_TRANSMISSION'!$C$15)</f>
        <v>286.631750476754</v>
      </c>
      <c r="N48" s="56" t="n">
        <f aca="false">'04_GENERATION'!N20*(1-'08_TRANSMISSION'!$C$15)</f>
        <v>286.631750476754</v>
      </c>
      <c r="O48" s="56" t="n">
        <f aca="false">'04_GENERATION'!O20*(1-'08_TRANSMISSION'!$C$15)</f>
        <v>286.631750476754</v>
      </c>
      <c r="P48" s="56" t="n">
        <f aca="false">'04_GENERATION'!P20*(1-'08_TRANSMISSION'!$C$15)</f>
        <v>286.631750476754</v>
      </c>
      <c r="Q48" s="56" t="n">
        <f aca="false">'04_GENERATION'!Q20*(1-'08_TRANSMISSION'!$C$15)</f>
        <v>286.631750476754</v>
      </c>
      <c r="R48" s="56" t="n">
        <f aca="false">'04_GENERATION'!R20*(1-'08_TRANSMISSION'!$C$15)</f>
        <v>286.631750476754</v>
      </c>
      <c r="S48" s="56" t="n">
        <f aca="false">'04_GENERATION'!S20*(1-'08_TRANSMISSION'!$C$15)</f>
        <v>286.631750476754</v>
      </c>
      <c r="T48" s="56" t="n">
        <f aca="false">'04_GENERATION'!T20*(1-'08_TRANSMISSION'!$C$15)</f>
        <v>286.631750476754</v>
      </c>
      <c r="U48" s="56" t="n">
        <f aca="false">'04_GENERATION'!U20*(1-'08_TRANSMISSION'!$C$15)</f>
        <v>286.631750476754</v>
      </c>
      <c r="V48" s="56" t="n">
        <f aca="false">'04_GENERATION'!V20*(1-'08_TRANSMISSION'!$C$15)</f>
        <v>286.631750476754</v>
      </c>
      <c r="W48" s="56" t="n">
        <f aca="false">'04_GENERATION'!W20*(1-'08_TRANSMISSION'!$C$15)</f>
        <v>286.631750476754</v>
      </c>
      <c r="X48" s="56" t="n">
        <f aca="false">'04_GENERATION'!X20*(1-'08_TRANSMISSION'!$C$15)</f>
        <v>286.631750476754</v>
      </c>
      <c r="Y48" s="56" t="n">
        <f aca="false">'04_GENERATION'!Y20*(1-'08_TRANSMISSION'!$C$15)</f>
        <v>286.631750476754</v>
      </c>
      <c r="Z48" s="56" t="n">
        <f aca="false">'04_GENERATION'!Z20*(1-'08_TRANSMISSION'!$C$15)</f>
        <v>286.631750476754</v>
      </c>
      <c r="AA48" s="56" t="n">
        <f aca="false">'04_GENERATION'!AA20*(1-'08_TRANSMISSION'!$C$15)</f>
        <v>286.631750476754</v>
      </c>
      <c r="AB48" s="56" t="n">
        <f aca="false">'04_GENERATION'!AB20*(1-'08_TRANSMISSION'!$C$15)</f>
        <v>286.631750476754</v>
      </c>
      <c r="AC48" s="56" t="n">
        <f aca="false">'04_GENERATION'!AC20*(1-'08_TRANSMISSION'!$C$15)</f>
        <v>286.631750476754</v>
      </c>
      <c r="AD48" s="56" t="n">
        <f aca="false">'04_GENERATION'!AD20*(1-'08_TRANSMISSION'!$C$15)</f>
        <v>286.631750476754</v>
      </c>
      <c r="AE48" s="56" t="n">
        <f aca="false">'04_GENERATION'!AE20*(1-'08_TRANSMISSION'!$C$15)</f>
        <v>286.631750476754</v>
      </c>
      <c r="AF48" s="56" t="n">
        <f aca="false">'04_GENERATION'!AF20*(1-'08_TRANSMISSION'!$C$15)</f>
        <v>286.631750476754</v>
      </c>
      <c r="AG48" s="56" t="n">
        <f aca="false">'04_GENERATION'!AG20*(1-'08_TRANSMISSION'!$C$15)</f>
        <v>0</v>
      </c>
      <c r="AH48" s="56" t="n">
        <f aca="false">'04_GENERATION'!AH20*(1-'08_TRANSMISSION'!$C$15)</f>
        <v>0</v>
      </c>
      <c r="AI48" s="56" t="n">
        <f aca="false">'04_GENERATION'!AI20*(1-'08_TRANSMISSION'!$C$15)</f>
        <v>0</v>
      </c>
      <c r="AJ48" s="56" t="n">
        <f aca="false">'04_GENERATION'!AJ20*(1-'08_TRANSMISSION'!$C$15)</f>
        <v>0</v>
      </c>
      <c r="AK48" s="56" t="n">
        <f aca="false">'04_GENERATION'!AK20*(1-'08_TRANSMISSION'!$C$15)</f>
        <v>0</v>
      </c>
      <c r="AL48" s="56" t="n">
        <f aca="false">'04_GENERATION'!AL20*(1-'08_TRANSMISSION'!$C$15)</f>
        <v>0</v>
      </c>
      <c r="AM48" s="56" t="n">
        <f aca="false">'04_GENERATION'!AM20*(1-'08_TRANSMISSION'!$C$15)</f>
        <v>0</v>
      </c>
      <c r="AN48" s="56" t="n">
        <f aca="false">'04_GENERATION'!AN20*(1-'08_TRANSMISSION'!$C$15)</f>
        <v>0</v>
      </c>
      <c r="AO48" s="56" t="n">
        <f aca="false">'04_GENERATION'!AO20*(1-'08_TRANSMISSION'!$C$15)</f>
        <v>0</v>
      </c>
      <c r="AP48" s="56" t="n">
        <f aca="false">'04_GENERATION'!AP20*(1-'08_TRANSMISSION'!$C$15)</f>
        <v>0</v>
      </c>
      <c r="AQ48" s="56" t="n">
        <f aca="false">'04_GENERATION'!AQ20*(1-'08_TRANSMISSION'!$C$15)</f>
        <v>0</v>
      </c>
      <c r="AR48" s="56" t="n">
        <f aca="false">'04_GENERATION'!AR20*(1-'08_TRANSMISSION'!$C$15)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R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952</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3" t="s">
        <v>953</v>
      </c>
      <c r="B6" s="23" t="s">
        <v>93</v>
      </c>
      <c r="C6" s="39" t="n">
        <v>0.3</v>
      </c>
      <c r="D6" s="25" t="s">
        <v>241</v>
      </c>
    </row>
    <row r="7" customFormat="false" ht="15" hidden="false" customHeight="true" outlineLevel="0" collapsed="false">
      <c r="A7" s="23" t="s">
        <v>954</v>
      </c>
      <c r="B7" s="23" t="s">
        <v>147</v>
      </c>
      <c r="C7" s="24" t="n">
        <v>5</v>
      </c>
      <c r="D7" s="25" t="s">
        <v>955</v>
      </c>
    </row>
    <row r="8" customFormat="false" ht="15" hidden="false" customHeight="true" outlineLevel="0" collapsed="false">
      <c r="A8" s="23" t="s">
        <v>956</v>
      </c>
      <c r="B8" s="23" t="s">
        <v>147</v>
      </c>
      <c r="C8" s="35" t="n">
        <v>20</v>
      </c>
    </row>
    <row r="9" customFormat="false" ht="15" hidden="false" customHeight="true" outlineLevel="0" collapsed="false">
      <c r="A9" s="23" t="s">
        <v>957</v>
      </c>
      <c r="B9" s="23" t="s">
        <v>121</v>
      </c>
      <c r="C9" s="60" t="n">
        <f aca="false">'17_PROJECT_FINANCE'!$C$8+'17_PROJECT_FINANCE'!$C$9+'17_PROJECT_FINANCE'!$C$10-'17_PROJECT_FINANCE'!$C$14</f>
        <v>207.646025585504</v>
      </c>
    </row>
    <row r="10" customFormat="false" ht="15" hidden="false" customHeight="true" outlineLevel="0" collapsed="false">
      <c r="A10" s="23" t="s">
        <v>958</v>
      </c>
      <c r="B10" s="23" t="s">
        <v>121</v>
      </c>
      <c r="C10" s="58" t="n">
        <f aca="false">SUM('21_TAX'!$E$10:$AR$10)</f>
        <v>207.646025585504</v>
      </c>
      <c r="E10" s="58" t="n">
        <f aca="false">IF(AND('06_CONSTRUCTION'!E5&gt;=1,'06_CONSTRUCTION'!E5&lt;='21_TAX'!$C$8),'21_TAX'!$C$9/'21_TAX'!$C$8,0)</f>
        <v>0</v>
      </c>
      <c r="F10" s="58" t="n">
        <f aca="false">IF(AND('06_CONSTRUCTION'!F5&gt;=1,'06_CONSTRUCTION'!F5&lt;='21_TAX'!$C$8),'21_TAX'!$C$9/'21_TAX'!$C$8,0)</f>
        <v>0</v>
      </c>
      <c r="G10" s="58" t="n">
        <f aca="false">IF(AND('06_CONSTRUCTION'!G5&gt;=1,'06_CONSTRUCTION'!G5&lt;='21_TAX'!$C$8),'21_TAX'!$C$9/'21_TAX'!$C$8,0)</f>
        <v>0</v>
      </c>
      <c r="H10" s="58" t="n">
        <f aca="false">IF(AND('06_CONSTRUCTION'!H5&gt;=1,'06_CONSTRUCTION'!H5&lt;='21_TAX'!$C$8),'21_TAX'!$C$9/'21_TAX'!$C$8,0)</f>
        <v>10.3823012792752</v>
      </c>
      <c r="I10" s="58" t="n">
        <f aca="false">IF(AND('06_CONSTRUCTION'!I5&gt;=1,'06_CONSTRUCTION'!I5&lt;='21_TAX'!$C$8),'21_TAX'!$C$9/'21_TAX'!$C$8,0)</f>
        <v>10.3823012792752</v>
      </c>
      <c r="J10" s="58" t="n">
        <f aca="false">IF(AND('06_CONSTRUCTION'!J5&gt;=1,'06_CONSTRUCTION'!J5&lt;='21_TAX'!$C$8),'21_TAX'!$C$9/'21_TAX'!$C$8,0)</f>
        <v>10.3823012792752</v>
      </c>
      <c r="K10" s="58" t="n">
        <f aca="false">IF(AND('06_CONSTRUCTION'!K5&gt;=1,'06_CONSTRUCTION'!K5&lt;='21_TAX'!$C$8),'21_TAX'!$C$9/'21_TAX'!$C$8,0)</f>
        <v>10.3823012792752</v>
      </c>
      <c r="L10" s="58" t="n">
        <f aca="false">IF(AND('06_CONSTRUCTION'!L5&gt;=1,'06_CONSTRUCTION'!L5&lt;='21_TAX'!$C$8),'21_TAX'!$C$9/'21_TAX'!$C$8,0)</f>
        <v>10.3823012792752</v>
      </c>
      <c r="M10" s="58" t="n">
        <f aca="false">IF(AND('06_CONSTRUCTION'!M5&gt;=1,'06_CONSTRUCTION'!M5&lt;='21_TAX'!$C$8),'21_TAX'!$C$9/'21_TAX'!$C$8,0)</f>
        <v>10.3823012792752</v>
      </c>
      <c r="N10" s="58" t="n">
        <f aca="false">IF(AND('06_CONSTRUCTION'!N5&gt;=1,'06_CONSTRUCTION'!N5&lt;='21_TAX'!$C$8),'21_TAX'!$C$9/'21_TAX'!$C$8,0)</f>
        <v>10.3823012792752</v>
      </c>
      <c r="O10" s="58" t="n">
        <f aca="false">IF(AND('06_CONSTRUCTION'!O5&gt;=1,'06_CONSTRUCTION'!O5&lt;='21_TAX'!$C$8),'21_TAX'!$C$9/'21_TAX'!$C$8,0)</f>
        <v>10.3823012792752</v>
      </c>
      <c r="P10" s="58" t="n">
        <f aca="false">IF(AND('06_CONSTRUCTION'!P5&gt;=1,'06_CONSTRUCTION'!P5&lt;='21_TAX'!$C$8),'21_TAX'!$C$9/'21_TAX'!$C$8,0)</f>
        <v>10.3823012792752</v>
      </c>
      <c r="Q10" s="58" t="n">
        <f aca="false">IF(AND('06_CONSTRUCTION'!Q5&gt;=1,'06_CONSTRUCTION'!Q5&lt;='21_TAX'!$C$8),'21_TAX'!$C$9/'21_TAX'!$C$8,0)</f>
        <v>10.3823012792752</v>
      </c>
      <c r="R10" s="58" t="n">
        <f aca="false">IF(AND('06_CONSTRUCTION'!R5&gt;=1,'06_CONSTRUCTION'!R5&lt;='21_TAX'!$C$8),'21_TAX'!$C$9/'21_TAX'!$C$8,0)</f>
        <v>10.3823012792752</v>
      </c>
      <c r="S10" s="58" t="n">
        <f aca="false">IF(AND('06_CONSTRUCTION'!S5&gt;=1,'06_CONSTRUCTION'!S5&lt;='21_TAX'!$C$8),'21_TAX'!$C$9/'21_TAX'!$C$8,0)</f>
        <v>10.3823012792752</v>
      </c>
      <c r="T10" s="58" t="n">
        <f aca="false">IF(AND('06_CONSTRUCTION'!T5&gt;=1,'06_CONSTRUCTION'!T5&lt;='21_TAX'!$C$8),'21_TAX'!$C$9/'21_TAX'!$C$8,0)</f>
        <v>10.3823012792752</v>
      </c>
      <c r="U10" s="58" t="n">
        <f aca="false">IF(AND('06_CONSTRUCTION'!U5&gt;=1,'06_CONSTRUCTION'!U5&lt;='21_TAX'!$C$8),'21_TAX'!$C$9/'21_TAX'!$C$8,0)</f>
        <v>10.3823012792752</v>
      </c>
      <c r="V10" s="58" t="n">
        <f aca="false">IF(AND('06_CONSTRUCTION'!V5&gt;=1,'06_CONSTRUCTION'!V5&lt;='21_TAX'!$C$8),'21_TAX'!$C$9/'21_TAX'!$C$8,0)</f>
        <v>10.3823012792752</v>
      </c>
      <c r="W10" s="58" t="n">
        <f aca="false">IF(AND('06_CONSTRUCTION'!W5&gt;=1,'06_CONSTRUCTION'!W5&lt;='21_TAX'!$C$8),'21_TAX'!$C$9/'21_TAX'!$C$8,0)</f>
        <v>10.3823012792752</v>
      </c>
      <c r="X10" s="58" t="n">
        <f aca="false">IF(AND('06_CONSTRUCTION'!X5&gt;=1,'06_CONSTRUCTION'!X5&lt;='21_TAX'!$C$8),'21_TAX'!$C$9/'21_TAX'!$C$8,0)</f>
        <v>10.3823012792752</v>
      </c>
      <c r="Y10" s="58" t="n">
        <f aca="false">IF(AND('06_CONSTRUCTION'!Y5&gt;=1,'06_CONSTRUCTION'!Y5&lt;='21_TAX'!$C$8),'21_TAX'!$C$9/'21_TAX'!$C$8,0)</f>
        <v>10.3823012792752</v>
      </c>
      <c r="Z10" s="58" t="n">
        <f aca="false">IF(AND('06_CONSTRUCTION'!Z5&gt;=1,'06_CONSTRUCTION'!Z5&lt;='21_TAX'!$C$8),'21_TAX'!$C$9/'21_TAX'!$C$8,0)</f>
        <v>10.3823012792752</v>
      </c>
      <c r="AA10" s="58" t="n">
        <f aca="false">IF(AND('06_CONSTRUCTION'!AA5&gt;=1,'06_CONSTRUCTION'!AA5&lt;='21_TAX'!$C$8),'21_TAX'!$C$9/'21_TAX'!$C$8,0)</f>
        <v>10.3823012792752</v>
      </c>
      <c r="AB10" s="58" t="n">
        <f aca="false">IF(AND('06_CONSTRUCTION'!AB5&gt;=1,'06_CONSTRUCTION'!AB5&lt;='21_TAX'!$C$8),'21_TAX'!$C$9/'21_TAX'!$C$8,0)</f>
        <v>0</v>
      </c>
      <c r="AC10" s="58" t="n">
        <f aca="false">IF(AND('06_CONSTRUCTION'!AC5&gt;=1,'06_CONSTRUCTION'!AC5&lt;='21_TAX'!$C$8),'21_TAX'!$C$9/'21_TAX'!$C$8,0)</f>
        <v>0</v>
      </c>
      <c r="AD10" s="58" t="n">
        <f aca="false">IF(AND('06_CONSTRUCTION'!AD5&gt;=1,'06_CONSTRUCTION'!AD5&lt;='21_TAX'!$C$8),'21_TAX'!$C$9/'21_TAX'!$C$8,0)</f>
        <v>0</v>
      </c>
      <c r="AE10" s="58" t="n">
        <f aca="false">IF(AND('06_CONSTRUCTION'!AE5&gt;=1,'06_CONSTRUCTION'!AE5&lt;='21_TAX'!$C$8),'21_TAX'!$C$9/'21_TAX'!$C$8,0)</f>
        <v>0</v>
      </c>
      <c r="AF10" s="58" t="n">
        <f aca="false">IF(AND('06_CONSTRUCTION'!AF5&gt;=1,'06_CONSTRUCTION'!AF5&lt;='21_TAX'!$C$8),'21_TAX'!$C$9/'21_TAX'!$C$8,0)</f>
        <v>0</v>
      </c>
      <c r="AG10" s="58" t="n">
        <f aca="false">IF(AND('06_CONSTRUCTION'!AG5&gt;=1,'06_CONSTRUCTION'!AG5&lt;='21_TAX'!$C$8),'21_TAX'!$C$9/'21_TAX'!$C$8,0)</f>
        <v>0</v>
      </c>
      <c r="AH10" s="58" t="n">
        <f aca="false">IF(AND('06_CONSTRUCTION'!AH5&gt;=1,'06_CONSTRUCTION'!AH5&lt;='21_TAX'!$C$8),'21_TAX'!$C$9/'21_TAX'!$C$8,0)</f>
        <v>0</v>
      </c>
      <c r="AI10" s="58" t="n">
        <f aca="false">IF(AND('06_CONSTRUCTION'!AI5&gt;=1,'06_CONSTRUCTION'!AI5&lt;='21_TAX'!$C$8),'21_TAX'!$C$9/'21_TAX'!$C$8,0)</f>
        <v>0</v>
      </c>
      <c r="AJ10" s="58" t="n">
        <f aca="false">IF(AND('06_CONSTRUCTION'!AJ5&gt;=1,'06_CONSTRUCTION'!AJ5&lt;='21_TAX'!$C$8),'21_TAX'!$C$9/'21_TAX'!$C$8,0)</f>
        <v>0</v>
      </c>
      <c r="AK10" s="58" t="n">
        <f aca="false">IF(AND('06_CONSTRUCTION'!AK5&gt;=1,'06_CONSTRUCTION'!AK5&lt;='21_TAX'!$C$8),'21_TAX'!$C$9/'21_TAX'!$C$8,0)</f>
        <v>0</v>
      </c>
      <c r="AL10" s="58" t="n">
        <f aca="false">IF(AND('06_CONSTRUCTION'!AL5&gt;=1,'06_CONSTRUCTION'!AL5&lt;='21_TAX'!$C$8),'21_TAX'!$C$9/'21_TAX'!$C$8,0)</f>
        <v>0</v>
      </c>
      <c r="AM10" s="58" t="n">
        <f aca="false">IF(AND('06_CONSTRUCTION'!AM5&gt;=1,'06_CONSTRUCTION'!AM5&lt;='21_TAX'!$C$8),'21_TAX'!$C$9/'21_TAX'!$C$8,0)</f>
        <v>0</v>
      </c>
      <c r="AN10" s="58" t="n">
        <f aca="false">IF(AND('06_CONSTRUCTION'!AN5&gt;=1,'06_CONSTRUCTION'!AN5&lt;='21_TAX'!$C$8),'21_TAX'!$C$9/'21_TAX'!$C$8,0)</f>
        <v>0</v>
      </c>
      <c r="AO10" s="58" t="n">
        <f aca="false">IF(AND('06_CONSTRUCTION'!AO5&gt;=1,'06_CONSTRUCTION'!AO5&lt;='21_TAX'!$C$8),'21_TAX'!$C$9/'21_TAX'!$C$8,0)</f>
        <v>0</v>
      </c>
      <c r="AP10" s="58" t="n">
        <f aca="false">IF(AND('06_CONSTRUCTION'!AP5&gt;=1,'06_CONSTRUCTION'!AP5&lt;='21_TAX'!$C$8),'21_TAX'!$C$9/'21_TAX'!$C$8,0)</f>
        <v>0</v>
      </c>
      <c r="AQ10" s="58" t="n">
        <f aca="false">IF(AND('06_CONSTRUCTION'!AQ5&gt;=1,'06_CONSTRUCTION'!AQ5&lt;='21_TAX'!$C$8),'21_TAX'!$C$9/'21_TAX'!$C$8,0)</f>
        <v>0</v>
      </c>
      <c r="AR10" s="58" t="n">
        <f aca="false">IF(AND('06_CONSTRUCTION'!AR5&gt;=1,'06_CONSTRUCTION'!AR5&lt;='21_TAX'!$C$8),'21_TAX'!$C$9/'21_TAX'!$C$8,0)</f>
        <v>0</v>
      </c>
    </row>
    <row r="11" customFormat="false" ht="15" hidden="false" customHeight="true" outlineLevel="0" collapsed="false">
      <c r="A11" s="23" t="s">
        <v>959</v>
      </c>
      <c r="B11" s="23" t="s">
        <v>121</v>
      </c>
      <c r="C11" s="58" t="n">
        <f aca="false">SUM('21_TAX'!$E$11:$AR$11)</f>
        <v>187.296715078125</v>
      </c>
      <c r="E11" s="58" t="n">
        <f aca="false">IF(AND('06_CONSTRUCTION'!E5&gt;=1,'06_CONSTRUCTION'!E5&lt;='21_TAX'!$C$8),('17_PROJECT_FINANCE'!$C$8-'17_PROJECT_FINANCE'!$C$14)/'21_TAX'!$C$8,0)</f>
        <v>0</v>
      </c>
      <c r="F11" s="58" t="n">
        <f aca="false">IF(AND('06_CONSTRUCTION'!F5&gt;=1,'06_CONSTRUCTION'!F5&lt;='21_TAX'!$C$8),('17_PROJECT_FINANCE'!$C$8-'17_PROJECT_FINANCE'!$C$14)/'21_TAX'!$C$8,0)</f>
        <v>0</v>
      </c>
      <c r="G11" s="58" t="n">
        <f aca="false">IF(AND('06_CONSTRUCTION'!G5&gt;=1,'06_CONSTRUCTION'!G5&lt;='21_TAX'!$C$8),('17_PROJECT_FINANCE'!$C$8-'17_PROJECT_FINANCE'!$C$14)/'21_TAX'!$C$8,0)</f>
        <v>0</v>
      </c>
      <c r="H11" s="58" t="n">
        <f aca="false">IF(AND('06_CONSTRUCTION'!H5&gt;=1,'06_CONSTRUCTION'!H5&lt;='21_TAX'!$C$8),('17_PROJECT_FINANCE'!$C$8-'17_PROJECT_FINANCE'!$C$14)/'21_TAX'!$C$8,0)</f>
        <v>9.36483575390625</v>
      </c>
      <c r="I11" s="58" t="n">
        <f aca="false">IF(AND('06_CONSTRUCTION'!I5&gt;=1,'06_CONSTRUCTION'!I5&lt;='21_TAX'!$C$8),('17_PROJECT_FINANCE'!$C$8-'17_PROJECT_FINANCE'!$C$14)/'21_TAX'!$C$8,0)</f>
        <v>9.36483575390625</v>
      </c>
      <c r="J11" s="58" t="n">
        <f aca="false">IF(AND('06_CONSTRUCTION'!J5&gt;=1,'06_CONSTRUCTION'!J5&lt;='21_TAX'!$C$8),('17_PROJECT_FINANCE'!$C$8-'17_PROJECT_FINANCE'!$C$14)/'21_TAX'!$C$8,0)</f>
        <v>9.36483575390625</v>
      </c>
      <c r="K11" s="58" t="n">
        <f aca="false">IF(AND('06_CONSTRUCTION'!K5&gt;=1,'06_CONSTRUCTION'!K5&lt;='21_TAX'!$C$8),('17_PROJECT_FINANCE'!$C$8-'17_PROJECT_FINANCE'!$C$14)/'21_TAX'!$C$8,0)</f>
        <v>9.36483575390625</v>
      </c>
      <c r="L11" s="58" t="n">
        <f aca="false">IF(AND('06_CONSTRUCTION'!L5&gt;=1,'06_CONSTRUCTION'!L5&lt;='21_TAX'!$C$8),('17_PROJECT_FINANCE'!$C$8-'17_PROJECT_FINANCE'!$C$14)/'21_TAX'!$C$8,0)</f>
        <v>9.36483575390625</v>
      </c>
      <c r="M11" s="58" t="n">
        <f aca="false">IF(AND('06_CONSTRUCTION'!M5&gt;=1,'06_CONSTRUCTION'!M5&lt;='21_TAX'!$C$8),('17_PROJECT_FINANCE'!$C$8-'17_PROJECT_FINANCE'!$C$14)/'21_TAX'!$C$8,0)</f>
        <v>9.36483575390625</v>
      </c>
      <c r="N11" s="58" t="n">
        <f aca="false">IF(AND('06_CONSTRUCTION'!N5&gt;=1,'06_CONSTRUCTION'!N5&lt;='21_TAX'!$C$8),('17_PROJECT_FINANCE'!$C$8-'17_PROJECT_FINANCE'!$C$14)/'21_TAX'!$C$8,0)</f>
        <v>9.36483575390625</v>
      </c>
      <c r="O11" s="58" t="n">
        <f aca="false">IF(AND('06_CONSTRUCTION'!O5&gt;=1,'06_CONSTRUCTION'!O5&lt;='21_TAX'!$C$8),('17_PROJECT_FINANCE'!$C$8-'17_PROJECT_FINANCE'!$C$14)/'21_TAX'!$C$8,0)</f>
        <v>9.36483575390625</v>
      </c>
      <c r="P11" s="58" t="n">
        <f aca="false">IF(AND('06_CONSTRUCTION'!P5&gt;=1,'06_CONSTRUCTION'!P5&lt;='21_TAX'!$C$8),('17_PROJECT_FINANCE'!$C$8-'17_PROJECT_FINANCE'!$C$14)/'21_TAX'!$C$8,0)</f>
        <v>9.36483575390625</v>
      </c>
      <c r="Q11" s="58" t="n">
        <f aca="false">IF(AND('06_CONSTRUCTION'!Q5&gt;=1,'06_CONSTRUCTION'!Q5&lt;='21_TAX'!$C$8),('17_PROJECT_FINANCE'!$C$8-'17_PROJECT_FINANCE'!$C$14)/'21_TAX'!$C$8,0)</f>
        <v>9.36483575390625</v>
      </c>
      <c r="R11" s="58" t="n">
        <f aca="false">IF(AND('06_CONSTRUCTION'!R5&gt;=1,'06_CONSTRUCTION'!R5&lt;='21_TAX'!$C$8),('17_PROJECT_FINANCE'!$C$8-'17_PROJECT_FINANCE'!$C$14)/'21_TAX'!$C$8,0)</f>
        <v>9.36483575390625</v>
      </c>
      <c r="S11" s="58" t="n">
        <f aca="false">IF(AND('06_CONSTRUCTION'!S5&gt;=1,'06_CONSTRUCTION'!S5&lt;='21_TAX'!$C$8),('17_PROJECT_FINANCE'!$C$8-'17_PROJECT_FINANCE'!$C$14)/'21_TAX'!$C$8,0)</f>
        <v>9.36483575390625</v>
      </c>
      <c r="T11" s="58" t="n">
        <f aca="false">IF(AND('06_CONSTRUCTION'!T5&gt;=1,'06_CONSTRUCTION'!T5&lt;='21_TAX'!$C$8),('17_PROJECT_FINANCE'!$C$8-'17_PROJECT_FINANCE'!$C$14)/'21_TAX'!$C$8,0)</f>
        <v>9.36483575390625</v>
      </c>
      <c r="U11" s="58" t="n">
        <f aca="false">IF(AND('06_CONSTRUCTION'!U5&gt;=1,'06_CONSTRUCTION'!U5&lt;='21_TAX'!$C$8),('17_PROJECT_FINANCE'!$C$8-'17_PROJECT_FINANCE'!$C$14)/'21_TAX'!$C$8,0)</f>
        <v>9.36483575390625</v>
      </c>
      <c r="V11" s="58" t="n">
        <f aca="false">IF(AND('06_CONSTRUCTION'!V5&gt;=1,'06_CONSTRUCTION'!V5&lt;='21_TAX'!$C$8),('17_PROJECT_FINANCE'!$C$8-'17_PROJECT_FINANCE'!$C$14)/'21_TAX'!$C$8,0)</f>
        <v>9.36483575390625</v>
      </c>
      <c r="W11" s="58" t="n">
        <f aca="false">IF(AND('06_CONSTRUCTION'!W5&gt;=1,'06_CONSTRUCTION'!W5&lt;='21_TAX'!$C$8),('17_PROJECT_FINANCE'!$C$8-'17_PROJECT_FINANCE'!$C$14)/'21_TAX'!$C$8,0)</f>
        <v>9.36483575390625</v>
      </c>
      <c r="X11" s="58" t="n">
        <f aca="false">IF(AND('06_CONSTRUCTION'!X5&gt;=1,'06_CONSTRUCTION'!X5&lt;='21_TAX'!$C$8),('17_PROJECT_FINANCE'!$C$8-'17_PROJECT_FINANCE'!$C$14)/'21_TAX'!$C$8,0)</f>
        <v>9.36483575390625</v>
      </c>
      <c r="Y11" s="58" t="n">
        <f aca="false">IF(AND('06_CONSTRUCTION'!Y5&gt;=1,'06_CONSTRUCTION'!Y5&lt;='21_TAX'!$C$8),('17_PROJECT_FINANCE'!$C$8-'17_PROJECT_FINANCE'!$C$14)/'21_TAX'!$C$8,0)</f>
        <v>9.36483575390625</v>
      </c>
      <c r="Z11" s="58" t="n">
        <f aca="false">IF(AND('06_CONSTRUCTION'!Z5&gt;=1,'06_CONSTRUCTION'!Z5&lt;='21_TAX'!$C$8),('17_PROJECT_FINANCE'!$C$8-'17_PROJECT_FINANCE'!$C$14)/'21_TAX'!$C$8,0)</f>
        <v>9.36483575390625</v>
      </c>
      <c r="AA11" s="58" t="n">
        <f aca="false">IF(AND('06_CONSTRUCTION'!AA5&gt;=1,'06_CONSTRUCTION'!AA5&lt;='21_TAX'!$C$8),('17_PROJECT_FINANCE'!$C$8-'17_PROJECT_FINANCE'!$C$14)/'21_TAX'!$C$8,0)</f>
        <v>9.36483575390625</v>
      </c>
      <c r="AB11" s="58" t="n">
        <f aca="false">IF(AND('06_CONSTRUCTION'!AB5&gt;=1,'06_CONSTRUCTION'!AB5&lt;='21_TAX'!$C$8),('17_PROJECT_FINANCE'!$C$8-'17_PROJECT_FINANCE'!$C$14)/'21_TAX'!$C$8,0)</f>
        <v>0</v>
      </c>
      <c r="AC11" s="58" t="n">
        <f aca="false">IF(AND('06_CONSTRUCTION'!AC5&gt;=1,'06_CONSTRUCTION'!AC5&lt;='21_TAX'!$C$8),('17_PROJECT_FINANCE'!$C$8-'17_PROJECT_FINANCE'!$C$14)/'21_TAX'!$C$8,0)</f>
        <v>0</v>
      </c>
      <c r="AD11" s="58" t="n">
        <f aca="false">IF(AND('06_CONSTRUCTION'!AD5&gt;=1,'06_CONSTRUCTION'!AD5&lt;='21_TAX'!$C$8),('17_PROJECT_FINANCE'!$C$8-'17_PROJECT_FINANCE'!$C$14)/'21_TAX'!$C$8,0)</f>
        <v>0</v>
      </c>
      <c r="AE11" s="58" t="n">
        <f aca="false">IF(AND('06_CONSTRUCTION'!AE5&gt;=1,'06_CONSTRUCTION'!AE5&lt;='21_TAX'!$C$8),('17_PROJECT_FINANCE'!$C$8-'17_PROJECT_FINANCE'!$C$14)/'21_TAX'!$C$8,0)</f>
        <v>0</v>
      </c>
      <c r="AF11" s="58" t="n">
        <f aca="false">IF(AND('06_CONSTRUCTION'!AF5&gt;=1,'06_CONSTRUCTION'!AF5&lt;='21_TAX'!$C$8),('17_PROJECT_FINANCE'!$C$8-'17_PROJECT_FINANCE'!$C$14)/'21_TAX'!$C$8,0)</f>
        <v>0</v>
      </c>
      <c r="AG11" s="58" t="n">
        <f aca="false">IF(AND('06_CONSTRUCTION'!AG5&gt;=1,'06_CONSTRUCTION'!AG5&lt;='21_TAX'!$C$8),('17_PROJECT_FINANCE'!$C$8-'17_PROJECT_FINANCE'!$C$14)/'21_TAX'!$C$8,0)</f>
        <v>0</v>
      </c>
      <c r="AH11" s="58" t="n">
        <f aca="false">IF(AND('06_CONSTRUCTION'!AH5&gt;=1,'06_CONSTRUCTION'!AH5&lt;='21_TAX'!$C$8),('17_PROJECT_FINANCE'!$C$8-'17_PROJECT_FINANCE'!$C$14)/'21_TAX'!$C$8,0)</f>
        <v>0</v>
      </c>
      <c r="AI11" s="58" t="n">
        <f aca="false">IF(AND('06_CONSTRUCTION'!AI5&gt;=1,'06_CONSTRUCTION'!AI5&lt;='21_TAX'!$C$8),('17_PROJECT_FINANCE'!$C$8-'17_PROJECT_FINANCE'!$C$14)/'21_TAX'!$C$8,0)</f>
        <v>0</v>
      </c>
      <c r="AJ11" s="58" t="n">
        <f aca="false">IF(AND('06_CONSTRUCTION'!AJ5&gt;=1,'06_CONSTRUCTION'!AJ5&lt;='21_TAX'!$C$8),('17_PROJECT_FINANCE'!$C$8-'17_PROJECT_FINANCE'!$C$14)/'21_TAX'!$C$8,0)</f>
        <v>0</v>
      </c>
      <c r="AK11" s="58" t="n">
        <f aca="false">IF(AND('06_CONSTRUCTION'!AK5&gt;=1,'06_CONSTRUCTION'!AK5&lt;='21_TAX'!$C$8),('17_PROJECT_FINANCE'!$C$8-'17_PROJECT_FINANCE'!$C$14)/'21_TAX'!$C$8,0)</f>
        <v>0</v>
      </c>
      <c r="AL11" s="58" t="n">
        <f aca="false">IF(AND('06_CONSTRUCTION'!AL5&gt;=1,'06_CONSTRUCTION'!AL5&lt;='21_TAX'!$C$8),('17_PROJECT_FINANCE'!$C$8-'17_PROJECT_FINANCE'!$C$14)/'21_TAX'!$C$8,0)</f>
        <v>0</v>
      </c>
      <c r="AM11" s="58" t="n">
        <f aca="false">IF(AND('06_CONSTRUCTION'!AM5&gt;=1,'06_CONSTRUCTION'!AM5&lt;='21_TAX'!$C$8),('17_PROJECT_FINANCE'!$C$8-'17_PROJECT_FINANCE'!$C$14)/'21_TAX'!$C$8,0)</f>
        <v>0</v>
      </c>
      <c r="AN11" s="58" t="n">
        <f aca="false">IF(AND('06_CONSTRUCTION'!AN5&gt;=1,'06_CONSTRUCTION'!AN5&lt;='21_TAX'!$C$8),('17_PROJECT_FINANCE'!$C$8-'17_PROJECT_FINANCE'!$C$14)/'21_TAX'!$C$8,0)</f>
        <v>0</v>
      </c>
      <c r="AO11" s="58" t="n">
        <f aca="false">IF(AND('06_CONSTRUCTION'!AO5&gt;=1,'06_CONSTRUCTION'!AO5&lt;='21_TAX'!$C$8),('17_PROJECT_FINANCE'!$C$8-'17_PROJECT_FINANCE'!$C$14)/'21_TAX'!$C$8,0)</f>
        <v>0</v>
      </c>
      <c r="AP11" s="58" t="n">
        <f aca="false">IF(AND('06_CONSTRUCTION'!AP5&gt;=1,'06_CONSTRUCTION'!AP5&lt;='21_TAX'!$C$8),('17_PROJECT_FINANCE'!$C$8-'17_PROJECT_FINANCE'!$C$14)/'21_TAX'!$C$8,0)</f>
        <v>0</v>
      </c>
      <c r="AQ11" s="58" t="n">
        <f aca="false">IF(AND('06_CONSTRUCTION'!AQ5&gt;=1,'06_CONSTRUCTION'!AQ5&lt;='21_TAX'!$C$8),('17_PROJECT_FINANCE'!$C$8-'17_PROJECT_FINANCE'!$C$14)/'21_TAX'!$C$8,0)</f>
        <v>0</v>
      </c>
      <c r="AR11" s="58" t="n">
        <f aca="false">IF(AND('06_CONSTRUCTION'!AR5&gt;=1,'06_CONSTRUCTION'!AR5&lt;='21_TAX'!$C$8),('17_PROJECT_FINANCE'!$C$8-'17_PROJECT_FINANCE'!$C$14)/'21_TAX'!$C$8,0)</f>
        <v>0</v>
      </c>
    </row>
    <row r="12" customFormat="false" ht="15" hidden="false" customHeight="true" outlineLevel="0" collapsed="false">
      <c r="A12" s="23" t="s">
        <v>920</v>
      </c>
      <c r="B12" s="23" t="s">
        <v>121</v>
      </c>
      <c r="E12" s="79" t="n">
        <f aca="false">'20_CASH_FLOW'!E17</f>
        <v>0</v>
      </c>
      <c r="F12" s="79" t="n">
        <f aca="false">'20_CASH_FLOW'!F17</f>
        <v>0</v>
      </c>
      <c r="G12" s="79" t="n">
        <f aca="false">'20_CASH_FLOW'!G17</f>
        <v>0</v>
      </c>
      <c r="H12" s="79" t="n">
        <f aca="false">'20_CASH_FLOW'!H17</f>
        <v>22.4303783686298</v>
      </c>
      <c r="I12" s="79" t="n">
        <f aca="false">'20_CASH_FLOW'!I17</f>
        <v>27.6004064535552</v>
      </c>
      <c r="J12" s="79" t="n">
        <f aca="false">'20_CASH_FLOW'!J17</f>
        <v>27.8248354392243</v>
      </c>
      <c r="K12" s="79" t="n">
        <f aca="false">'20_CASH_FLOW'!K17</f>
        <v>28.0537530046067</v>
      </c>
      <c r="L12" s="79" t="n">
        <f aca="false">'20_CASH_FLOW'!L17</f>
        <v>28.2872489212969</v>
      </c>
      <c r="M12" s="79" t="n">
        <f aca="false">'20_CASH_FLOW'!M17</f>
        <v>28.5254147563208</v>
      </c>
      <c r="N12" s="79" t="n">
        <f aca="false">'20_CASH_FLOW'!N17</f>
        <v>28.7683439080452</v>
      </c>
      <c r="O12" s="79" t="n">
        <f aca="false">'20_CASH_FLOW'!O17</f>
        <v>29.0161316428041</v>
      </c>
      <c r="P12" s="79" t="n">
        <f aca="false">'20_CASH_FLOW'!P17</f>
        <v>29.2688751322582</v>
      </c>
      <c r="Q12" s="79" t="n">
        <f aca="false">'20_CASH_FLOW'!Q17</f>
        <v>29.5266734915013</v>
      </c>
      <c r="R12" s="79" t="n">
        <f aca="false">'20_CASH_FLOW'!R17</f>
        <v>29.7896278179294</v>
      </c>
      <c r="S12" s="79" t="n">
        <f aca="false">'20_CASH_FLOW'!S17</f>
        <v>30.0578412308859</v>
      </c>
      <c r="T12" s="79" t="n">
        <f aca="false">'20_CASH_FLOW'!T17</f>
        <v>30.3314189121017</v>
      </c>
      <c r="U12" s="79" t="n">
        <f aca="false">'20_CASH_FLOW'!U17</f>
        <v>30.6104681469417</v>
      </c>
      <c r="V12" s="79" t="n">
        <f aca="false">'20_CASH_FLOW'!V17</f>
        <v>30.8950983664785</v>
      </c>
      <c r="W12" s="79" t="n">
        <f aca="false">'20_CASH_FLOW'!W17</f>
        <v>31.1854211904061</v>
      </c>
      <c r="X12" s="79" t="n">
        <f aca="false">'20_CASH_FLOW'!X17</f>
        <v>31.4815504708122</v>
      </c>
      <c r="Y12" s="79" t="n">
        <f aca="false">'20_CASH_FLOW'!Y17</f>
        <v>31.7836023368264</v>
      </c>
      <c r="Z12" s="79" t="n">
        <f aca="false">'20_CASH_FLOW'!Z17</f>
        <v>32.091695240161</v>
      </c>
      <c r="AA12" s="79" t="n">
        <f aca="false">'20_CASH_FLOW'!AA17</f>
        <v>32.4059500015622</v>
      </c>
      <c r="AB12" s="79" t="n">
        <f aca="false">'20_CASH_FLOW'!AB17</f>
        <v>32.7264898581914</v>
      </c>
      <c r="AC12" s="79" t="n">
        <f aca="false">'20_CASH_FLOW'!AC17</f>
        <v>33.0534405119533</v>
      </c>
      <c r="AD12" s="79" t="n">
        <f aca="false">'20_CASH_FLOW'!AD17</f>
        <v>33.3869301787903</v>
      </c>
      <c r="AE12" s="79" t="n">
        <f aca="false">'20_CASH_FLOW'!AE17</f>
        <v>33.7270896389641</v>
      </c>
      <c r="AF12" s="79" t="n">
        <f aca="false">'20_CASH_FLOW'!AF17</f>
        <v>34.0740522883414</v>
      </c>
      <c r="AG12" s="79" t="n">
        <f aca="false">'20_CASH_FLOW'!AG17</f>
        <v>0</v>
      </c>
      <c r="AH12" s="79" t="n">
        <f aca="false">'20_CASH_FLOW'!AH17</f>
        <v>0</v>
      </c>
      <c r="AI12" s="79" t="n">
        <f aca="false">'20_CASH_FLOW'!AI17</f>
        <v>0</v>
      </c>
      <c r="AJ12" s="79" t="n">
        <f aca="false">'20_CASH_FLOW'!AJ17</f>
        <v>0</v>
      </c>
      <c r="AK12" s="79" t="n">
        <f aca="false">'20_CASH_FLOW'!AK17</f>
        <v>0</v>
      </c>
      <c r="AL12" s="79" t="n">
        <f aca="false">'20_CASH_FLOW'!AL17</f>
        <v>0</v>
      </c>
      <c r="AM12" s="79" t="n">
        <f aca="false">'20_CASH_FLOW'!AM17</f>
        <v>0</v>
      </c>
      <c r="AN12" s="79" t="n">
        <f aca="false">'20_CASH_FLOW'!AN17</f>
        <v>0</v>
      </c>
      <c r="AO12" s="79" t="n">
        <f aca="false">'20_CASH_FLOW'!AO17</f>
        <v>0</v>
      </c>
      <c r="AP12" s="79" t="n">
        <f aca="false">'20_CASH_FLOW'!AP17</f>
        <v>0</v>
      </c>
      <c r="AQ12" s="79" t="n">
        <f aca="false">'20_CASH_FLOW'!AQ17</f>
        <v>0</v>
      </c>
      <c r="AR12" s="79" t="n">
        <f aca="false">'20_CASH_FLOW'!AR17</f>
        <v>0</v>
      </c>
    </row>
    <row r="13" customFormat="false" ht="15" hidden="false" customHeight="true" outlineLevel="0" collapsed="false">
      <c r="A13" s="23" t="s">
        <v>960</v>
      </c>
      <c r="B13" s="23" t="s">
        <v>121</v>
      </c>
      <c r="E13" s="58" t="n">
        <f aca="false">'06_CONSTRUCTION'!E14*('18_DEBT'!E27+'18_DEBT'!E34)</f>
        <v>0</v>
      </c>
      <c r="F13" s="58" t="n">
        <f aca="false">'06_CONSTRUCTION'!F14*('18_DEBT'!F27+'18_DEBT'!F34)</f>
        <v>0</v>
      </c>
      <c r="G13" s="58" t="n">
        <f aca="false">'06_CONSTRUCTION'!G14*('18_DEBT'!G27+'18_DEBT'!G34)</f>
        <v>0</v>
      </c>
      <c r="H13" s="58" t="n">
        <f aca="false">'06_CONSTRUCTION'!H14*('18_DEBT'!H27+'18_DEBT'!H34)</f>
        <v>11.6281774327882</v>
      </c>
      <c r="I13" s="58" t="n">
        <f aca="false">'06_CONSTRUCTION'!I14*('18_DEBT'!I27+'18_DEBT'!I34)</f>
        <v>11.388128694786</v>
      </c>
      <c r="J13" s="58" t="n">
        <f aca="false">'06_CONSTRUCTION'!J14*('18_DEBT'!J27+'18_DEBT'!J34)</f>
        <v>10.8533805047416</v>
      </c>
      <c r="K13" s="58" t="n">
        <f aca="false">'06_CONSTRUCTION'!K14*('18_DEBT'!K27+'18_DEBT'!K34)</f>
        <v>10.2644430554176</v>
      </c>
      <c r="L13" s="58" t="n">
        <f aca="false">'06_CONSTRUCTION'!L14*('18_DEBT'!L27+'18_DEBT'!L34)</f>
        <v>9.61675301798996</v>
      </c>
      <c r="M13" s="58" t="n">
        <f aca="false">'06_CONSTRUCTION'!M14*('18_DEBT'!M27+'18_DEBT'!M34)</f>
        <v>8.90537743356728</v>
      </c>
      <c r="N13" s="58" t="n">
        <f aca="false">'06_CONSTRUCTION'!N14*('18_DEBT'!N27+'18_DEBT'!N34)</f>
        <v>8.40912557383207</v>
      </c>
      <c r="O13" s="58" t="n">
        <f aca="false">'06_CONSTRUCTION'!O14*('18_DEBT'!O27+'18_DEBT'!O34)</f>
        <v>7.86452863118912</v>
      </c>
      <c r="P13" s="58" t="n">
        <f aca="false">'06_CONSTRUCTION'!P14*('18_DEBT'!P27+'18_DEBT'!P34)</f>
        <v>7.26754610032323</v>
      </c>
      <c r="Q13" s="58" t="n">
        <f aca="false">'06_CONSTRUCTION'!Q14*('18_DEBT'!Q27+'18_DEBT'!Q34)</f>
        <v>6.61381077752033</v>
      </c>
      <c r="R13" s="58" t="n">
        <f aca="false">'06_CONSTRUCTION'!R14*('18_DEBT'!R27+'18_DEBT'!R34)</f>
        <v>5.89860255563613</v>
      </c>
      <c r="S13" s="58" t="n">
        <f aca="false">'06_CONSTRUCTION'!S14*('18_DEBT'!S27+'18_DEBT'!S34)</f>
        <v>5.11682012127896</v>
      </c>
      <c r="T13" s="58" t="n">
        <f aca="false">'06_CONSTRUCTION'!T14*('18_DEBT'!T27+'18_DEBT'!T34)</f>
        <v>4.26295038635654</v>
      </c>
      <c r="U13" s="58" t="n">
        <f aca="false">'06_CONSTRUCTION'!U14*('18_DEBT'!U27+'18_DEBT'!U34)</f>
        <v>3.33103547270733</v>
      </c>
      <c r="V13" s="58" t="n">
        <f aca="false">'06_CONSTRUCTION'!V14*('18_DEBT'!V27+'18_DEBT'!V34)</f>
        <v>2.31463705403451</v>
      </c>
      <c r="W13" s="58" t="n">
        <f aca="false">'06_CONSTRUCTION'!W14*('18_DEBT'!W27+'18_DEBT'!W34)</f>
        <v>1.20679784369758</v>
      </c>
      <c r="X13" s="58" t="n">
        <f aca="false">'06_CONSTRUCTION'!X14*('18_DEBT'!X27+'18_DEBT'!X34)</f>
        <v>0</v>
      </c>
      <c r="Y13" s="58" t="n">
        <f aca="false">'06_CONSTRUCTION'!Y14*('18_DEBT'!Y27+'18_DEBT'!Y34)</f>
        <v>0</v>
      </c>
      <c r="Z13" s="58" t="n">
        <f aca="false">'06_CONSTRUCTION'!Z14*('18_DEBT'!Z27+'18_DEBT'!Z34)</f>
        <v>0</v>
      </c>
      <c r="AA13" s="58" t="n">
        <f aca="false">'06_CONSTRUCTION'!AA14*('18_DEBT'!AA27+'18_DEBT'!AA34)</f>
        <v>0</v>
      </c>
      <c r="AB13" s="58" t="n">
        <f aca="false">'06_CONSTRUCTION'!AB14*('18_DEBT'!AB27+'18_DEBT'!AB34)</f>
        <v>0</v>
      </c>
      <c r="AC13" s="58" t="n">
        <f aca="false">'06_CONSTRUCTION'!AC14*('18_DEBT'!AC27+'18_DEBT'!AC34)</f>
        <v>0</v>
      </c>
      <c r="AD13" s="58" t="n">
        <f aca="false">'06_CONSTRUCTION'!AD14*('18_DEBT'!AD27+'18_DEBT'!AD34)</f>
        <v>0</v>
      </c>
      <c r="AE13" s="58" t="n">
        <f aca="false">'06_CONSTRUCTION'!AE14*('18_DEBT'!AE27+'18_DEBT'!AE34)</f>
        <v>0</v>
      </c>
      <c r="AF13" s="58" t="n">
        <f aca="false">'06_CONSTRUCTION'!AF14*('18_DEBT'!AF27+'18_DEBT'!AF34)</f>
        <v>0</v>
      </c>
      <c r="AG13" s="58" t="n">
        <f aca="false">'06_CONSTRUCTION'!AG14*('18_DEBT'!AG27+'18_DEBT'!AG34)</f>
        <v>0</v>
      </c>
      <c r="AH13" s="58" t="n">
        <f aca="false">'06_CONSTRUCTION'!AH14*('18_DEBT'!AH27+'18_DEBT'!AH34)</f>
        <v>0</v>
      </c>
      <c r="AI13" s="58" t="n">
        <f aca="false">'06_CONSTRUCTION'!AI14*('18_DEBT'!AI27+'18_DEBT'!AI34)</f>
        <v>0</v>
      </c>
      <c r="AJ13" s="58" t="n">
        <f aca="false">'06_CONSTRUCTION'!AJ14*('18_DEBT'!AJ27+'18_DEBT'!AJ34)</f>
        <v>0</v>
      </c>
      <c r="AK13" s="58" t="n">
        <f aca="false">'06_CONSTRUCTION'!AK14*('18_DEBT'!AK27+'18_DEBT'!AK34)</f>
        <v>0</v>
      </c>
      <c r="AL13" s="58" t="n">
        <f aca="false">'06_CONSTRUCTION'!AL14*('18_DEBT'!AL27+'18_DEBT'!AL34)</f>
        <v>0</v>
      </c>
      <c r="AM13" s="58" t="n">
        <f aca="false">'06_CONSTRUCTION'!AM14*('18_DEBT'!AM27+'18_DEBT'!AM34)</f>
        <v>0</v>
      </c>
      <c r="AN13" s="58" t="n">
        <f aca="false">'06_CONSTRUCTION'!AN14*('18_DEBT'!AN27+'18_DEBT'!AN34)</f>
        <v>0</v>
      </c>
      <c r="AO13" s="58" t="n">
        <f aca="false">'06_CONSTRUCTION'!AO14*('18_DEBT'!AO27+'18_DEBT'!AO34)</f>
        <v>0</v>
      </c>
      <c r="AP13" s="58" t="n">
        <f aca="false">'06_CONSTRUCTION'!AP14*('18_DEBT'!AP27+'18_DEBT'!AP34)</f>
        <v>0</v>
      </c>
      <c r="AQ13" s="58" t="n">
        <f aca="false">'06_CONSTRUCTION'!AQ14*('18_DEBT'!AQ27+'18_DEBT'!AQ34)</f>
        <v>0</v>
      </c>
      <c r="AR13" s="58" t="n">
        <f aca="false">'06_CONSTRUCTION'!AR14*('18_DEBT'!AR27+'18_DEBT'!AR34)</f>
        <v>0</v>
      </c>
    </row>
    <row r="14" customFormat="false" ht="15" hidden="false" customHeight="true" outlineLevel="0" collapsed="false">
      <c r="A14" s="23" t="s">
        <v>961</v>
      </c>
      <c r="B14" s="23" t="s">
        <v>121</v>
      </c>
      <c r="E14" s="58" t="n">
        <f aca="false">'21_TAX'!E12-'21_TAX'!E10-'21_TAX'!E13</f>
        <v>0</v>
      </c>
      <c r="F14" s="58" t="n">
        <f aca="false">'21_TAX'!F12-'21_TAX'!F10-'21_TAX'!F13</f>
        <v>0</v>
      </c>
      <c r="G14" s="58" t="n">
        <f aca="false">'21_TAX'!G12-'21_TAX'!G10-'21_TAX'!G13</f>
        <v>0</v>
      </c>
      <c r="H14" s="58" t="n">
        <f aca="false">'21_TAX'!H12-'21_TAX'!H10-'21_TAX'!H13</f>
        <v>0.419899656566317</v>
      </c>
      <c r="I14" s="58" t="n">
        <f aca="false">'21_TAX'!I12-'21_TAX'!I10-'21_TAX'!I13</f>
        <v>5.82997647949396</v>
      </c>
      <c r="J14" s="58" t="n">
        <f aca="false">'21_TAX'!J12-'21_TAX'!J10-'21_TAX'!J13</f>
        <v>6.5891536552074</v>
      </c>
      <c r="K14" s="58" t="n">
        <f aca="false">'21_TAX'!K12-'21_TAX'!K10-'21_TAX'!K13</f>
        <v>7.40700866991392</v>
      </c>
      <c r="L14" s="58" t="n">
        <f aca="false">'21_TAX'!L12-'21_TAX'!L10-'21_TAX'!L13</f>
        <v>8.28819462403168</v>
      </c>
      <c r="M14" s="58" t="n">
        <f aca="false">'21_TAX'!M12-'21_TAX'!M10-'21_TAX'!M13</f>
        <v>9.23773604347828</v>
      </c>
      <c r="N14" s="58" t="n">
        <f aca="false">'21_TAX'!N12-'21_TAX'!N10-'21_TAX'!N13</f>
        <v>9.97691705493792</v>
      </c>
      <c r="O14" s="58" t="n">
        <f aca="false">'21_TAX'!O12-'21_TAX'!O10-'21_TAX'!O13</f>
        <v>10.7693017323398</v>
      </c>
      <c r="P14" s="58" t="n">
        <f aca="false">'21_TAX'!P12-'21_TAX'!P10-'21_TAX'!P13</f>
        <v>11.6190277526597</v>
      </c>
      <c r="Q14" s="58" t="n">
        <f aca="false">'21_TAX'!Q12-'21_TAX'!Q10-'21_TAX'!Q13</f>
        <v>12.5305614347058</v>
      </c>
      <c r="R14" s="58" t="n">
        <f aca="false">'21_TAX'!R12-'21_TAX'!R10-'21_TAX'!R13</f>
        <v>13.508723983018</v>
      </c>
      <c r="S14" s="58" t="n">
        <f aca="false">'21_TAX'!S12-'21_TAX'!S10-'21_TAX'!S13</f>
        <v>14.5587198303318</v>
      </c>
      <c r="T14" s="58" t="n">
        <f aca="false">'21_TAX'!T12-'21_TAX'!T10-'21_TAX'!T13</f>
        <v>15.6861672464699</v>
      </c>
      <c r="U14" s="58" t="n">
        <f aca="false">'21_TAX'!U12-'21_TAX'!U10-'21_TAX'!U13</f>
        <v>16.8971313949591</v>
      </c>
      <c r="V14" s="58" t="n">
        <f aca="false">'21_TAX'!V12-'21_TAX'!V10-'21_TAX'!V13</f>
        <v>18.1981600331688</v>
      </c>
      <c r="W14" s="58" t="n">
        <f aca="false">'21_TAX'!W12-'21_TAX'!W10-'21_TAX'!W13</f>
        <v>19.5963220674333</v>
      </c>
      <c r="X14" s="58" t="n">
        <f aca="false">'21_TAX'!X12-'21_TAX'!X10-'21_TAX'!X13</f>
        <v>21.099249191537</v>
      </c>
      <c r="Y14" s="58" t="n">
        <f aca="false">'21_TAX'!Y12-'21_TAX'!Y10-'21_TAX'!Y13</f>
        <v>21.4013010575512</v>
      </c>
      <c r="Z14" s="58" t="n">
        <f aca="false">'21_TAX'!Z12-'21_TAX'!Z10-'21_TAX'!Z13</f>
        <v>21.7093939608858</v>
      </c>
      <c r="AA14" s="58" t="n">
        <f aca="false">'21_TAX'!AA12-'21_TAX'!AA10-'21_TAX'!AA13</f>
        <v>22.023648722287</v>
      </c>
      <c r="AB14" s="58" t="n">
        <f aca="false">'21_TAX'!AB12-'21_TAX'!AB10-'21_TAX'!AB13</f>
        <v>32.7264898581914</v>
      </c>
      <c r="AC14" s="58" t="n">
        <f aca="false">'21_TAX'!AC12-'21_TAX'!AC10-'21_TAX'!AC13</f>
        <v>33.0534405119533</v>
      </c>
      <c r="AD14" s="58" t="n">
        <f aca="false">'21_TAX'!AD12-'21_TAX'!AD10-'21_TAX'!AD13</f>
        <v>33.3869301787903</v>
      </c>
      <c r="AE14" s="58" t="n">
        <f aca="false">'21_TAX'!AE12-'21_TAX'!AE10-'21_TAX'!AE13</f>
        <v>33.7270896389641</v>
      </c>
      <c r="AF14" s="58" t="n">
        <f aca="false">'21_TAX'!AF12-'21_TAX'!AF10-'21_TAX'!AF13</f>
        <v>34.0740522883414</v>
      </c>
      <c r="AG14" s="58" t="n">
        <f aca="false">'21_TAX'!AG12-'21_TAX'!AG10-'21_TAX'!AG13</f>
        <v>0</v>
      </c>
      <c r="AH14" s="58" t="n">
        <f aca="false">'21_TAX'!AH12-'21_TAX'!AH10-'21_TAX'!AH13</f>
        <v>0</v>
      </c>
      <c r="AI14" s="58" t="n">
        <f aca="false">'21_TAX'!AI12-'21_TAX'!AI10-'21_TAX'!AI13</f>
        <v>0</v>
      </c>
      <c r="AJ14" s="58" t="n">
        <f aca="false">'21_TAX'!AJ12-'21_TAX'!AJ10-'21_TAX'!AJ13</f>
        <v>0</v>
      </c>
      <c r="AK14" s="58" t="n">
        <f aca="false">'21_TAX'!AK12-'21_TAX'!AK10-'21_TAX'!AK13</f>
        <v>0</v>
      </c>
      <c r="AL14" s="58" t="n">
        <f aca="false">'21_TAX'!AL12-'21_TAX'!AL10-'21_TAX'!AL13</f>
        <v>0</v>
      </c>
      <c r="AM14" s="58" t="n">
        <f aca="false">'21_TAX'!AM12-'21_TAX'!AM10-'21_TAX'!AM13</f>
        <v>0</v>
      </c>
      <c r="AN14" s="58" t="n">
        <f aca="false">'21_TAX'!AN12-'21_TAX'!AN10-'21_TAX'!AN13</f>
        <v>0</v>
      </c>
      <c r="AO14" s="58" t="n">
        <f aca="false">'21_TAX'!AO12-'21_TAX'!AO10-'21_TAX'!AO13</f>
        <v>0</v>
      </c>
      <c r="AP14" s="58" t="n">
        <f aca="false">'21_TAX'!AP12-'21_TAX'!AP10-'21_TAX'!AP13</f>
        <v>0</v>
      </c>
      <c r="AQ14" s="58" t="n">
        <f aca="false">'21_TAX'!AQ12-'21_TAX'!AQ10-'21_TAX'!AQ13</f>
        <v>0</v>
      </c>
      <c r="AR14" s="58" t="n">
        <f aca="false">'21_TAX'!AR12-'21_TAX'!AR10-'21_TAX'!AR13</f>
        <v>0</v>
      </c>
    </row>
    <row r="15" customFormat="false" ht="15" hidden="false" customHeight="true" outlineLevel="0" collapsed="false">
      <c r="A15" s="23" t="s">
        <v>962</v>
      </c>
      <c r="B15" s="23" t="s">
        <v>121</v>
      </c>
      <c r="E15" s="58" t="n">
        <f aca="false">'21_TAX'!D17</f>
        <v>0</v>
      </c>
      <c r="F15" s="58" t="n">
        <f aca="false">'21_TAX'!E17</f>
        <v>0</v>
      </c>
      <c r="G15" s="58" t="n">
        <f aca="false">'21_TAX'!F17</f>
        <v>0</v>
      </c>
      <c r="H15" s="58" t="n">
        <f aca="false">'21_TAX'!G17</f>
        <v>0</v>
      </c>
      <c r="I15" s="58" t="n">
        <f aca="false">'21_TAX'!H17</f>
        <v>0</v>
      </c>
      <c r="J15" s="58" t="n">
        <f aca="false">'21_TAX'!I17</f>
        <v>0</v>
      </c>
      <c r="K15" s="58" t="n">
        <f aca="false">'21_TAX'!J17</f>
        <v>0</v>
      </c>
      <c r="L15" s="58" t="n">
        <f aca="false">'21_TAX'!K17</f>
        <v>0</v>
      </c>
      <c r="M15" s="58" t="n">
        <f aca="false">'21_TAX'!L17</f>
        <v>0</v>
      </c>
      <c r="N15" s="58" t="n">
        <f aca="false">'21_TAX'!M17</f>
        <v>0</v>
      </c>
      <c r="O15" s="58" t="n">
        <f aca="false">'21_TAX'!N17</f>
        <v>0</v>
      </c>
      <c r="P15" s="58" t="n">
        <f aca="false">'21_TAX'!O17</f>
        <v>0</v>
      </c>
      <c r="Q15" s="58" t="n">
        <f aca="false">'21_TAX'!P17</f>
        <v>0</v>
      </c>
      <c r="R15" s="58" t="n">
        <f aca="false">'21_TAX'!Q17</f>
        <v>0</v>
      </c>
      <c r="S15" s="58" t="n">
        <f aca="false">'21_TAX'!R17</f>
        <v>0</v>
      </c>
      <c r="T15" s="58" t="n">
        <f aca="false">'21_TAX'!S17</f>
        <v>0</v>
      </c>
      <c r="U15" s="58" t="n">
        <f aca="false">'21_TAX'!T17</f>
        <v>0</v>
      </c>
      <c r="V15" s="58" t="n">
        <f aca="false">'21_TAX'!U17</f>
        <v>0</v>
      </c>
      <c r="W15" s="58" t="n">
        <f aca="false">'21_TAX'!V17</f>
        <v>0</v>
      </c>
      <c r="X15" s="58" t="n">
        <f aca="false">'21_TAX'!W17</f>
        <v>0</v>
      </c>
      <c r="Y15" s="58" t="n">
        <f aca="false">'21_TAX'!X17</f>
        <v>0</v>
      </c>
      <c r="Z15" s="58" t="n">
        <f aca="false">'21_TAX'!Y17</f>
        <v>0</v>
      </c>
      <c r="AA15" s="58" t="n">
        <f aca="false">'21_TAX'!Z17</f>
        <v>0</v>
      </c>
      <c r="AB15" s="58" t="n">
        <f aca="false">'21_TAX'!AA17</f>
        <v>0</v>
      </c>
      <c r="AC15" s="58" t="n">
        <f aca="false">'21_TAX'!AB17</f>
        <v>0</v>
      </c>
      <c r="AD15" s="58" t="n">
        <f aca="false">'21_TAX'!AC17</f>
        <v>0</v>
      </c>
      <c r="AE15" s="58" t="n">
        <f aca="false">'21_TAX'!AD17</f>
        <v>0</v>
      </c>
      <c r="AF15" s="58" t="n">
        <f aca="false">'21_TAX'!AE17</f>
        <v>0</v>
      </c>
      <c r="AG15" s="58" t="n">
        <f aca="false">'21_TAX'!AF17</f>
        <v>0</v>
      </c>
      <c r="AH15" s="58" t="n">
        <f aca="false">'21_TAX'!AG17</f>
        <v>0</v>
      </c>
      <c r="AI15" s="58" t="n">
        <f aca="false">'21_TAX'!AH17</f>
        <v>0</v>
      </c>
      <c r="AJ15" s="58" t="n">
        <f aca="false">'21_TAX'!AI17</f>
        <v>0</v>
      </c>
      <c r="AK15" s="58" t="n">
        <f aca="false">'21_TAX'!AJ17</f>
        <v>0</v>
      </c>
      <c r="AL15" s="58" t="n">
        <f aca="false">'21_TAX'!AK17</f>
        <v>0</v>
      </c>
      <c r="AM15" s="58" t="n">
        <f aca="false">'21_TAX'!AL17</f>
        <v>0</v>
      </c>
      <c r="AN15" s="58" t="n">
        <f aca="false">'21_TAX'!AM17</f>
        <v>0</v>
      </c>
      <c r="AO15" s="58" t="n">
        <f aca="false">'21_TAX'!AN17</f>
        <v>0</v>
      </c>
      <c r="AP15" s="58" t="n">
        <f aca="false">'21_TAX'!AO17</f>
        <v>0</v>
      </c>
      <c r="AQ15" s="58" t="n">
        <f aca="false">'21_TAX'!AP17</f>
        <v>0</v>
      </c>
      <c r="AR15" s="58" t="n">
        <f aca="false">'21_TAX'!AQ17</f>
        <v>0</v>
      </c>
    </row>
    <row r="16" customFormat="false" ht="15" hidden="false" customHeight="true" outlineLevel="0" collapsed="false">
      <c r="A16" s="23" t="s">
        <v>963</v>
      </c>
      <c r="B16" s="23" t="s">
        <v>121</v>
      </c>
      <c r="E16" s="58" t="n">
        <f aca="false">IF(AND('21_TAX'!E14&gt;0,'06_CONSTRUCTION'!E5&gt;'21_TAX'!$C$7),MIN('21_TAX'!E14,'21_TAX'!E15),0)</f>
        <v>0</v>
      </c>
      <c r="F16" s="58" t="n">
        <f aca="false">IF(AND('21_TAX'!F14&gt;0,'06_CONSTRUCTION'!F5&gt;'21_TAX'!$C$7),MIN('21_TAX'!F14,'21_TAX'!F15),0)</f>
        <v>0</v>
      </c>
      <c r="G16" s="58" t="n">
        <f aca="false">IF(AND('21_TAX'!G14&gt;0,'06_CONSTRUCTION'!G5&gt;'21_TAX'!$C$7),MIN('21_TAX'!G14,'21_TAX'!G15),0)</f>
        <v>0</v>
      </c>
      <c r="H16" s="58" t="n">
        <f aca="false">IF(AND('21_TAX'!H14&gt;0,'06_CONSTRUCTION'!H5&gt;'21_TAX'!$C$7),MIN('21_TAX'!H14,'21_TAX'!H15),0)</f>
        <v>0</v>
      </c>
      <c r="I16" s="58" t="n">
        <f aca="false">IF(AND('21_TAX'!I14&gt;0,'06_CONSTRUCTION'!I5&gt;'21_TAX'!$C$7),MIN('21_TAX'!I14,'21_TAX'!I15),0)</f>
        <v>0</v>
      </c>
      <c r="J16" s="58" t="n">
        <f aca="false">IF(AND('21_TAX'!J14&gt;0,'06_CONSTRUCTION'!J5&gt;'21_TAX'!$C$7),MIN('21_TAX'!J14,'21_TAX'!J15),0)</f>
        <v>0</v>
      </c>
      <c r="K16" s="58" t="n">
        <f aca="false">IF(AND('21_TAX'!K14&gt;0,'06_CONSTRUCTION'!K5&gt;'21_TAX'!$C$7),MIN('21_TAX'!K14,'21_TAX'!K15),0)</f>
        <v>0</v>
      </c>
      <c r="L16" s="58" t="n">
        <f aca="false">IF(AND('21_TAX'!L14&gt;0,'06_CONSTRUCTION'!L5&gt;'21_TAX'!$C$7),MIN('21_TAX'!L14,'21_TAX'!L15),0)</f>
        <v>0</v>
      </c>
      <c r="M16" s="58" t="n">
        <f aca="false">IF(AND('21_TAX'!M14&gt;0,'06_CONSTRUCTION'!M5&gt;'21_TAX'!$C$7),MIN('21_TAX'!M14,'21_TAX'!M15),0)</f>
        <v>0</v>
      </c>
      <c r="N16" s="58" t="n">
        <f aca="false">IF(AND('21_TAX'!N14&gt;0,'06_CONSTRUCTION'!N5&gt;'21_TAX'!$C$7),MIN('21_TAX'!N14,'21_TAX'!N15),0)</f>
        <v>0</v>
      </c>
      <c r="O16" s="58" t="n">
        <f aca="false">IF(AND('21_TAX'!O14&gt;0,'06_CONSTRUCTION'!O5&gt;'21_TAX'!$C$7),MIN('21_TAX'!O14,'21_TAX'!O15),0)</f>
        <v>0</v>
      </c>
      <c r="P16" s="58" t="n">
        <f aca="false">IF(AND('21_TAX'!P14&gt;0,'06_CONSTRUCTION'!P5&gt;'21_TAX'!$C$7),MIN('21_TAX'!P14,'21_TAX'!P15),0)</f>
        <v>0</v>
      </c>
      <c r="Q16" s="58" t="n">
        <f aca="false">IF(AND('21_TAX'!Q14&gt;0,'06_CONSTRUCTION'!Q5&gt;'21_TAX'!$C$7),MIN('21_TAX'!Q14,'21_TAX'!Q15),0)</f>
        <v>0</v>
      </c>
      <c r="R16" s="58" t="n">
        <f aca="false">IF(AND('21_TAX'!R14&gt;0,'06_CONSTRUCTION'!R5&gt;'21_TAX'!$C$7),MIN('21_TAX'!R14,'21_TAX'!R15),0)</f>
        <v>0</v>
      </c>
      <c r="S16" s="58" t="n">
        <f aca="false">IF(AND('21_TAX'!S14&gt;0,'06_CONSTRUCTION'!S5&gt;'21_TAX'!$C$7),MIN('21_TAX'!S14,'21_TAX'!S15),0)</f>
        <v>0</v>
      </c>
      <c r="T16" s="58" t="n">
        <f aca="false">IF(AND('21_TAX'!T14&gt;0,'06_CONSTRUCTION'!T5&gt;'21_TAX'!$C$7),MIN('21_TAX'!T14,'21_TAX'!T15),0)</f>
        <v>0</v>
      </c>
      <c r="U16" s="58" t="n">
        <f aca="false">IF(AND('21_TAX'!U14&gt;0,'06_CONSTRUCTION'!U5&gt;'21_TAX'!$C$7),MIN('21_TAX'!U14,'21_TAX'!U15),0)</f>
        <v>0</v>
      </c>
      <c r="V16" s="58" t="n">
        <f aca="false">IF(AND('21_TAX'!V14&gt;0,'06_CONSTRUCTION'!V5&gt;'21_TAX'!$C$7),MIN('21_TAX'!V14,'21_TAX'!V15),0)</f>
        <v>0</v>
      </c>
      <c r="W16" s="58" t="n">
        <f aca="false">IF(AND('21_TAX'!W14&gt;0,'06_CONSTRUCTION'!W5&gt;'21_TAX'!$C$7),MIN('21_TAX'!W14,'21_TAX'!W15),0)</f>
        <v>0</v>
      </c>
      <c r="X16" s="58" t="n">
        <f aca="false">IF(AND('21_TAX'!X14&gt;0,'06_CONSTRUCTION'!X5&gt;'21_TAX'!$C$7),MIN('21_TAX'!X14,'21_TAX'!X15),0)</f>
        <v>0</v>
      </c>
      <c r="Y16" s="58" t="n">
        <f aca="false">IF(AND('21_TAX'!Y14&gt;0,'06_CONSTRUCTION'!Y5&gt;'21_TAX'!$C$7),MIN('21_TAX'!Y14,'21_TAX'!Y15),0)</f>
        <v>0</v>
      </c>
      <c r="Z16" s="58" t="n">
        <f aca="false">IF(AND('21_TAX'!Z14&gt;0,'06_CONSTRUCTION'!Z5&gt;'21_TAX'!$C$7),MIN('21_TAX'!Z14,'21_TAX'!Z15),0)</f>
        <v>0</v>
      </c>
      <c r="AA16" s="58" t="n">
        <f aca="false">IF(AND('21_TAX'!AA14&gt;0,'06_CONSTRUCTION'!AA5&gt;'21_TAX'!$C$7),MIN('21_TAX'!AA14,'21_TAX'!AA15),0)</f>
        <v>0</v>
      </c>
      <c r="AB16" s="58" t="n">
        <f aca="false">IF(AND('21_TAX'!AB14&gt;0,'06_CONSTRUCTION'!AB5&gt;'21_TAX'!$C$7),MIN('21_TAX'!AB14,'21_TAX'!AB15),0)</f>
        <v>0</v>
      </c>
      <c r="AC16" s="58" t="n">
        <f aca="false">IF(AND('21_TAX'!AC14&gt;0,'06_CONSTRUCTION'!AC5&gt;'21_TAX'!$C$7),MIN('21_TAX'!AC14,'21_TAX'!AC15),0)</f>
        <v>0</v>
      </c>
      <c r="AD16" s="58" t="n">
        <f aca="false">IF(AND('21_TAX'!AD14&gt;0,'06_CONSTRUCTION'!AD5&gt;'21_TAX'!$C$7),MIN('21_TAX'!AD14,'21_TAX'!AD15),0)</f>
        <v>0</v>
      </c>
      <c r="AE16" s="58" t="n">
        <f aca="false">IF(AND('21_TAX'!AE14&gt;0,'06_CONSTRUCTION'!AE5&gt;'21_TAX'!$C$7),MIN('21_TAX'!AE14,'21_TAX'!AE15),0)</f>
        <v>0</v>
      </c>
      <c r="AF16" s="58" t="n">
        <f aca="false">IF(AND('21_TAX'!AF14&gt;0,'06_CONSTRUCTION'!AF5&gt;'21_TAX'!$C$7),MIN('21_TAX'!AF14,'21_TAX'!AF15),0)</f>
        <v>0</v>
      </c>
      <c r="AG16" s="58" t="n">
        <f aca="false">IF(AND('21_TAX'!AG14&gt;0,'06_CONSTRUCTION'!AG5&gt;'21_TAX'!$C$7),MIN('21_TAX'!AG14,'21_TAX'!AG15),0)</f>
        <v>0</v>
      </c>
      <c r="AH16" s="58" t="n">
        <f aca="false">IF(AND('21_TAX'!AH14&gt;0,'06_CONSTRUCTION'!AH5&gt;'21_TAX'!$C$7),MIN('21_TAX'!AH14,'21_TAX'!AH15),0)</f>
        <v>0</v>
      </c>
      <c r="AI16" s="58" t="n">
        <f aca="false">IF(AND('21_TAX'!AI14&gt;0,'06_CONSTRUCTION'!AI5&gt;'21_TAX'!$C$7),MIN('21_TAX'!AI14,'21_TAX'!AI15),0)</f>
        <v>0</v>
      </c>
      <c r="AJ16" s="58" t="n">
        <f aca="false">IF(AND('21_TAX'!AJ14&gt;0,'06_CONSTRUCTION'!AJ5&gt;'21_TAX'!$C$7),MIN('21_TAX'!AJ14,'21_TAX'!AJ15),0)</f>
        <v>0</v>
      </c>
      <c r="AK16" s="58" t="n">
        <f aca="false">IF(AND('21_TAX'!AK14&gt;0,'06_CONSTRUCTION'!AK5&gt;'21_TAX'!$C$7),MIN('21_TAX'!AK14,'21_TAX'!AK15),0)</f>
        <v>0</v>
      </c>
      <c r="AL16" s="58" t="n">
        <f aca="false">IF(AND('21_TAX'!AL14&gt;0,'06_CONSTRUCTION'!AL5&gt;'21_TAX'!$C$7),MIN('21_TAX'!AL14,'21_TAX'!AL15),0)</f>
        <v>0</v>
      </c>
      <c r="AM16" s="58" t="n">
        <f aca="false">IF(AND('21_TAX'!AM14&gt;0,'06_CONSTRUCTION'!AM5&gt;'21_TAX'!$C$7),MIN('21_TAX'!AM14,'21_TAX'!AM15),0)</f>
        <v>0</v>
      </c>
      <c r="AN16" s="58" t="n">
        <f aca="false">IF(AND('21_TAX'!AN14&gt;0,'06_CONSTRUCTION'!AN5&gt;'21_TAX'!$C$7),MIN('21_TAX'!AN14,'21_TAX'!AN15),0)</f>
        <v>0</v>
      </c>
      <c r="AO16" s="58" t="n">
        <f aca="false">IF(AND('21_TAX'!AO14&gt;0,'06_CONSTRUCTION'!AO5&gt;'21_TAX'!$C$7),MIN('21_TAX'!AO14,'21_TAX'!AO15),0)</f>
        <v>0</v>
      </c>
      <c r="AP16" s="58" t="n">
        <f aca="false">IF(AND('21_TAX'!AP14&gt;0,'06_CONSTRUCTION'!AP5&gt;'21_TAX'!$C$7),MIN('21_TAX'!AP14,'21_TAX'!AP15),0)</f>
        <v>0</v>
      </c>
      <c r="AQ16" s="58" t="n">
        <f aca="false">IF(AND('21_TAX'!AQ14&gt;0,'06_CONSTRUCTION'!AQ5&gt;'21_TAX'!$C$7),MIN('21_TAX'!AQ14,'21_TAX'!AQ15),0)</f>
        <v>0</v>
      </c>
      <c r="AR16" s="58" t="n">
        <f aca="false">IF(AND('21_TAX'!AR14&gt;0,'06_CONSTRUCTION'!AR5&gt;'21_TAX'!$C$7),MIN('21_TAX'!AR14,'21_TAX'!AR15),0)</f>
        <v>0</v>
      </c>
    </row>
    <row r="17" customFormat="false" ht="15" hidden="false" customHeight="true" outlineLevel="0" collapsed="false">
      <c r="A17" s="23" t="s">
        <v>964</v>
      </c>
      <c r="B17" s="23" t="s">
        <v>121</v>
      </c>
      <c r="E17" s="58" t="n">
        <f aca="false">'21_TAX'!E15-'21_TAX'!E16+MAX(0,-'21_TAX'!E14)</f>
        <v>0</v>
      </c>
      <c r="F17" s="58" t="n">
        <f aca="false">'21_TAX'!F15-'21_TAX'!F16+MAX(0,-'21_TAX'!F14)</f>
        <v>0</v>
      </c>
      <c r="G17" s="58" t="n">
        <f aca="false">'21_TAX'!G15-'21_TAX'!G16+MAX(0,-'21_TAX'!G14)</f>
        <v>0</v>
      </c>
      <c r="H17" s="58" t="n">
        <f aca="false">'21_TAX'!H15-'21_TAX'!H16+MAX(0,-'21_TAX'!H14)</f>
        <v>0</v>
      </c>
      <c r="I17" s="58" t="n">
        <f aca="false">'21_TAX'!I15-'21_TAX'!I16+MAX(0,-'21_TAX'!I14)</f>
        <v>0</v>
      </c>
      <c r="J17" s="58" t="n">
        <f aca="false">'21_TAX'!J15-'21_TAX'!J16+MAX(0,-'21_TAX'!J14)</f>
        <v>0</v>
      </c>
      <c r="K17" s="58" t="n">
        <f aca="false">'21_TAX'!K15-'21_TAX'!K16+MAX(0,-'21_TAX'!K14)</f>
        <v>0</v>
      </c>
      <c r="L17" s="58" t="n">
        <f aca="false">'21_TAX'!L15-'21_TAX'!L16+MAX(0,-'21_TAX'!L14)</f>
        <v>0</v>
      </c>
      <c r="M17" s="58" t="n">
        <f aca="false">'21_TAX'!M15-'21_TAX'!M16+MAX(0,-'21_TAX'!M14)</f>
        <v>0</v>
      </c>
      <c r="N17" s="58" t="n">
        <f aca="false">'21_TAX'!N15-'21_TAX'!N16+MAX(0,-'21_TAX'!N14)</f>
        <v>0</v>
      </c>
      <c r="O17" s="58" t="n">
        <f aca="false">'21_TAX'!O15-'21_TAX'!O16+MAX(0,-'21_TAX'!O14)</f>
        <v>0</v>
      </c>
      <c r="P17" s="58" t="n">
        <f aca="false">'21_TAX'!P15-'21_TAX'!P16+MAX(0,-'21_TAX'!P14)</f>
        <v>0</v>
      </c>
      <c r="Q17" s="58" t="n">
        <f aca="false">'21_TAX'!Q15-'21_TAX'!Q16+MAX(0,-'21_TAX'!Q14)</f>
        <v>0</v>
      </c>
      <c r="R17" s="58" t="n">
        <f aca="false">'21_TAX'!R15-'21_TAX'!R16+MAX(0,-'21_TAX'!R14)</f>
        <v>0</v>
      </c>
      <c r="S17" s="58" t="n">
        <f aca="false">'21_TAX'!S15-'21_TAX'!S16+MAX(0,-'21_TAX'!S14)</f>
        <v>0</v>
      </c>
      <c r="T17" s="58" t="n">
        <f aca="false">'21_TAX'!T15-'21_TAX'!T16+MAX(0,-'21_TAX'!T14)</f>
        <v>0</v>
      </c>
      <c r="U17" s="58" t="n">
        <f aca="false">'21_TAX'!U15-'21_TAX'!U16+MAX(0,-'21_TAX'!U14)</f>
        <v>0</v>
      </c>
      <c r="V17" s="58" t="n">
        <f aca="false">'21_TAX'!V15-'21_TAX'!V16+MAX(0,-'21_TAX'!V14)</f>
        <v>0</v>
      </c>
      <c r="W17" s="58" t="n">
        <f aca="false">'21_TAX'!W15-'21_TAX'!W16+MAX(0,-'21_TAX'!W14)</f>
        <v>0</v>
      </c>
      <c r="X17" s="58" t="n">
        <f aca="false">'21_TAX'!X15-'21_TAX'!X16+MAX(0,-'21_TAX'!X14)</f>
        <v>0</v>
      </c>
      <c r="Y17" s="58" t="n">
        <f aca="false">'21_TAX'!Y15-'21_TAX'!Y16+MAX(0,-'21_TAX'!Y14)</f>
        <v>0</v>
      </c>
      <c r="Z17" s="58" t="n">
        <f aca="false">'21_TAX'!Z15-'21_TAX'!Z16+MAX(0,-'21_TAX'!Z14)</f>
        <v>0</v>
      </c>
      <c r="AA17" s="58" t="n">
        <f aca="false">'21_TAX'!AA15-'21_TAX'!AA16+MAX(0,-'21_TAX'!AA14)</f>
        <v>0</v>
      </c>
      <c r="AB17" s="58" t="n">
        <f aca="false">'21_TAX'!AB15-'21_TAX'!AB16+MAX(0,-'21_TAX'!AB14)</f>
        <v>0</v>
      </c>
      <c r="AC17" s="58" t="n">
        <f aca="false">'21_TAX'!AC15-'21_TAX'!AC16+MAX(0,-'21_TAX'!AC14)</f>
        <v>0</v>
      </c>
      <c r="AD17" s="58" t="n">
        <f aca="false">'21_TAX'!AD15-'21_TAX'!AD16+MAX(0,-'21_TAX'!AD14)</f>
        <v>0</v>
      </c>
      <c r="AE17" s="58" t="n">
        <f aca="false">'21_TAX'!AE15-'21_TAX'!AE16+MAX(0,-'21_TAX'!AE14)</f>
        <v>0</v>
      </c>
      <c r="AF17" s="58" t="n">
        <f aca="false">'21_TAX'!AF15-'21_TAX'!AF16+MAX(0,-'21_TAX'!AF14)</f>
        <v>0</v>
      </c>
      <c r="AG17" s="58" t="n">
        <f aca="false">'21_TAX'!AG15-'21_TAX'!AG16+MAX(0,-'21_TAX'!AG14)</f>
        <v>0</v>
      </c>
      <c r="AH17" s="58" t="n">
        <f aca="false">'21_TAX'!AH15-'21_TAX'!AH16+MAX(0,-'21_TAX'!AH14)</f>
        <v>0</v>
      </c>
      <c r="AI17" s="58" t="n">
        <f aca="false">'21_TAX'!AI15-'21_TAX'!AI16+MAX(0,-'21_TAX'!AI14)</f>
        <v>0</v>
      </c>
      <c r="AJ17" s="58" t="n">
        <f aca="false">'21_TAX'!AJ15-'21_TAX'!AJ16+MAX(0,-'21_TAX'!AJ14)</f>
        <v>0</v>
      </c>
      <c r="AK17" s="58" t="n">
        <f aca="false">'21_TAX'!AK15-'21_TAX'!AK16+MAX(0,-'21_TAX'!AK14)</f>
        <v>0</v>
      </c>
      <c r="AL17" s="58" t="n">
        <f aca="false">'21_TAX'!AL15-'21_TAX'!AL16+MAX(0,-'21_TAX'!AL14)</f>
        <v>0</v>
      </c>
      <c r="AM17" s="58" t="n">
        <f aca="false">'21_TAX'!AM15-'21_TAX'!AM16+MAX(0,-'21_TAX'!AM14)</f>
        <v>0</v>
      </c>
      <c r="AN17" s="58" t="n">
        <f aca="false">'21_TAX'!AN15-'21_TAX'!AN16+MAX(0,-'21_TAX'!AN14)</f>
        <v>0</v>
      </c>
      <c r="AO17" s="58" t="n">
        <f aca="false">'21_TAX'!AO15-'21_TAX'!AO16+MAX(0,-'21_TAX'!AO14)</f>
        <v>0</v>
      </c>
      <c r="AP17" s="58" t="n">
        <f aca="false">'21_TAX'!AP15-'21_TAX'!AP16+MAX(0,-'21_TAX'!AP14)</f>
        <v>0</v>
      </c>
      <c r="AQ17" s="58" t="n">
        <f aca="false">'21_TAX'!AQ15-'21_TAX'!AQ16+MAX(0,-'21_TAX'!AQ14)</f>
        <v>0</v>
      </c>
      <c r="AR17" s="58" t="n">
        <f aca="false">'21_TAX'!AR15-'21_TAX'!AR16+MAX(0,-'21_TAX'!AR14)</f>
        <v>0</v>
      </c>
    </row>
    <row r="18" customFormat="false" ht="15" hidden="false" customHeight="true" outlineLevel="0" collapsed="false">
      <c r="A18" s="19" t="s">
        <v>965</v>
      </c>
      <c r="B18" s="23" t="s">
        <v>121</v>
      </c>
      <c r="C18" s="58" t="n">
        <f aca="false">SUM('21_TAX'!$E$18:$AR$18)</f>
        <v>121.734109194601</v>
      </c>
      <c r="E18" s="72" t="n">
        <f aca="false">IF('06_CONSTRUCTION'!E5&gt;'21_TAX'!$C$7,'21_TAX'!$C$6*MAX(0,'21_TAX'!E14-'21_TAX'!E16),0)</f>
        <v>0</v>
      </c>
      <c r="F18" s="72" t="n">
        <f aca="false">IF('06_CONSTRUCTION'!F5&gt;'21_TAX'!$C$7,'21_TAX'!$C$6*MAX(0,'21_TAX'!F14-'21_TAX'!F16),0)</f>
        <v>0</v>
      </c>
      <c r="G18" s="72" t="n">
        <f aca="false">IF('06_CONSTRUCTION'!G5&gt;'21_TAX'!$C$7,'21_TAX'!$C$6*MAX(0,'21_TAX'!G14-'21_TAX'!G16),0)</f>
        <v>0</v>
      </c>
      <c r="H18" s="72" t="n">
        <f aca="false">IF('06_CONSTRUCTION'!H5&gt;'21_TAX'!$C$7,'21_TAX'!$C$6*MAX(0,'21_TAX'!H14-'21_TAX'!H16),0)</f>
        <v>0</v>
      </c>
      <c r="I18" s="72" t="n">
        <f aca="false">IF('06_CONSTRUCTION'!I5&gt;'21_TAX'!$C$7,'21_TAX'!$C$6*MAX(0,'21_TAX'!I14-'21_TAX'!I16),0)</f>
        <v>0</v>
      </c>
      <c r="J18" s="72" t="n">
        <f aca="false">IF('06_CONSTRUCTION'!J5&gt;'21_TAX'!$C$7,'21_TAX'!$C$6*MAX(0,'21_TAX'!J14-'21_TAX'!J16),0)</f>
        <v>0</v>
      </c>
      <c r="K18" s="72" t="n">
        <f aca="false">IF('06_CONSTRUCTION'!K5&gt;'21_TAX'!$C$7,'21_TAX'!$C$6*MAX(0,'21_TAX'!K14-'21_TAX'!K16),0)</f>
        <v>0</v>
      </c>
      <c r="L18" s="72" t="n">
        <f aca="false">IF('06_CONSTRUCTION'!L5&gt;'21_TAX'!$C$7,'21_TAX'!$C$6*MAX(0,'21_TAX'!L14-'21_TAX'!L16),0)</f>
        <v>0</v>
      </c>
      <c r="M18" s="72" t="n">
        <f aca="false">IF('06_CONSTRUCTION'!M5&gt;'21_TAX'!$C$7,'21_TAX'!$C$6*MAX(0,'21_TAX'!M14-'21_TAX'!M16),0)</f>
        <v>2.77132081304349</v>
      </c>
      <c r="N18" s="72" t="n">
        <f aca="false">IF('06_CONSTRUCTION'!N5&gt;'21_TAX'!$C$7,'21_TAX'!$C$6*MAX(0,'21_TAX'!N14-'21_TAX'!N16),0)</f>
        <v>2.99307511648138</v>
      </c>
      <c r="O18" s="72" t="n">
        <f aca="false">IF('06_CONSTRUCTION'!O5&gt;'21_TAX'!$C$7,'21_TAX'!$C$6*MAX(0,'21_TAX'!O14-'21_TAX'!O16),0)</f>
        <v>3.23079051970193</v>
      </c>
      <c r="P18" s="72" t="n">
        <f aca="false">IF('06_CONSTRUCTION'!P5&gt;'21_TAX'!$C$7,'21_TAX'!$C$6*MAX(0,'21_TAX'!P14-'21_TAX'!P16),0)</f>
        <v>3.48570832579792</v>
      </c>
      <c r="Q18" s="72" t="n">
        <f aca="false">IF('06_CONSTRUCTION'!Q5&gt;'21_TAX'!$C$7,'21_TAX'!$C$6*MAX(0,'21_TAX'!Q14-'21_TAX'!Q16),0)</f>
        <v>3.75916843041174</v>
      </c>
      <c r="R18" s="72" t="n">
        <f aca="false">IF('06_CONSTRUCTION'!R5&gt;'21_TAX'!$C$7,'21_TAX'!$C$6*MAX(0,'21_TAX'!R14-'21_TAX'!R16),0)</f>
        <v>4.05261719490541</v>
      </c>
      <c r="S18" s="72" t="n">
        <f aca="false">IF('06_CONSTRUCTION'!S5&gt;'21_TAX'!$C$7,'21_TAX'!$C$6*MAX(0,'21_TAX'!S14-'21_TAX'!S16),0)</f>
        <v>4.36761594909953</v>
      </c>
      <c r="T18" s="72" t="n">
        <f aca="false">IF('06_CONSTRUCTION'!T5&gt;'21_TAX'!$C$7,'21_TAX'!$C$6*MAX(0,'21_TAX'!T14-'21_TAX'!T16),0)</f>
        <v>4.70585017394097</v>
      </c>
      <c r="U18" s="72" t="n">
        <f aca="false">IF('06_CONSTRUCTION'!U5&gt;'21_TAX'!$C$7,'21_TAX'!$C$6*MAX(0,'21_TAX'!U14-'21_TAX'!U16),0)</f>
        <v>5.06913941848774</v>
      </c>
      <c r="V18" s="72" t="n">
        <f aca="false">IF('06_CONSTRUCTION'!V5&gt;'21_TAX'!$C$7,'21_TAX'!$C$6*MAX(0,'21_TAX'!V14-'21_TAX'!V16),0)</f>
        <v>5.45944800995064</v>
      </c>
      <c r="W18" s="72" t="n">
        <f aca="false">IF('06_CONSTRUCTION'!W5&gt;'21_TAX'!$C$7,'21_TAX'!$C$6*MAX(0,'21_TAX'!W14-'21_TAX'!W16),0)</f>
        <v>5.87889662022999</v>
      </c>
      <c r="X18" s="72" t="n">
        <f aca="false">IF('06_CONSTRUCTION'!X5&gt;'21_TAX'!$C$7,'21_TAX'!$C$6*MAX(0,'21_TAX'!X14-'21_TAX'!X16),0)</f>
        <v>6.3297747574611</v>
      </c>
      <c r="Y18" s="72" t="n">
        <f aca="false">IF('06_CONSTRUCTION'!Y5&gt;'21_TAX'!$C$7,'21_TAX'!$C$6*MAX(0,'21_TAX'!Y14-'21_TAX'!Y16),0)</f>
        <v>6.42039031726537</v>
      </c>
      <c r="Z18" s="72" t="n">
        <f aca="false">IF('06_CONSTRUCTION'!Z5&gt;'21_TAX'!$C$7,'21_TAX'!$C$6*MAX(0,'21_TAX'!Z14-'21_TAX'!Z16),0)</f>
        <v>6.51281818826572</v>
      </c>
      <c r="AA18" s="72" t="n">
        <f aca="false">IF('06_CONSTRUCTION'!AA5&gt;'21_TAX'!$C$7,'21_TAX'!$C$6*MAX(0,'21_TAX'!AA14-'21_TAX'!AA16),0)</f>
        <v>6.60709461668609</v>
      </c>
      <c r="AB18" s="72" t="n">
        <f aca="false">IF('06_CONSTRUCTION'!AB5&gt;'21_TAX'!$C$7,'21_TAX'!$C$6*MAX(0,'21_TAX'!AB14-'21_TAX'!AB16),0)</f>
        <v>9.81794695745743</v>
      </c>
      <c r="AC18" s="72" t="n">
        <f aca="false">IF('06_CONSTRUCTION'!AC5&gt;'21_TAX'!$C$7,'21_TAX'!$C$6*MAX(0,'21_TAX'!AC14-'21_TAX'!AC16),0)</f>
        <v>9.91603215358597</v>
      </c>
      <c r="AD18" s="72" t="n">
        <f aca="false">IF('06_CONSTRUCTION'!AD5&gt;'21_TAX'!$C$7,'21_TAX'!$C$6*MAX(0,'21_TAX'!AD14-'21_TAX'!AD16),0)</f>
        <v>10.0160790536371</v>
      </c>
      <c r="AE18" s="72" t="n">
        <f aca="false">IF('06_CONSTRUCTION'!AE5&gt;'21_TAX'!$C$7,'21_TAX'!$C$6*MAX(0,'21_TAX'!AE14-'21_TAX'!AE16),0)</f>
        <v>10.1181268916892</v>
      </c>
      <c r="AF18" s="72" t="n">
        <f aca="false">IF('06_CONSTRUCTION'!AF5&gt;'21_TAX'!$C$7,'21_TAX'!$C$6*MAX(0,'21_TAX'!AF14-'21_TAX'!AF16),0)</f>
        <v>10.2222156865024</v>
      </c>
      <c r="AG18" s="72" t="n">
        <f aca="false">IF('06_CONSTRUCTION'!AG5&gt;'21_TAX'!$C$7,'21_TAX'!$C$6*MAX(0,'21_TAX'!AG14-'21_TAX'!AG16),0)</f>
        <v>0</v>
      </c>
      <c r="AH18" s="72" t="n">
        <f aca="false">IF('06_CONSTRUCTION'!AH5&gt;'21_TAX'!$C$7,'21_TAX'!$C$6*MAX(0,'21_TAX'!AH14-'21_TAX'!AH16),0)</f>
        <v>0</v>
      </c>
      <c r="AI18" s="72" t="n">
        <f aca="false">IF('06_CONSTRUCTION'!AI5&gt;'21_TAX'!$C$7,'21_TAX'!$C$6*MAX(0,'21_TAX'!AI14-'21_TAX'!AI16),0)</f>
        <v>0</v>
      </c>
      <c r="AJ18" s="72" t="n">
        <f aca="false">IF('06_CONSTRUCTION'!AJ5&gt;'21_TAX'!$C$7,'21_TAX'!$C$6*MAX(0,'21_TAX'!AJ14-'21_TAX'!AJ16),0)</f>
        <v>0</v>
      </c>
      <c r="AK18" s="72" t="n">
        <f aca="false">IF('06_CONSTRUCTION'!AK5&gt;'21_TAX'!$C$7,'21_TAX'!$C$6*MAX(0,'21_TAX'!AK14-'21_TAX'!AK16),0)</f>
        <v>0</v>
      </c>
      <c r="AL18" s="72" t="n">
        <f aca="false">IF('06_CONSTRUCTION'!AL5&gt;'21_TAX'!$C$7,'21_TAX'!$C$6*MAX(0,'21_TAX'!AL14-'21_TAX'!AL16),0)</f>
        <v>0</v>
      </c>
      <c r="AM18" s="72" t="n">
        <f aca="false">IF('06_CONSTRUCTION'!AM5&gt;'21_TAX'!$C$7,'21_TAX'!$C$6*MAX(0,'21_TAX'!AM14-'21_TAX'!AM16),0)</f>
        <v>0</v>
      </c>
      <c r="AN18" s="72" t="n">
        <f aca="false">IF('06_CONSTRUCTION'!AN5&gt;'21_TAX'!$C$7,'21_TAX'!$C$6*MAX(0,'21_TAX'!AN14-'21_TAX'!AN16),0)</f>
        <v>0</v>
      </c>
      <c r="AO18" s="72" t="n">
        <f aca="false">IF('06_CONSTRUCTION'!AO5&gt;'21_TAX'!$C$7,'21_TAX'!$C$6*MAX(0,'21_TAX'!AO14-'21_TAX'!AO16),0)</f>
        <v>0</v>
      </c>
      <c r="AP18" s="72" t="n">
        <f aca="false">IF('06_CONSTRUCTION'!AP5&gt;'21_TAX'!$C$7,'21_TAX'!$C$6*MAX(0,'21_TAX'!AP14-'21_TAX'!AP16),0)</f>
        <v>0</v>
      </c>
      <c r="AQ18" s="72" t="n">
        <f aca="false">IF('06_CONSTRUCTION'!AQ5&gt;'21_TAX'!$C$7,'21_TAX'!$C$6*MAX(0,'21_TAX'!AQ14-'21_TAX'!AQ16),0)</f>
        <v>0</v>
      </c>
      <c r="AR18" s="72" t="n">
        <f aca="false">IF('06_CONSTRUCTION'!AR5&gt;'21_TAX'!$C$7,'21_TAX'!$C$6*MAX(0,'21_TAX'!AR14-'21_TAX'!AR16),0)</f>
        <v>0</v>
      </c>
    </row>
    <row r="19" customFormat="false" ht="15" hidden="false" customHeight="true" outlineLevel="0" collapsed="false">
      <c r="A19" s="23" t="s">
        <v>966</v>
      </c>
      <c r="B19" s="23" t="s">
        <v>121</v>
      </c>
      <c r="C19" s="58" t="n">
        <f aca="false">SUM('21_TAX'!$E$19:$AR$19)</f>
        <v>8.56026992556398</v>
      </c>
      <c r="E19" s="58" t="n">
        <f aca="false">IF(AND('06_CONSTRUCTION'!E5&gt;=1,'06_CONSTRUCTION'!E5&lt;='21_TAX'!$C$7),'21_TAX'!$C$6*MAX(0,'21_TAX'!E14-'21_TAX'!E16),0)</f>
        <v>0</v>
      </c>
      <c r="F19" s="58" t="n">
        <f aca="false">IF(AND('06_CONSTRUCTION'!F5&gt;=1,'06_CONSTRUCTION'!F5&lt;='21_TAX'!$C$7),'21_TAX'!$C$6*MAX(0,'21_TAX'!F14-'21_TAX'!F16),0)</f>
        <v>0</v>
      </c>
      <c r="G19" s="58" t="n">
        <f aca="false">IF(AND('06_CONSTRUCTION'!G5&gt;=1,'06_CONSTRUCTION'!G5&lt;='21_TAX'!$C$7),'21_TAX'!$C$6*MAX(0,'21_TAX'!G14-'21_TAX'!G16),0)</f>
        <v>0</v>
      </c>
      <c r="H19" s="58" t="n">
        <f aca="false">IF(AND('06_CONSTRUCTION'!H5&gt;=1,'06_CONSTRUCTION'!H5&lt;='21_TAX'!$C$7),'21_TAX'!$C$6*MAX(0,'21_TAX'!H14-'21_TAX'!H16),0)</f>
        <v>0.125969896969895</v>
      </c>
      <c r="I19" s="58" t="n">
        <f aca="false">IF(AND('06_CONSTRUCTION'!I5&gt;=1,'06_CONSTRUCTION'!I5&lt;='21_TAX'!$C$7),'21_TAX'!$C$6*MAX(0,'21_TAX'!I14-'21_TAX'!I16),0)</f>
        <v>1.74899294384819</v>
      </c>
      <c r="J19" s="58" t="n">
        <f aca="false">IF(AND('06_CONSTRUCTION'!J5&gt;=1,'06_CONSTRUCTION'!J5&lt;='21_TAX'!$C$7),'21_TAX'!$C$6*MAX(0,'21_TAX'!J14-'21_TAX'!J16),0)</f>
        <v>1.97674609656222</v>
      </c>
      <c r="K19" s="58" t="n">
        <f aca="false">IF(AND('06_CONSTRUCTION'!K5&gt;=1,'06_CONSTRUCTION'!K5&lt;='21_TAX'!$C$7),'21_TAX'!$C$6*MAX(0,'21_TAX'!K14-'21_TAX'!K16),0)</f>
        <v>2.22210260097417</v>
      </c>
      <c r="L19" s="58" t="n">
        <f aca="false">IF(AND('06_CONSTRUCTION'!L5&gt;=1,'06_CONSTRUCTION'!L5&lt;='21_TAX'!$C$7),'21_TAX'!$C$6*MAX(0,'21_TAX'!L14-'21_TAX'!L16),0)</f>
        <v>2.48645838720951</v>
      </c>
      <c r="M19" s="58" t="n">
        <f aca="false">IF(AND('06_CONSTRUCTION'!M5&gt;=1,'06_CONSTRUCTION'!M5&lt;='21_TAX'!$C$7),'21_TAX'!$C$6*MAX(0,'21_TAX'!M14-'21_TAX'!M16),0)</f>
        <v>0</v>
      </c>
      <c r="N19" s="58" t="n">
        <f aca="false">IF(AND('06_CONSTRUCTION'!N5&gt;=1,'06_CONSTRUCTION'!N5&lt;='21_TAX'!$C$7),'21_TAX'!$C$6*MAX(0,'21_TAX'!N14-'21_TAX'!N16),0)</f>
        <v>0</v>
      </c>
      <c r="O19" s="58" t="n">
        <f aca="false">IF(AND('06_CONSTRUCTION'!O5&gt;=1,'06_CONSTRUCTION'!O5&lt;='21_TAX'!$C$7),'21_TAX'!$C$6*MAX(0,'21_TAX'!O14-'21_TAX'!O16),0)</f>
        <v>0</v>
      </c>
      <c r="P19" s="58" t="n">
        <f aca="false">IF(AND('06_CONSTRUCTION'!P5&gt;=1,'06_CONSTRUCTION'!P5&lt;='21_TAX'!$C$7),'21_TAX'!$C$6*MAX(0,'21_TAX'!P14-'21_TAX'!P16),0)</f>
        <v>0</v>
      </c>
      <c r="Q19" s="58" t="n">
        <f aca="false">IF(AND('06_CONSTRUCTION'!Q5&gt;=1,'06_CONSTRUCTION'!Q5&lt;='21_TAX'!$C$7),'21_TAX'!$C$6*MAX(0,'21_TAX'!Q14-'21_TAX'!Q16),0)</f>
        <v>0</v>
      </c>
      <c r="R19" s="58" t="n">
        <f aca="false">IF(AND('06_CONSTRUCTION'!R5&gt;=1,'06_CONSTRUCTION'!R5&lt;='21_TAX'!$C$7),'21_TAX'!$C$6*MAX(0,'21_TAX'!R14-'21_TAX'!R16),0)</f>
        <v>0</v>
      </c>
      <c r="S19" s="58" t="n">
        <f aca="false">IF(AND('06_CONSTRUCTION'!S5&gt;=1,'06_CONSTRUCTION'!S5&lt;='21_TAX'!$C$7),'21_TAX'!$C$6*MAX(0,'21_TAX'!S14-'21_TAX'!S16),0)</f>
        <v>0</v>
      </c>
      <c r="T19" s="58" t="n">
        <f aca="false">IF(AND('06_CONSTRUCTION'!T5&gt;=1,'06_CONSTRUCTION'!T5&lt;='21_TAX'!$C$7),'21_TAX'!$C$6*MAX(0,'21_TAX'!T14-'21_TAX'!T16),0)</f>
        <v>0</v>
      </c>
      <c r="U19" s="58" t="n">
        <f aca="false">IF(AND('06_CONSTRUCTION'!U5&gt;=1,'06_CONSTRUCTION'!U5&lt;='21_TAX'!$C$7),'21_TAX'!$C$6*MAX(0,'21_TAX'!U14-'21_TAX'!U16),0)</f>
        <v>0</v>
      </c>
      <c r="V19" s="58" t="n">
        <f aca="false">IF(AND('06_CONSTRUCTION'!V5&gt;=1,'06_CONSTRUCTION'!V5&lt;='21_TAX'!$C$7),'21_TAX'!$C$6*MAX(0,'21_TAX'!V14-'21_TAX'!V16),0)</f>
        <v>0</v>
      </c>
      <c r="W19" s="58" t="n">
        <f aca="false">IF(AND('06_CONSTRUCTION'!W5&gt;=1,'06_CONSTRUCTION'!W5&lt;='21_TAX'!$C$7),'21_TAX'!$C$6*MAX(0,'21_TAX'!W14-'21_TAX'!W16),0)</f>
        <v>0</v>
      </c>
      <c r="X19" s="58" t="n">
        <f aca="false">IF(AND('06_CONSTRUCTION'!X5&gt;=1,'06_CONSTRUCTION'!X5&lt;='21_TAX'!$C$7),'21_TAX'!$C$6*MAX(0,'21_TAX'!X14-'21_TAX'!X16),0)</f>
        <v>0</v>
      </c>
      <c r="Y19" s="58" t="n">
        <f aca="false">IF(AND('06_CONSTRUCTION'!Y5&gt;=1,'06_CONSTRUCTION'!Y5&lt;='21_TAX'!$C$7),'21_TAX'!$C$6*MAX(0,'21_TAX'!Y14-'21_TAX'!Y16),0)</f>
        <v>0</v>
      </c>
      <c r="Z19" s="58" t="n">
        <f aca="false">IF(AND('06_CONSTRUCTION'!Z5&gt;=1,'06_CONSTRUCTION'!Z5&lt;='21_TAX'!$C$7),'21_TAX'!$C$6*MAX(0,'21_TAX'!Z14-'21_TAX'!Z16),0)</f>
        <v>0</v>
      </c>
      <c r="AA19" s="58" t="n">
        <f aca="false">IF(AND('06_CONSTRUCTION'!AA5&gt;=1,'06_CONSTRUCTION'!AA5&lt;='21_TAX'!$C$7),'21_TAX'!$C$6*MAX(0,'21_TAX'!AA14-'21_TAX'!AA16),0)</f>
        <v>0</v>
      </c>
      <c r="AB19" s="58" t="n">
        <f aca="false">IF(AND('06_CONSTRUCTION'!AB5&gt;=1,'06_CONSTRUCTION'!AB5&lt;='21_TAX'!$C$7),'21_TAX'!$C$6*MAX(0,'21_TAX'!AB14-'21_TAX'!AB16),0)</f>
        <v>0</v>
      </c>
      <c r="AC19" s="58" t="n">
        <f aca="false">IF(AND('06_CONSTRUCTION'!AC5&gt;=1,'06_CONSTRUCTION'!AC5&lt;='21_TAX'!$C$7),'21_TAX'!$C$6*MAX(0,'21_TAX'!AC14-'21_TAX'!AC16),0)</f>
        <v>0</v>
      </c>
      <c r="AD19" s="58" t="n">
        <f aca="false">IF(AND('06_CONSTRUCTION'!AD5&gt;=1,'06_CONSTRUCTION'!AD5&lt;='21_TAX'!$C$7),'21_TAX'!$C$6*MAX(0,'21_TAX'!AD14-'21_TAX'!AD16),0)</f>
        <v>0</v>
      </c>
      <c r="AE19" s="58" t="n">
        <f aca="false">IF(AND('06_CONSTRUCTION'!AE5&gt;=1,'06_CONSTRUCTION'!AE5&lt;='21_TAX'!$C$7),'21_TAX'!$C$6*MAX(0,'21_TAX'!AE14-'21_TAX'!AE16),0)</f>
        <v>0</v>
      </c>
      <c r="AF19" s="58" t="n">
        <f aca="false">IF(AND('06_CONSTRUCTION'!AF5&gt;=1,'06_CONSTRUCTION'!AF5&lt;='21_TAX'!$C$7),'21_TAX'!$C$6*MAX(0,'21_TAX'!AF14-'21_TAX'!AF16),0)</f>
        <v>0</v>
      </c>
      <c r="AG19" s="58" t="n">
        <f aca="false">IF(AND('06_CONSTRUCTION'!AG5&gt;=1,'06_CONSTRUCTION'!AG5&lt;='21_TAX'!$C$7),'21_TAX'!$C$6*MAX(0,'21_TAX'!AG14-'21_TAX'!AG16),0)</f>
        <v>0</v>
      </c>
      <c r="AH19" s="58" t="n">
        <f aca="false">IF(AND('06_CONSTRUCTION'!AH5&gt;=1,'06_CONSTRUCTION'!AH5&lt;='21_TAX'!$C$7),'21_TAX'!$C$6*MAX(0,'21_TAX'!AH14-'21_TAX'!AH16),0)</f>
        <v>0</v>
      </c>
      <c r="AI19" s="58" t="n">
        <f aca="false">IF(AND('06_CONSTRUCTION'!AI5&gt;=1,'06_CONSTRUCTION'!AI5&lt;='21_TAX'!$C$7),'21_TAX'!$C$6*MAX(0,'21_TAX'!AI14-'21_TAX'!AI16),0)</f>
        <v>0</v>
      </c>
      <c r="AJ19" s="58" t="n">
        <f aca="false">IF(AND('06_CONSTRUCTION'!AJ5&gt;=1,'06_CONSTRUCTION'!AJ5&lt;='21_TAX'!$C$7),'21_TAX'!$C$6*MAX(0,'21_TAX'!AJ14-'21_TAX'!AJ16),0)</f>
        <v>0</v>
      </c>
      <c r="AK19" s="58" t="n">
        <f aca="false">IF(AND('06_CONSTRUCTION'!AK5&gt;=1,'06_CONSTRUCTION'!AK5&lt;='21_TAX'!$C$7),'21_TAX'!$C$6*MAX(0,'21_TAX'!AK14-'21_TAX'!AK16),0)</f>
        <v>0</v>
      </c>
      <c r="AL19" s="58" t="n">
        <f aca="false">IF(AND('06_CONSTRUCTION'!AL5&gt;=1,'06_CONSTRUCTION'!AL5&lt;='21_TAX'!$C$7),'21_TAX'!$C$6*MAX(0,'21_TAX'!AL14-'21_TAX'!AL16),0)</f>
        <v>0</v>
      </c>
      <c r="AM19" s="58" t="n">
        <f aca="false">IF(AND('06_CONSTRUCTION'!AM5&gt;=1,'06_CONSTRUCTION'!AM5&lt;='21_TAX'!$C$7),'21_TAX'!$C$6*MAX(0,'21_TAX'!AM14-'21_TAX'!AM16),0)</f>
        <v>0</v>
      </c>
      <c r="AN19" s="58" t="n">
        <f aca="false">IF(AND('06_CONSTRUCTION'!AN5&gt;=1,'06_CONSTRUCTION'!AN5&lt;='21_TAX'!$C$7),'21_TAX'!$C$6*MAX(0,'21_TAX'!AN14-'21_TAX'!AN16),0)</f>
        <v>0</v>
      </c>
      <c r="AO19" s="58" t="n">
        <f aca="false">IF(AND('06_CONSTRUCTION'!AO5&gt;=1,'06_CONSTRUCTION'!AO5&lt;='21_TAX'!$C$7),'21_TAX'!$C$6*MAX(0,'21_TAX'!AO14-'21_TAX'!AO16),0)</f>
        <v>0</v>
      </c>
      <c r="AP19" s="58" t="n">
        <f aca="false">IF(AND('06_CONSTRUCTION'!AP5&gt;=1,'06_CONSTRUCTION'!AP5&lt;='21_TAX'!$C$7),'21_TAX'!$C$6*MAX(0,'21_TAX'!AP14-'21_TAX'!AP16),0)</f>
        <v>0</v>
      </c>
      <c r="AQ19" s="58" t="n">
        <f aca="false">IF(AND('06_CONSTRUCTION'!AQ5&gt;=1,'06_CONSTRUCTION'!AQ5&lt;='21_TAX'!$C$7),'21_TAX'!$C$6*MAX(0,'21_TAX'!AQ14-'21_TAX'!AQ16),0)</f>
        <v>0</v>
      </c>
      <c r="AR19" s="58" t="n">
        <f aca="false">IF(AND('06_CONSTRUCTION'!AR5&gt;=1,'06_CONSTRUCTION'!AR5&lt;='21_TAX'!$C$7),'21_TAX'!$C$6*MAX(0,'21_TAX'!AR14-'21_TAX'!AR16),0)</f>
        <v>0</v>
      </c>
    </row>
    <row r="20" customFormat="false" ht="15" hidden="false" customHeight="true" outlineLevel="0" collapsed="false">
      <c r="A20" s="23" t="s">
        <v>967</v>
      </c>
      <c r="B20" s="23" t="s">
        <v>121</v>
      </c>
      <c r="C20" s="58" t="n">
        <f aca="false">SUM('21_TAX'!$E$20:$AR$20)</f>
        <v>140.091478779644</v>
      </c>
      <c r="E20" s="58" t="n">
        <f aca="false">IF('06_CONSTRUCTION'!E5&gt;'21_TAX'!$C$7,'21_TAX'!$C$6*MAX(0,'20_CASH_FLOW'!E17-'21_TAX'!E10),0)</f>
        <v>0</v>
      </c>
      <c r="F20" s="58" t="n">
        <f aca="false">IF('06_CONSTRUCTION'!F5&gt;'21_TAX'!$C$7,'21_TAX'!$C$6*MAX(0,'20_CASH_FLOW'!F17-'21_TAX'!F10),0)</f>
        <v>0</v>
      </c>
      <c r="G20" s="58" t="n">
        <f aca="false">IF('06_CONSTRUCTION'!G5&gt;'21_TAX'!$C$7,'21_TAX'!$C$6*MAX(0,'20_CASH_FLOW'!G17-'21_TAX'!G10),0)</f>
        <v>0</v>
      </c>
      <c r="H20" s="58" t="n">
        <f aca="false">IF('06_CONSTRUCTION'!H5&gt;'21_TAX'!$C$7,'21_TAX'!$C$6*MAX(0,'20_CASH_FLOW'!H17-'21_TAX'!H10),0)</f>
        <v>0</v>
      </c>
      <c r="I20" s="58" t="n">
        <f aca="false">IF('06_CONSTRUCTION'!I5&gt;'21_TAX'!$C$7,'21_TAX'!$C$6*MAX(0,'20_CASH_FLOW'!I17-'21_TAX'!I10),0)</f>
        <v>0</v>
      </c>
      <c r="J20" s="58" t="n">
        <f aca="false">IF('06_CONSTRUCTION'!J5&gt;'21_TAX'!$C$7,'21_TAX'!$C$6*MAX(0,'20_CASH_FLOW'!J17-'21_TAX'!J10),0)</f>
        <v>0</v>
      </c>
      <c r="K20" s="58" t="n">
        <f aca="false">IF('06_CONSTRUCTION'!K5&gt;'21_TAX'!$C$7,'21_TAX'!$C$6*MAX(0,'20_CASH_FLOW'!K17-'21_TAX'!K10),0)</f>
        <v>0</v>
      </c>
      <c r="L20" s="58" t="n">
        <f aca="false">IF('06_CONSTRUCTION'!L5&gt;'21_TAX'!$C$7,'21_TAX'!$C$6*MAX(0,'20_CASH_FLOW'!L17-'21_TAX'!L10),0)</f>
        <v>0</v>
      </c>
      <c r="M20" s="58" t="n">
        <f aca="false">IF('06_CONSTRUCTION'!M5&gt;'21_TAX'!$C$7,'21_TAX'!$C$6*MAX(0,'20_CASH_FLOW'!M17-'21_TAX'!M10),0)</f>
        <v>5.44293404311367</v>
      </c>
      <c r="N20" s="58" t="n">
        <f aca="false">IF('06_CONSTRUCTION'!N5&gt;'21_TAX'!$C$7,'21_TAX'!$C$6*MAX(0,'20_CASH_FLOW'!N17-'21_TAX'!N10),0)</f>
        <v>5.515812788631</v>
      </c>
      <c r="O20" s="58" t="n">
        <f aca="false">IF('06_CONSTRUCTION'!O5&gt;'21_TAX'!$C$7,'21_TAX'!$C$6*MAX(0,'20_CASH_FLOW'!O17-'21_TAX'!O10),0)</f>
        <v>5.59014910905866</v>
      </c>
      <c r="P20" s="58" t="n">
        <f aca="false">IF('06_CONSTRUCTION'!P5&gt;'21_TAX'!$C$7,'21_TAX'!$C$6*MAX(0,'20_CASH_FLOW'!P17-'21_TAX'!P10),0)</f>
        <v>5.66597215589489</v>
      </c>
      <c r="Q20" s="58" t="n">
        <f aca="false">IF('06_CONSTRUCTION'!Q5&gt;'21_TAX'!$C$7,'21_TAX'!$C$6*MAX(0,'20_CASH_FLOW'!Q17-'21_TAX'!Q10),0)</f>
        <v>5.74331166366784</v>
      </c>
      <c r="R20" s="58" t="n">
        <f aca="false">IF('06_CONSTRUCTION'!R5&gt;'21_TAX'!$C$7,'21_TAX'!$C$6*MAX(0,'20_CASH_FLOW'!R17-'21_TAX'!R10),0)</f>
        <v>5.82219796159624</v>
      </c>
      <c r="S20" s="58" t="n">
        <f aca="false">IF('06_CONSTRUCTION'!S5&gt;'21_TAX'!$C$7,'21_TAX'!$C$6*MAX(0,'20_CASH_FLOW'!S17-'21_TAX'!S10),0)</f>
        <v>5.90266198548322</v>
      </c>
      <c r="T20" s="58" t="n">
        <f aca="false">IF('06_CONSTRUCTION'!T5&gt;'21_TAX'!$C$7,'21_TAX'!$C$6*MAX(0,'20_CASH_FLOW'!T17-'21_TAX'!T10),0)</f>
        <v>5.98473528984793</v>
      </c>
      <c r="U20" s="58" t="n">
        <f aca="false">IF('06_CONSTRUCTION'!U5&gt;'21_TAX'!$C$7,'21_TAX'!$C$6*MAX(0,'20_CASH_FLOW'!U17-'21_TAX'!U10),0)</f>
        <v>6.06845006029994</v>
      </c>
      <c r="V20" s="58" t="n">
        <f aca="false">IF('06_CONSTRUCTION'!V5&gt;'21_TAX'!$C$7,'21_TAX'!$C$6*MAX(0,'20_CASH_FLOW'!V17-'21_TAX'!V10),0)</f>
        <v>6.15383912616099</v>
      </c>
      <c r="W20" s="58" t="n">
        <f aca="false">IF('06_CONSTRUCTION'!W5&gt;'21_TAX'!$C$7,'21_TAX'!$C$6*MAX(0,'20_CASH_FLOW'!W17-'21_TAX'!W10),0)</f>
        <v>6.24093597333926</v>
      </c>
      <c r="X20" s="58" t="n">
        <f aca="false">IF('06_CONSTRUCTION'!X5&gt;'21_TAX'!$C$7,'21_TAX'!$C$6*MAX(0,'20_CASH_FLOW'!X17-'21_TAX'!X10),0)</f>
        <v>6.3297747574611</v>
      </c>
      <c r="Y20" s="58" t="n">
        <f aca="false">IF('06_CONSTRUCTION'!Y5&gt;'21_TAX'!$C$7,'21_TAX'!$C$6*MAX(0,'20_CASH_FLOW'!Y17-'21_TAX'!Y10),0)</f>
        <v>6.42039031726537</v>
      </c>
      <c r="Z20" s="58" t="n">
        <f aca="false">IF('06_CONSTRUCTION'!Z5&gt;'21_TAX'!$C$7,'21_TAX'!$C$6*MAX(0,'20_CASH_FLOW'!Z17-'21_TAX'!Z10),0)</f>
        <v>6.51281818826572</v>
      </c>
      <c r="AA20" s="58" t="n">
        <f aca="false">IF('06_CONSTRUCTION'!AA5&gt;'21_TAX'!$C$7,'21_TAX'!$C$6*MAX(0,'20_CASH_FLOW'!AA17-'21_TAX'!AA10),0)</f>
        <v>6.60709461668609</v>
      </c>
      <c r="AB20" s="58" t="n">
        <f aca="false">IF('06_CONSTRUCTION'!AB5&gt;'21_TAX'!$C$7,'21_TAX'!$C$6*MAX(0,'20_CASH_FLOW'!AB17-'21_TAX'!AB10),0)</f>
        <v>9.81794695745743</v>
      </c>
      <c r="AC20" s="58" t="n">
        <f aca="false">IF('06_CONSTRUCTION'!AC5&gt;'21_TAX'!$C$7,'21_TAX'!$C$6*MAX(0,'20_CASH_FLOW'!AC17-'21_TAX'!AC10),0)</f>
        <v>9.91603215358597</v>
      </c>
      <c r="AD20" s="58" t="n">
        <f aca="false">IF('06_CONSTRUCTION'!AD5&gt;'21_TAX'!$C$7,'21_TAX'!$C$6*MAX(0,'20_CASH_FLOW'!AD17-'21_TAX'!AD10),0)</f>
        <v>10.0160790536371</v>
      </c>
      <c r="AE20" s="58" t="n">
        <f aca="false">IF('06_CONSTRUCTION'!AE5&gt;'21_TAX'!$C$7,'21_TAX'!$C$6*MAX(0,'20_CASH_FLOW'!AE17-'21_TAX'!AE10),0)</f>
        <v>10.1181268916892</v>
      </c>
      <c r="AF20" s="58" t="n">
        <f aca="false">IF('06_CONSTRUCTION'!AF5&gt;'21_TAX'!$C$7,'21_TAX'!$C$6*MAX(0,'20_CASH_FLOW'!AF17-'21_TAX'!AF10),0)</f>
        <v>10.2222156865024</v>
      </c>
      <c r="AG20" s="58" t="n">
        <f aca="false">IF('06_CONSTRUCTION'!AG5&gt;'21_TAX'!$C$7,'21_TAX'!$C$6*MAX(0,'20_CASH_FLOW'!AG17-'21_TAX'!AG10),0)</f>
        <v>0</v>
      </c>
      <c r="AH20" s="58" t="n">
        <f aca="false">IF('06_CONSTRUCTION'!AH5&gt;'21_TAX'!$C$7,'21_TAX'!$C$6*MAX(0,'20_CASH_FLOW'!AH17-'21_TAX'!AH10),0)</f>
        <v>0</v>
      </c>
      <c r="AI20" s="58" t="n">
        <f aca="false">IF('06_CONSTRUCTION'!AI5&gt;'21_TAX'!$C$7,'21_TAX'!$C$6*MAX(0,'20_CASH_FLOW'!AI17-'21_TAX'!AI10),0)</f>
        <v>0</v>
      </c>
      <c r="AJ20" s="58" t="n">
        <f aca="false">IF('06_CONSTRUCTION'!AJ5&gt;'21_TAX'!$C$7,'21_TAX'!$C$6*MAX(0,'20_CASH_FLOW'!AJ17-'21_TAX'!AJ10),0)</f>
        <v>0</v>
      </c>
      <c r="AK20" s="58" t="n">
        <f aca="false">IF('06_CONSTRUCTION'!AK5&gt;'21_TAX'!$C$7,'21_TAX'!$C$6*MAX(0,'20_CASH_FLOW'!AK17-'21_TAX'!AK10),0)</f>
        <v>0</v>
      </c>
      <c r="AL20" s="58" t="n">
        <f aca="false">IF('06_CONSTRUCTION'!AL5&gt;'21_TAX'!$C$7,'21_TAX'!$C$6*MAX(0,'20_CASH_FLOW'!AL17-'21_TAX'!AL10),0)</f>
        <v>0</v>
      </c>
      <c r="AM20" s="58" t="n">
        <f aca="false">IF('06_CONSTRUCTION'!AM5&gt;'21_TAX'!$C$7,'21_TAX'!$C$6*MAX(0,'20_CASH_FLOW'!AM17-'21_TAX'!AM10),0)</f>
        <v>0</v>
      </c>
      <c r="AN20" s="58" t="n">
        <f aca="false">IF('06_CONSTRUCTION'!AN5&gt;'21_TAX'!$C$7,'21_TAX'!$C$6*MAX(0,'20_CASH_FLOW'!AN17-'21_TAX'!AN10),0)</f>
        <v>0</v>
      </c>
      <c r="AO20" s="58" t="n">
        <f aca="false">IF('06_CONSTRUCTION'!AO5&gt;'21_TAX'!$C$7,'21_TAX'!$C$6*MAX(0,'20_CASH_FLOW'!AO17-'21_TAX'!AO10),0)</f>
        <v>0</v>
      </c>
      <c r="AP20" s="58" t="n">
        <f aca="false">IF('06_CONSTRUCTION'!AP5&gt;'21_TAX'!$C$7,'21_TAX'!$C$6*MAX(0,'20_CASH_FLOW'!AP17-'21_TAX'!AP10),0)</f>
        <v>0</v>
      </c>
      <c r="AQ20" s="58" t="n">
        <f aca="false">IF('06_CONSTRUCTION'!AQ5&gt;'21_TAX'!$C$7,'21_TAX'!$C$6*MAX(0,'20_CASH_FLOW'!AQ17-'21_TAX'!AQ10),0)</f>
        <v>0</v>
      </c>
      <c r="AR20" s="58" t="n">
        <f aca="false">IF('06_CONSTRUCTION'!AR5&gt;'21_TAX'!$C$7,'21_TAX'!$C$6*MAX(0,'20_CASH_FLOW'!AR17-'21_TAX'!AR10),0)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R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968</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969</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3" t="s">
        <v>970</v>
      </c>
      <c r="B6" s="23" t="s">
        <v>121</v>
      </c>
      <c r="C6" s="58" t="n">
        <f aca="false">SUM('22_GOVERNMENT_SUPPORT'!$E$6:$AR$6)</f>
        <v>0</v>
      </c>
      <c r="E6" s="79" t="n">
        <f aca="false">'20_CASH_FLOW'!E11</f>
        <v>0</v>
      </c>
      <c r="F6" s="79" t="n">
        <f aca="false">'20_CASH_FLOW'!F11</f>
        <v>0</v>
      </c>
      <c r="G6" s="79" t="n">
        <f aca="false">'20_CASH_FLOW'!G11</f>
        <v>0</v>
      </c>
      <c r="H6" s="79" t="n">
        <f aca="false">'20_CASH_FLOW'!H11</f>
        <v>0</v>
      </c>
      <c r="I6" s="79" t="n">
        <f aca="false">'20_CASH_FLOW'!I11</f>
        <v>0</v>
      </c>
      <c r="J6" s="79" t="n">
        <f aca="false">'20_CASH_FLOW'!J11</f>
        <v>0</v>
      </c>
      <c r="K6" s="79" t="n">
        <f aca="false">'20_CASH_FLOW'!K11</f>
        <v>0</v>
      </c>
      <c r="L6" s="79" t="n">
        <f aca="false">'20_CASH_FLOW'!L11</f>
        <v>0</v>
      </c>
      <c r="M6" s="79" t="n">
        <f aca="false">'20_CASH_FLOW'!M11</f>
        <v>0</v>
      </c>
      <c r="N6" s="79" t="n">
        <f aca="false">'20_CASH_FLOW'!N11</f>
        <v>0</v>
      </c>
      <c r="O6" s="79" t="n">
        <f aca="false">'20_CASH_FLOW'!O11</f>
        <v>0</v>
      </c>
      <c r="P6" s="79" t="n">
        <f aca="false">'20_CASH_FLOW'!P11</f>
        <v>0</v>
      </c>
      <c r="Q6" s="79" t="n">
        <f aca="false">'20_CASH_FLOW'!Q11</f>
        <v>0</v>
      </c>
      <c r="R6" s="79" t="n">
        <f aca="false">'20_CASH_FLOW'!R11</f>
        <v>0</v>
      </c>
      <c r="S6" s="79" t="n">
        <f aca="false">'20_CASH_FLOW'!S11</f>
        <v>0</v>
      </c>
      <c r="T6" s="79" t="n">
        <f aca="false">'20_CASH_FLOW'!T11</f>
        <v>0</v>
      </c>
      <c r="U6" s="79" t="n">
        <f aca="false">'20_CASH_FLOW'!U11</f>
        <v>0</v>
      </c>
      <c r="V6" s="79" t="n">
        <f aca="false">'20_CASH_FLOW'!V11</f>
        <v>0</v>
      </c>
      <c r="W6" s="79" t="n">
        <f aca="false">'20_CASH_FLOW'!W11</f>
        <v>0</v>
      </c>
      <c r="X6" s="79" t="n">
        <f aca="false">'20_CASH_FLOW'!X11</f>
        <v>0</v>
      </c>
      <c r="Y6" s="79" t="n">
        <f aca="false">'20_CASH_FLOW'!Y11</f>
        <v>0</v>
      </c>
      <c r="Z6" s="79" t="n">
        <f aca="false">'20_CASH_FLOW'!Z11</f>
        <v>0</v>
      </c>
      <c r="AA6" s="79" t="n">
        <f aca="false">'20_CASH_FLOW'!AA11</f>
        <v>0</v>
      </c>
      <c r="AB6" s="79" t="n">
        <f aca="false">'20_CASH_FLOW'!AB11</f>
        <v>0</v>
      </c>
      <c r="AC6" s="79" t="n">
        <f aca="false">'20_CASH_FLOW'!AC11</f>
        <v>0</v>
      </c>
      <c r="AD6" s="79" t="n">
        <f aca="false">'20_CASH_FLOW'!AD11</f>
        <v>0</v>
      </c>
      <c r="AE6" s="79" t="n">
        <f aca="false">'20_CASH_FLOW'!AE11</f>
        <v>0</v>
      </c>
      <c r="AF6" s="79" t="n">
        <f aca="false">'20_CASH_FLOW'!AF11</f>
        <v>0</v>
      </c>
      <c r="AG6" s="79" t="n">
        <f aca="false">'20_CASH_FLOW'!AG11</f>
        <v>0</v>
      </c>
      <c r="AH6" s="79" t="n">
        <f aca="false">'20_CASH_FLOW'!AH11</f>
        <v>0</v>
      </c>
      <c r="AI6" s="79" t="n">
        <f aca="false">'20_CASH_FLOW'!AI11</f>
        <v>0</v>
      </c>
      <c r="AJ6" s="79" t="n">
        <f aca="false">'20_CASH_FLOW'!AJ11</f>
        <v>0</v>
      </c>
      <c r="AK6" s="79" t="n">
        <f aca="false">'20_CASH_FLOW'!AK11</f>
        <v>0</v>
      </c>
      <c r="AL6" s="79" t="n">
        <f aca="false">'20_CASH_FLOW'!AL11</f>
        <v>0</v>
      </c>
      <c r="AM6" s="79" t="n">
        <f aca="false">'20_CASH_FLOW'!AM11</f>
        <v>0</v>
      </c>
      <c r="AN6" s="79" t="n">
        <f aca="false">'20_CASH_FLOW'!AN11</f>
        <v>0</v>
      </c>
      <c r="AO6" s="79" t="n">
        <f aca="false">'20_CASH_FLOW'!AO11</f>
        <v>0</v>
      </c>
      <c r="AP6" s="79" t="n">
        <f aca="false">'20_CASH_FLOW'!AP11</f>
        <v>0</v>
      </c>
      <c r="AQ6" s="79" t="n">
        <f aca="false">'20_CASH_FLOW'!AQ11</f>
        <v>0</v>
      </c>
      <c r="AR6" s="79" t="n">
        <f aca="false">'20_CASH_FLOW'!AR11</f>
        <v>0</v>
      </c>
    </row>
    <row r="7" customFormat="false" ht="15" hidden="false" customHeight="true" outlineLevel="0" collapsed="false">
      <c r="A7" s="23" t="s">
        <v>739</v>
      </c>
      <c r="B7" s="23" t="s">
        <v>121</v>
      </c>
      <c r="C7" s="58" t="n">
        <f aca="false">SUM('22_GOVERNMENT_SUPPORT'!$E$7:$AR$7)</f>
        <v>0</v>
      </c>
      <c r="E7" s="79" t="n">
        <f aca="false">'20_CASH_FLOW'!E8</f>
        <v>0</v>
      </c>
      <c r="F7" s="79" t="n">
        <f aca="false">'20_CASH_FLOW'!F8</f>
        <v>0</v>
      </c>
      <c r="G7" s="79" t="n">
        <f aca="false">'20_CASH_FLOW'!G8</f>
        <v>0</v>
      </c>
      <c r="H7" s="79" t="n">
        <f aca="false">'20_CASH_FLOW'!H8</f>
        <v>0</v>
      </c>
      <c r="I7" s="79" t="n">
        <f aca="false">'20_CASH_FLOW'!I8</f>
        <v>0</v>
      </c>
      <c r="J7" s="79" t="n">
        <f aca="false">'20_CASH_FLOW'!J8</f>
        <v>0</v>
      </c>
      <c r="K7" s="79" t="n">
        <f aca="false">'20_CASH_FLOW'!K8</f>
        <v>0</v>
      </c>
      <c r="L7" s="79" t="n">
        <f aca="false">'20_CASH_FLOW'!L8</f>
        <v>0</v>
      </c>
      <c r="M7" s="79" t="n">
        <f aca="false">'20_CASH_FLOW'!M8</f>
        <v>0</v>
      </c>
      <c r="N7" s="79" t="n">
        <f aca="false">'20_CASH_FLOW'!N8</f>
        <v>0</v>
      </c>
      <c r="O7" s="79" t="n">
        <f aca="false">'20_CASH_FLOW'!O8</f>
        <v>0</v>
      </c>
      <c r="P7" s="79" t="n">
        <f aca="false">'20_CASH_FLOW'!P8</f>
        <v>0</v>
      </c>
      <c r="Q7" s="79" t="n">
        <f aca="false">'20_CASH_FLOW'!Q8</f>
        <v>0</v>
      </c>
      <c r="R7" s="79" t="n">
        <f aca="false">'20_CASH_FLOW'!R8</f>
        <v>0</v>
      </c>
      <c r="S7" s="79" t="n">
        <f aca="false">'20_CASH_FLOW'!S8</f>
        <v>0</v>
      </c>
      <c r="T7" s="79" t="n">
        <f aca="false">'20_CASH_FLOW'!T8</f>
        <v>0</v>
      </c>
      <c r="U7" s="79" t="n">
        <f aca="false">'20_CASH_FLOW'!U8</f>
        <v>0</v>
      </c>
      <c r="V7" s="79" t="n">
        <f aca="false">'20_CASH_FLOW'!V8</f>
        <v>0</v>
      </c>
      <c r="W7" s="79" t="n">
        <f aca="false">'20_CASH_FLOW'!W8</f>
        <v>0</v>
      </c>
      <c r="X7" s="79" t="n">
        <f aca="false">'20_CASH_FLOW'!X8</f>
        <v>0</v>
      </c>
      <c r="Y7" s="79" t="n">
        <f aca="false">'20_CASH_FLOW'!Y8</f>
        <v>0</v>
      </c>
      <c r="Z7" s="79" t="n">
        <f aca="false">'20_CASH_FLOW'!Z8</f>
        <v>0</v>
      </c>
      <c r="AA7" s="79" t="n">
        <f aca="false">'20_CASH_FLOW'!AA8</f>
        <v>0</v>
      </c>
      <c r="AB7" s="79" t="n">
        <f aca="false">'20_CASH_FLOW'!AB8</f>
        <v>0</v>
      </c>
      <c r="AC7" s="79" t="n">
        <f aca="false">'20_CASH_FLOW'!AC8</f>
        <v>0</v>
      </c>
      <c r="AD7" s="79" t="n">
        <f aca="false">'20_CASH_FLOW'!AD8</f>
        <v>0</v>
      </c>
      <c r="AE7" s="79" t="n">
        <f aca="false">'20_CASH_FLOW'!AE8</f>
        <v>0</v>
      </c>
      <c r="AF7" s="79" t="n">
        <f aca="false">'20_CASH_FLOW'!AF8</f>
        <v>0</v>
      </c>
      <c r="AG7" s="79" t="n">
        <f aca="false">'20_CASH_FLOW'!AG8</f>
        <v>0</v>
      </c>
      <c r="AH7" s="79" t="n">
        <f aca="false">'20_CASH_FLOW'!AH8</f>
        <v>0</v>
      </c>
      <c r="AI7" s="79" t="n">
        <f aca="false">'20_CASH_FLOW'!AI8</f>
        <v>0</v>
      </c>
      <c r="AJ7" s="79" t="n">
        <f aca="false">'20_CASH_FLOW'!AJ8</f>
        <v>0</v>
      </c>
      <c r="AK7" s="79" t="n">
        <f aca="false">'20_CASH_FLOW'!AK8</f>
        <v>0</v>
      </c>
      <c r="AL7" s="79" t="n">
        <f aca="false">'20_CASH_FLOW'!AL8</f>
        <v>0</v>
      </c>
      <c r="AM7" s="79" t="n">
        <f aca="false">'20_CASH_FLOW'!AM8</f>
        <v>0</v>
      </c>
      <c r="AN7" s="79" t="n">
        <f aca="false">'20_CASH_FLOW'!AN8</f>
        <v>0</v>
      </c>
      <c r="AO7" s="79" t="n">
        <f aca="false">'20_CASH_FLOW'!AO8</f>
        <v>0</v>
      </c>
      <c r="AP7" s="79" t="n">
        <f aca="false">'20_CASH_FLOW'!AP8</f>
        <v>0</v>
      </c>
      <c r="AQ7" s="79" t="n">
        <f aca="false">'20_CASH_FLOW'!AQ8</f>
        <v>0</v>
      </c>
      <c r="AR7" s="79" t="n">
        <f aca="false">'20_CASH_FLOW'!AR8</f>
        <v>0</v>
      </c>
    </row>
    <row r="8" customFormat="false" ht="15" hidden="false" customHeight="true" outlineLevel="0" collapsed="false">
      <c r="A8" s="23" t="s">
        <v>971</v>
      </c>
      <c r="B8" s="23" t="s">
        <v>121</v>
      </c>
      <c r="C8" s="58" t="n">
        <f aca="false">SUM('22_GOVERNMENT_SUPPORT'!$E$8:$AR$8)</f>
        <v>0</v>
      </c>
      <c r="E8" s="79" t="n">
        <f aca="false">'08_TRANSMISSION'!E32</f>
        <v>0</v>
      </c>
      <c r="F8" s="79" t="n">
        <f aca="false">'08_TRANSMISSION'!F32</f>
        <v>0</v>
      </c>
      <c r="G8" s="79" t="n">
        <f aca="false">'08_TRANSMISSION'!G32</f>
        <v>0</v>
      </c>
      <c r="H8" s="79" t="n">
        <f aca="false">'08_TRANSMISSION'!H32</f>
        <v>0</v>
      </c>
      <c r="I8" s="79" t="n">
        <f aca="false">'08_TRANSMISSION'!I32</f>
        <v>0</v>
      </c>
      <c r="J8" s="79" t="n">
        <f aca="false">'08_TRANSMISSION'!J32</f>
        <v>0</v>
      </c>
      <c r="K8" s="79" t="n">
        <f aca="false">'08_TRANSMISSION'!K32</f>
        <v>0</v>
      </c>
      <c r="L8" s="79" t="n">
        <f aca="false">'08_TRANSMISSION'!L32</f>
        <v>0</v>
      </c>
      <c r="M8" s="79" t="n">
        <f aca="false">'08_TRANSMISSION'!M32</f>
        <v>0</v>
      </c>
      <c r="N8" s="79" t="n">
        <f aca="false">'08_TRANSMISSION'!N32</f>
        <v>0</v>
      </c>
      <c r="O8" s="79" t="n">
        <f aca="false">'08_TRANSMISSION'!O32</f>
        <v>0</v>
      </c>
      <c r="P8" s="79" t="n">
        <f aca="false">'08_TRANSMISSION'!P32</f>
        <v>0</v>
      </c>
      <c r="Q8" s="79" t="n">
        <f aca="false">'08_TRANSMISSION'!Q32</f>
        <v>0</v>
      </c>
      <c r="R8" s="79" t="n">
        <f aca="false">'08_TRANSMISSION'!R32</f>
        <v>0</v>
      </c>
      <c r="S8" s="79" t="n">
        <f aca="false">'08_TRANSMISSION'!S32</f>
        <v>0</v>
      </c>
      <c r="T8" s="79" t="n">
        <f aca="false">'08_TRANSMISSION'!T32</f>
        <v>0</v>
      </c>
      <c r="U8" s="79" t="n">
        <f aca="false">'08_TRANSMISSION'!U32</f>
        <v>0</v>
      </c>
      <c r="V8" s="79" t="n">
        <f aca="false">'08_TRANSMISSION'!V32</f>
        <v>0</v>
      </c>
      <c r="W8" s="79" t="n">
        <f aca="false">'08_TRANSMISSION'!W32</f>
        <v>0</v>
      </c>
      <c r="X8" s="79" t="n">
        <f aca="false">'08_TRANSMISSION'!X32</f>
        <v>0</v>
      </c>
      <c r="Y8" s="79" t="n">
        <f aca="false">'08_TRANSMISSION'!Y32</f>
        <v>0</v>
      </c>
      <c r="Z8" s="79" t="n">
        <f aca="false">'08_TRANSMISSION'!Z32</f>
        <v>0</v>
      </c>
      <c r="AA8" s="79" t="n">
        <f aca="false">'08_TRANSMISSION'!AA32</f>
        <v>0</v>
      </c>
      <c r="AB8" s="79" t="n">
        <f aca="false">'08_TRANSMISSION'!AB32</f>
        <v>0</v>
      </c>
      <c r="AC8" s="79" t="n">
        <f aca="false">'08_TRANSMISSION'!AC32</f>
        <v>0</v>
      </c>
      <c r="AD8" s="79" t="n">
        <f aca="false">'08_TRANSMISSION'!AD32</f>
        <v>0</v>
      </c>
      <c r="AE8" s="79" t="n">
        <f aca="false">'08_TRANSMISSION'!AE32</f>
        <v>0</v>
      </c>
      <c r="AF8" s="79" t="n">
        <f aca="false">'08_TRANSMISSION'!AF32</f>
        <v>0</v>
      </c>
      <c r="AG8" s="79" t="n">
        <f aca="false">'08_TRANSMISSION'!AG32</f>
        <v>0</v>
      </c>
      <c r="AH8" s="79" t="n">
        <f aca="false">'08_TRANSMISSION'!AH32</f>
        <v>0</v>
      </c>
      <c r="AI8" s="79" t="n">
        <f aca="false">'08_TRANSMISSION'!AI32</f>
        <v>0</v>
      </c>
      <c r="AJ8" s="79" t="n">
        <f aca="false">'08_TRANSMISSION'!AJ32</f>
        <v>0</v>
      </c>
      <c r="AK8" s="79" t="n">
        <f aca="false">'08_TRANSMISSION'!AK32</f>
        <v>0</v>
      </c>
      <c r="AL8" s="79" t="n">
        <f aca="false">'08_TRANSMISSION'!AL32</f>
        <v>0</v>
      </c>
      <c r="AM8" s="79" t="n">
        <f aca="false">'08_TRANSMISSION'!AM32</f>
        <v>0</v>
      </c>
      <c r="AN8" s="79" t="n">
        <f aca="false">'08_TRANSMISSION'!AN32</f>
        <v>0</v>
      </c>
      <c r="AO8" s="79" t="n">
        <f aca="false">'08_TRANSMISSION'!AO32</f>
        <v>0</v>
      </c>
      <c r="AP8" s="79" t="n">
        <f aca="false">'08_TRANSMISSION'!AP32</f>
        <v>0</v>
      </c>
      <c r="AQ8" s="79" t="n">
        <f aca="false">'08_TRANSMISSION'!AQ32</f>
        <v>0</v>
      </c>
      <c r="AR8" s="79" t="n">
        <f aca="false">'08_TRANSMISSION'!AR32</f>
        <v>0</v>
      </c>
    </row>
    <row r="9" customFormat="false" ht="15" hidden="false" customHeight="true" outlineLevel="0" collapsed="false">
      <c r="A9" s="23" t="s">
        <v>972</v>
      </c>
      <c r="B9" s="23" t="s">
        <v>121</v>
      </c>
      <c r="C9" s="58" t="n">
        <f aca="false">SUM('22_GOVERNMENT_SUPPORT'!$E$9:$AR$9)</f>
        <v>0</v>
      </c>
      <c r="E9" s="58" t="n">
        <f aca="false">IF('08_TRANSMISSION'!$C$17=1,'08_TRANSMISSION'!E34,0)</f>
        <v>0</v>
      </c>
      <c r="F9" s="58" t="n">
        <f aca="false">IF('08_TRANSMISSION'!$C$17=1,'08_TRANSMISSION'!F34,0)</f>
        <v>0</v>
      </c>
      <c r="G9" s="58" t="n">
        <f aca="false">IF('08_TRANSMISSION'!$C$17=1,'08_TRANSMISSION'!G34,0)</f>
        <v>0</v>
      </c>
      <c r="H9" s="58" t="n">
        <f aca="false">IF('08_TRANSMISSION'!$C$17=1,'08_TRANSMISSION'!H34,0)</f>
        <v>0</v>
      </c>
      <c r="I9" s="58" t="n">
        <f aca="false">IF('08_TRANSMISSION'!$C$17=1,'08_TRANSMISSION'!I34,0)</f>
        <v>0</v>
      </c>
      <c r="J9" s="58" t="n">
        <f aca="false">IF('08_TRANSMISSION'!$C$17=1,'08_TRANSMISSION'!J34,0)</f>
        <v>0</v>
      </c>
      <c r="K9" s="58" t="n">
        <f aca="false">IF('08_TRANSMISSION'!$C$17=1,'08_TRANSMISSION'!K34,0)</f>
        <v>0</v>
      </c>
      <c r="L9" s="58" t="n">
        <f aca="false">IF('08_TRANSMISSION'!$C$17=1,'08_TRANSMISSION'!L34,0)</f>
        <v>0</v>
      </c>
      <c r="M9" s="58" t="n">
        <f aca="false">IF('08_TRANSMISSION'!$C$17=1,'08_TRANSMISSION'!M34,0)</f>
        <v>0</v>
      </c>
      <c r="N9" s="58" t="n">
        <f aca="false">IF('08_TRANSMISSION'!$C$17=1,'08_TRANSMISSION'!N34,0)</f>
        <v>0</v>
      </c>
      <c r="O9" s="58" t="n">
        <f aca="false">IF('08_TRANSMISSION'!$C$17=1,'08_TRANSMISSION'!O34,0)</f>
        <v>0</v>
      </c>
      <c r="P9" s="58" t="n">
        <f aca="false">IF('08_TRANSMISSION'!$C$17=1,'08_TRANSMISSION'!P34,0)</f>
        <v>0</v>
      </c>
      <c r="Q9" s="58" t="n">
        <f aca="false">IF('08_TRANSMISSION'!$C$17=1,'08_TRANSMISSION'!Q34,0)</f>
        <v>0</v>
      </c>
      <c r="R9" s="58" t="n">
        <f aca="false">IF('08_TRANSMISSION'!$C$17=1,'08_TRANSMISSION'!R34,0)</f>
        <v>0</v>
      </c>
      <c r="S9" s="58" t="n">
        <f aca="false">IF('08_TRANSMISSION'!$C$17=1,'08_TRANSMISSION'!S34,0)</f>
        <v>0</v>
      </c>
      <c r="T9" s="58" t="n">
        <f aca="false">IF('08_TRANSMISSION'!$C$17=1,'08_TRANSMISSION'!T34,0)</f>
        <v>0</v>
      </c>
      <c r="U9" s="58" t="n">
        <f aca="false">IF('08_TRANSMISSION'!$C$17=1,'08_TRANSMISSION'!U34,0)</f>
        <v>0</v>
      </c>
      <c r="V9" s="58" t="n">
        <f aca="false">IF('08_TRANSMISSION'!$C$17=1,'08_TRANSMISSION'!V34,0)</f>
        <v>0</v>
      </c>
      <c r="W9" s="58" t="n">
        <f aca="false">IF('08_TRANSMISSION'!$C$17=1,'08_TRANSMISSION'!W34,0)</f>
        <v>0</v>
      </c>
      <c r="X9" s="58" t="n">
        <f aca="false">IF('08_TRANSMISSION'!$C$17=1,'08_TRANSMISSION'!X34,0)</f>
        <v>0</v>
      </c>
      <c r="Y9" s="58" t="n">
        <f aca="false">IF('08_TRANSMISSION'!$C$17=1,'08_TRANSMISSION'!Y34,0)</f>
        <v>0</v>
      </c>
      <c r="Z9" s="58" t="n">
        <f aca="false">IF('08_TRANSMISSION'!$C$17=1,'08_TRANSMISSION'!Z34,0)</f>
        <v>0</v>
      </c>
      <c r="AA9" s="58" t="n">
        <f aca="false">IF('08_TRANSMISSION'!$C$17=1,'08_TRANSMISSION'!AA34,0)</f>
        <v>0</v>
      </c>
      <c r="AB9" s="58" t="n">
        <f aca="false">IF('08_TRANSMISSION'!$C$17=1,'08_TRANSMISSION'!AB34,0)</f>
        <v>0</v>
      </c>
      <c r="AC9" s="58" t="n">
        <f aca="false">IF('08_TRANSMISSION'!$C$17=1,'08_TRANSMISSION'!AC34,0)</f>
        <v>0</v>
      </c>
      <c r="AD9" s="58" t="n">
        <f aca="false">IF('08_TRANSMISSION'!$C$17=1,'08_TRANSMISSION'!AD34,0)</f>
        <v>0</v>
      </c>
      <c r="AE9" s="58" t="n">
        <f aca="false">IF('08_TRANSMISSION'!$C$17=1,'08_TRANSMISSION'!AE34,0)</f>
        <v>0</v>
      </c>
      <c r="AF9" s="58" t="n">
        <f aca="false">IF('08_TRANSMISSION'!$C$17=1,'08_TRANSMISSION'!AF34,0)</f>
        <v>0</v>
      </c>
      <c r="AG9" s="58" t="n">
        <f aca="false">IF('08_TRANSMISSION'!$C$17=1,'08_TRANSMISSION'!AG34,0)</f>
        <v>0</v>
      </c>
      <c r="AH9" s="58" t="n">
        <f aca="false">IF('08_TRANSMISSION'!$C$17=1,'08_TRANSMISSION'!AH34,0)</f>
        <v>0</v>
      </c>
      <c r="AI9" s="58" t="n">
        <f aca="false">IF('08_TRANSMISSION'!$C$17=1,'08_TRANSMISSION'!AI34,0)</f>
        <v>0</v>
      </c>
      <c r="AJ9" s="58" t="n">
        <f aca="false">IF('08_TRANSMISSION'!$C$17=1,'08_TRANSMISSION'!AJ34,0)</f>
        <v>0</v>
      </c>
      <c r="AK9" s="58" t="n">
        <f aca="false">IF('08_TRANSMISSION'!$C$17=1,'08_TRANSMISSION'!AK34,0)</f>
        <v>0</v>
      </c>
      <c r="AL9" s="58" t="n">
        <f aca="false">IF('08_TRANSMISSION'!$C$17=1,'08_TRANSMISSION'!AL34,0)</f>
        <v>0</v>
      </c>
      <c r="AM9" s="58" t="n">
        <f aca="false">IF('08_TRANSMISSION'!$C$17=1,'08_TRANSMISSION'!AM34,0)</f>
        <v>0</v>
      </c>
      <c r="AN9" s="58" t="n">
        <f aca="false">IF('08_TRANSMISSION'!$C$17=1,'08_TRANSMISSION'!AN34,0)</f>
        <v>0</v>
      </c>
      <c r="AO9" s="58" t="n">
        <f aca="false">IF('08_TRANSMISSION'!$C$17=1,'08_TRANSMISSION'!AO34,0)</f>
        <v>0</v>
      </c>
      <c r="AP9" s="58" t="n">
        <f aca="false">IF('08_TRANSMISSION'!$C$17=1,'08_TRANSMISSION'!AP34,0)</f>
        <v>0</v>
      </c>
      <c r="AQ9" s="58" t="n">
        <f aca="false">IF('08_TRANSMISSION'!$C$17=1,'08_TRANSMISSION'!AQ34,0)</f>
        <v>0</v>
      </c>
      <c r="AR9" s="58" t="n">
        <f aca="false">IF('08_TRANSMISSION'!$C$17=1,'08_TRANSMISSION'!AR34,0)</f>
        <v>0</v>
      </c>
    </row>
    <row r="10" customFormat="false" ht="15" hidden="false" customHeight="true" outlineLevel="0" collapsed="false">
      <c r="A10" s="23" t="s">
        <v>973</v>
      </c>
      <c r="B10" s="23" t="s">
        <v>121</v>
      </c>
      <c r="C10" s="58" t="n">
        <f aca="false">SUM('22_GOVERNMENT_SUPPORT'!$E$10:$AR$10)</f>
        <v>0</v>
      </c>
      <c r="E10" s="79" t="n">
        <f aca="false">'16_REVENUE'!E19</f>
        <v>0</v>
      </c>
      <c r="F10" s="79" t="n">
        <f aca="false">'16_REVENUE'!F19</f>
        <v>0</v>
      </c>
      <c r="G10" s="79" t="n">
        <f aca="false">'16_REVENUE'!G19</f>
        <v>0</v>
      </c>
      <c r="H10" s="79" t="n">
        <f aca="false">'16_REVENUE'!H19</f>
        <v>0</v>
      </c>
      <c r="I10" s="79" t="n">
        <f aca="false">'16_REVENUE'!I19</f>
        <v>0</v>
      </c>
      <c r="J10" s="79" t="n">
        <f aca="false">'16_REVENUE'!J19</f>
        <v>0</v>
      </c>
      <c r="K10" s="79" t="n">
        <f aca="false">'16_REVENUE'!K19</f>
        <v>0</v>
      </c>
      <c r="L10" s="79" t="n">
        <f aca="false">'16_REVENUE'!L19</f>
        <v>0</v>
      </c>
      <c r="M10" s="79" t="n">
        <f aca="false">'16_REVENUE'!M19</f>
        <v>0</v>
      </c>
      <c r="N10" s="79" t="n">
        <f aca="false">'16_REVENUE'!N19</f>
        <v>0</v>
      </c>
      <c r="O10" s="79" t="n">
        <f aca="false">'16_REVENUE'!O19</f>
        <v>0</v>
      </c>
      <c r="P10" s="79" t="n">
        <f aca="false">'16_REVENUE'!P19</f>
        <v>0</v>
      </c>
      <c r="Q10" s="79" t="n">
        <f aca="false">'16_REVENUE'!Q19</f>
        <v>0</v>
      </c>
      <c r="R10" s="79" t="n">
        <f aca="false">'16_REVENUE'!R19</f>
        <v>0</v>
      </c>
      <c r="S10" s="79" t="n">
        <f aca="false">'16_REVENUE'!S19</f>
        <v>0</v>
      </c>
      <c r="T10" s="79" t="n">
        <f aca="false">'16_REVENUE'!T19</f>
        <v>0</v>
      </c>
      <c r="U10" s="79" t="n">
        <f aca="false">'16_REVENUE'!U19</f>
        <v>0</v>
      </c>
      <c r="V10" s="79" t="n">
        <f aca="false">'16_REVENUE'!V19</f>
        <v>0</v>
      </c>
      <c r="W10" s="79" t="n">
        <f aca="false">'16_REVENUE'!W19</f>
        <v>0</v>
      </c>
      <c r="X10" s="79" t="n">
        <f aca="false">'16_REVENUE'!X19</f>
        <v>0</v>
      </c>
      <c r="Y10" s="79" t="n">
        <f aca="false">'16_REVENUE'!Y19</f>
        <v>0</v>
      </c>
      <c r="Z10" s="79" t="n">
        <f aca="false">'16_REVENUE'!Z19</f>
        <v>0</v>
      </c>
      <c r="AA10" s="79" t="n">
        <f aca="false">'16_REVENUE'!AA19</f>
        <v>0</v>
      </c>
      <c r="AB10" s="79" t="n">
        <f aca="false">'16_REVENUE'!AB19</f>
        <v>0</v>
      </c>
      <c r="AC10" s="79" t="n">
        <f aca="false">'16_REVENUE'!AC19</f>
        <v>0</v>
      </c>
      <c r="AD10" s="79" t="n">
        <f aca="false">'16_REVENUE'!AD19</f>
        <v>0</v>
      </c>
      <c r="AE10" s="79" t="n">
        <f aca="false">'16_REVENUE'!AE19</f>
        <v>0</v>
      </c>
      <c r="AF10" s="79" t="n">
        <f aca="false">'16_REVENUE'!AF19</f>
        <v>0</v>
      </c>
      <c r="AG10" s="79" t="n">
        <f aca="false">'16_REVENUE'!AG19</f>
        <v>0</v>
      </c>
      <c r="AH10" s="79" t="n">
        <f aca="false">'16_REVENUE'!AH19</f>
        <v>0</v>
      </c>
      <c r="AI10" s="79" t="n">
        <f aca="false">'16_REVENUE'!AI19</f>
        <v>0</v>
      </c>
      <c r="AJ10" s="79" t="n">
        <f aca="false">'16_REVENUE'!AJ19</f>
        <v>0</v>
      </c>
      <c r="AK10" s="79" t="n">
        <f aca="false">'16_REVENUE'!AK19</f>
        <v>0</v>
      </c>
      <c r="AL10" s="79" t="n">
        <f aca="false">'16_REVENUE'!AL19</f>
        <v>0</v>
      </c>
      <c r="AM10" s="79" t="n">
        <f aca="false">'16_REVENUE'!AM19</f>
        <v>0</v>
      </c>
      <c r="AN10" s="79" t="n">
        <f aca="false">'16_REVENUE'!AN19</f>
        <v>0</v>
      </c>
      <c r="AO10" s="79" t="n">
        <f aca="false">'16_REVENUE'!AO19</f>
        <v>0</v>
      </c>
      <c r="AP10" s="79" t="n">
        <f aca="false">'16_REVENUE'!AP19</f>
        <v>0</v>
      </c>
      <c r="AQ10" s="79" t="n">
        <f aca="false">'16_REVENUE'!AQ19</f>
        <v>0</v>
      </c>
      <c r="AR10" s="79" t="n">
        <f aca="false">'16_REVENUE'!AR19</f>
        <v>0</v>
      </c>
    </row>
    <row r="11" customFormat="false" ht="15" hidden="false" customHeight="true" outlineLevel="0" collapsed="false">
      <c r="A11" s="19" t="s">
        <v>974</v>
      </c>
      <c r="B11" s="23" t="s">
        <v>121</v>
      </c>
      <c r="C11" s="58" t="n">
        <f aca="false">SUM('22_GOVERNMENT_SUPPORT'!$E$11:$AR$11)</f>
        <v>0</v>
      </c>
      <c r="E11" s="72" t="n">
        <f aca="false">'22_GOVERNMENT_SUPPORT'!E6+'22_GOVERNMENT_SUPPORT'!E7+'22_GOVERNMENT_SUPPORT'!E8+'22_GOVERNMENT_SUPPORT'!E9+'22_GOVERNMENT_SUPPORT'!E10</f>
        <v>0</v>
      </c>
      <c r="F11" s="72" t="n">
        <f aca="false">'22_GOVERNMENT_SUPPORT'!F6+'22_GOVERNMENT_SUPPORT'!F7+'22_GOVERNMENT_SUPPORT'!F8+'22_GOVERNMENT_SUPPORT'!F9+'22_GOVERNMENT_SUPPORT'!F10</f>
        <v>0</v>
      </c>
      <c r="G11" s="72" t="n">
        <f aca="false">'22_GOVERNMENT_SUPPORT'!G6+'22_GOVERNMENT_SUPPORT'!G7+'22_GOVERNMENT_SUPPORT'!G8+'22_GOVERNMENT_SUPPORT'!G9+'22_GOVERNMENT_SUPPORT'!G10</f>
        <v>0</v>
      </c>
      <c r="H11" s="72" t="n">
        <f aca="false">'22_GOVERNMENT_SUPPORT'!H6+'22_GOVERNMENT_SUPPORT'!H7+'22_GOVERNMENT_SUPPORT'!H8+'22_GOVERNMENT_SUPPORT'!H9+'22_GOVERNMENT_SUPPORT'!H10</f>
        <v>0</v>
      </c>
      <c r="I11" s="72" t="n">
        <f aca="false">'22_GOVERNMENT_SUPPORT'!I6+'22_GOVERNMENT_SUPPORT'!I7+'22_GOVERNMENT_SUPPORT'!I8+'22_GOVERNMENT_SUPPORT'!I9+'22_GOVERNMENT_SUPPORT'!I10</f>
        <v>0</v>
      </c>
      <c r="J11" s="72" t="n">
        <f aca="false">'22_GOVERNMENT_SUPPORT'!J6+'22_GOVERNMENT_SUPPORT'!J7+'22_GOVERNMENT_SUPPORT'!J8+'22_GOVERNMENT_SUPPORT'!J9+'22_GOVERNMENT_SUPPORT'!J10</f>
        <v>0</v>
      </c>
      <c r="K11" s="72" t="n">
        <f aca="false">'22_GOVERNMENT_SUPPORT'!K6+'22_GOVERNMENT_SUPPORT'!K7+'22_GOVERNMENT_SUPPORT'!K8+'22_GOVERNMENT_SUPPORT'!K9+'22_GOVERNMENT_SUPPORT'!K10</f>
        <v>0</v>
      </c>
      <c r="L11" s="72" t="n">
        <f aca="false">'22_GOVERNMENT_SUPPORT'!L6+'22_GOVERNMENT_SUPPORT'!L7+'22_GOVERNMENT_SUPPORT'!L8+'22_GOVERNMENT_SUPPORT'!L9+'22_GOVERNMENT_SUPPORT'!L10</f>
        <v>0</v>
      </c>
      <c r="M11" s="72" t="n">
        <f aca="false">'22_GOVERNMENT_SUPPORT'!M6+'22_GOVERNMENT_SUPPORT'!M7+'22_GOVERNMENT_SUPPORT'!M8+'22_GOVERNMENT_SUPPORT'!M9+'22_GOVERNMENT_SUPPORT'!M10</f>
        <v>0</v>
      </c>
      <c r="N11" s="72" t="n">
        <f aca="false">'22_GOVERNMENT_SUPPORT'!N6+'22_GOVERNMENT_SUPPORT'!N7+'22_GOVERNMENT_SUPPORT'!N8+'22_GOVERNMENT_SUPPORT'!N9+'22_GOVERNMENT_SUPPORT'!N10</f>
        <v>0</v>
      </c>
      <c r="O11" s="72" t="n">
        <f aca="false">'22_GOVERNMENT_SUPPORT'!O6+'22_GOVERNMENT_SUPPORT'!O7+'22_GOVERNMENT_SUPPORT'!O8+'22_GOVERNMENT_SUPPORT'!O9+'22_GOVERNMENT_SUPPORT'!O10</f>
        <v>0</v>
      </c>
      <c r="P11" s="72" t="n">
        <f aca="false">'22_GOVERNMENT_SUPPORT'!P6+'22_GOVERNMENT_SUPPORT'!P7+'22_GOVERNMENT_SUPPORT'!P8+'22_GOVERNMENT_SUPPORT'!P9+'22_GOVERNMENT_SUPPORT'!P10</f>
        <v>0</v>
      </c>
      <c r="Q11" s="72" t="n">
        <f aca="false">'22_GOVERNMENT_SUPPORT'!Q6+'22_GOVERNMENT_SUPPORT'!Q7+'22_GOVERNMENT_SUPPORT'!Q8+'22_GOVERNMENT_SUPPORT'!Q9+'22_GOVERNMENT_SUPPORT'!Q10</f>
        <v>0</v>
      </c>
      <c r="R11" s="72" t="n">
        <f aca="false">'22_GOVERNMENT_SUPPORT'!R6+'22_GOVERNMENT_SUPPORT'!R7+'22_GOVERNMENT_SUPPORT'!R8+'22_GOVERNMENT_SUPPORT'!R9+'22_GOVERNMENT_SUPPORT'!R10</f>
        <v>0</v>
      </c>
      <c r="S11" s="72" t="n">
        <f aca="false">'22_GOVERNMENT_SUPPORT'!S6+'22_GOVERNMENT_SUPPORT'!S7+'22_GOVERNMENT_SUPPORT'!S8+'22_GOVERNMENT_SUPPORT'!S9+'22_GOVERNMENT_SUPPORT'!S10</f>
        <v>0</v>
      </c>
      <c r="T11" s="72" t="n">
        <f aca="false">'22_GOVERNMENT_SUPPORT'!T6+'22_GOVERNMENT_SUPPORT'!T7+'22_GOVERNMENT_SUPPORT'!T8+'22_GOVERNMENT_SUPPORT'!T9+'22_GOVERNMENT_SUPPORT'!T10</f>
        <v>0</v>
      </c>
      <c r="U11" s="72" t="n">
        <f aca="false">'22_GOVERNMENT_SUPPORT'!U6+'22_GOVERNMENT_SUPPORT'!U7+'22_GOVERNMENT_SUPPORT'!U8+'22_GOVERNMENT_SUPPORT'!U9+'22_GOVERNMENT_SUPPORT'!U10</f>
        <v>0</v>
      </c>
      <c r="V11" s="72" t="n">
        <f aca="false">'22_GOVERNMENT_SUPPORT'!V6+'22_GOVERNMENT_SUPPORT'!V7+'22_GOVERNMENT_SUPPORT'!V8+'22_GOVERNMENT_SUPPORT'!V9+'22_GOVERNMENT_SUPPORT'!V10</f>
        <v>0</v>
      </c>
      <c r="W11" s="72" t="n">
        <f aca="false">'22_GOVERNMENT_SUPPORT'!W6+'22_GOVERNMENT_SUPPORT'!W7+'22_GOVERNMENT_SUPPORT'!W8+'22_GOVERNMENT_SUPPORT'!W9+'22_GOVERNMENT_SUPPORT'!W10</f>
        <v>0</v>
      </c>
      <c r="X11" s="72" t="n">
        <f aca="false">'22_GOVERNMENT_SUPPORT'!X6+'22_GOVERNMENT_SUPPORT'!X7+'22_GOVERNMENT_SUPPORT'!X8+'22_GOVERNMENT_SUPPORT'!X9+'22_GOVERNMENT_SUPPORT'!X10</f>
        <v>0</v>
      </c>
      <c r="Y11" s="72" t="n">
        <f aca="false">'22_GOVERNMENT_SUPPORT'!Y6+'22_GOVERNMENT_SUPPORT'!Y7+'22_GOVERNMENT_SUPPORT'!Y8+'22_GOVERNMENT_SUPPORT'!Y9+'22_GOVERNMENT_SUPPORT'!Y10</f>
        <v>0</v>
      </c>
      <c r="Z11" s="72" t="n">
        <f aca="false">'22_GOVERNMENT_SUPPORT'!Z6+'22_GOVERNMENT_SUPPORT'!Z7+'22_GOVERNMENT_SUPPORT'!Z8+'22_GOVERNMENT_SUPPORT'!Z9+'22_GOVERNMENT_SUPPORT'!Z10</f>
        <v>0</v>
      </c>
      <c r="AA11" s="72" t="n">
        <f aca="false">'22_GOVERNMENT_SUPPORT'!AA6+'22_GOVERNMENT_SUPPORT'!AA7+'22_GOVERNMENT_SUPPORT'!AA8+'22_GOVERNMENT_SUPPORT'!AA9+'22_GOVERNMENT_SUPPORT'!AA10</f>
        <v>0</v>
      </c>
      <c r="AB11" s="72" t="n">
        <f aca="false">'22_GOVERNMENT_SUPPORT'!AB6+'22_GOVERNMENT_SUPPORT'!AB7+'22_GOVERNMENT_SUPPORT'!AB8+'22_GOVERNMENT_SUPPORT'!AB9+'22_GOVERNMENT_SUPPORT'!AB10</f>
        <v>0</v>
      </c>
      <c r="AC11" s="72" t="n">
        <f aca="false">'22_GOVERNMENT_SUPPORT'!AC6+'22_GOVERNMENT_SUPPORT'!AC7+'22_GOVERNMENT_SUPPORT'!AC8+'22_GOVERNMENT_SUPPORT'!AC9+'22_GOVERNMENT_SUPPORT'!AC10</f>
        <v>0</v>
      </c>
      <c r="AD11" s="72" t="n">
        <f aca="false">'22_GOVERNMENT_SUPPORT'!AD6+'22_GOVERNMENT_SUPPORT'!AD7+'22_GOVERNMENT_SUPPORT'!AD8+'22_GOVERNMENT_SUPPORT'!AD9+'22_GOVERNMENT_SUPPORT'!AD10</f>
        <v>0</v>
      </c>
      <c r="AE11" s="72" t="n">
        <f aca="false">'22_GOVERNMENT_SUPPORT'!AE6+'22_GOVERNMENT_SUPPORT'!AE7+'22_GOVERNMENT_SUPPORT'!AE8+'22_GOVERNMENT_SUPPORT'!AE9+'22_GOVERNMENT_SUPPORT'!AE10</f>
        <v>0</v>
      </c>
      <c r="AF11" s="72" t="n">
        <f aca="false">'22_GOVERNMENT_SUPPORT'!AF6+'22_GOVERNMENT_SUPPORT'!AF7+'22_GOVERNMENT_SUPPORT'!AF8+'22_GOVERNMENT_SUPPORT'!AF9+'22_GOVERNMENT_SUPPORT'!AF10</f>
        <v>0</v>
      </c>
      <c r="AG11" s="72" t="n">
        <f aca="false">'22_GOVERNMENT_SUPPORT'!AG6+'22_GOVERNMENT_SUPPORT'!AG7+'22_GOVERNMENT_SUPPORT'!AG8+'22_GOVERNMENT_SUPPORT'!AG9+'22_GOVERNMENT_SUPPORT'!AG10</f>
        <v>0</v>
      </c>
      <c r="AH11" s="72" t="n">
        <f aca="false">'22_GOVERNMENT_SUPPORT'!AH6+'22_GOVERNMENT_SUPPORT'!AH7+'22_GOVERNMENT_SUPPORT'!AH8+'22_GOVERNMENT_SUPPORT'!AH9+'22_GOVERNMENT_SUPPORT'!AH10</f>
        <v>0</v>
      </c>
      <c r="AI11" s="72" t="n">
        <f aca="false">'22_GOVERNMENT_SUPPORT'!AI6+'22_GOVERNMENT_SUPPORT'!AI7+'22_GOVERNMENT_SUPPORT'!AI8+'22_GOVERNMENT_SUPPORT'!AI9+'22_GOVERNMENT_SUPPORT'!AI10</f>
        <v>0</v>
      </c>
      <c r="AJ11" s="72" t="n">
        <f aca="false">'22_GOVERNMENT_SUPPORT'!AJ6+'22_GOVERNMENT_SUPPORT'!AJ7+'22_GOVERNMENT_SUPPORT'!AJ8+'22_GOVERNMENT_SUPPORT'!AJ9+'22_GOVERNMENT_SUPPORT'!AJ10</f>
        <v>0</v>
      </c>
      <c r="AK11" s="72" t="n">
        <f aca="false">'22_GOVERNMENT_SUPPORT'!AK6+'22_GOVERNMENT_SUPPORT'!AK7+'22_GOVERNMENT_SUPPORT'!AK8+'22_GOVERNMENT_SUPPORT'!AK9+'22_GOVERNMENT_SUPPORT'!AK10</f>
        <v>0</v>
      </c>
      <c r="AL11" s="72" t="n">
        <f aca="false">'22_GOVERNMENT_SUPPORT'!AL6+'22_GOVERNMENT_SUPPORT'!AL7+'22_GOVERNMENT_SUPPORT'!AL8+'22_GOVERNMENT_SUPPORT'!AL9+'22_GOVERNMENT_SUPPORT'!AL10</f>
        <v>0</v>
      </c>
      <c r="AM11" s="72" t="n">
        <f aca="false">'22_GOVERNMENT_SUPPORT'!AM6+'22_GOVERNMENT_SUPPORT'!AM7+'22_GOVERNMENT_SUPPORT'!AM8+'22_GOVERNMENT_SUPPORT'!AM9+'22_GOVERNMENT_SUPPORT'!AM10</f>
        <v>0</v>
      </c>
      <c r="AN11" s="72" t="n">
        <f aca="false">'22_GOVERNMENT_SUPPORT'!AN6+'22_GOVERNMENT_SUPPORT'!AN7+'22_GOVERNMENT_SUPPORT'!AN8+'22_GOVERNMENT_SUPPORT'!AN9+'22_GOVERNMENT_SUPPORT'!AN10</f>
        <v>0</v>
      </c>
      <c r="AO11" s="72" t="n">
        <f aca="false">'22_GOVERNMENT_SUPPORT'!AO6+'22_GOVERNMENT_SUPPORT'!AO7+'22_GOVERNMENT_SUPPORT'!AO8+'22_GOVERNMENT_SUPPORT'!AO9+'22_GOVERNMENT_SUPPORT'!AO10</f>
        <v>0</v>
      </c>
      <c r="AP11" s="72" t="n">
        <f aca="false">'22_GOVERNMENT_SUPPORT'!AP6+'22_GOVERNMENT_SUPPORT'!AP7+'22_GOVERNMENT_SUPPORT'!AP8+'22_GOVERNMENT_SUPPORT'!AP9+'22_GOVERNMENT_SUPPORT'!AP10</f>
        <v>0</v>
      </c>
      <c r="AQ11" s="72" t="n">
        <f aca="false">'22_GOVERNMENT_SUPPORT'!AQ6+'22_GOVERNMENT_SUPPORT'!AQ7+'22_GOVERNMENT_SUPPORT'!AQ8+'22_GOVERNMENT_SUPPORT'!AQ9+'22_GOVERNMENT_SUPPORT'!AQ10</f>
        <v>0</v>
      </c>
      <c r="AR11" s="72" t="n">
        <f aca="false">'22_GOVERNMENT_SUPPORT'!AR6+'22_GOVERNMENT_SUPPORT'!AR7+'22_GOVERNMENT_SUPPORT'!AR8+'22_GOVERNMENT_SUPPORT'!AR9+'22_GOVERNMENT_SUPPORT'!AR10</f>
        <v>0</v>
      </c>
    </row>
    <row r="13" customFormat="false" ht="15" hidden="false" customHeight="true" outlineLevel="0" collapsed="false">
      <c r="A13" s="25" t="s">
        <v>975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R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976</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977</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3" t="s">
        <v>978</v>
      </c>
      <c r="B6" s="23" t="s">
        <v>979</v>
      </c>
      <c r="C6" s="35" t="n">
        <v>12</v>
      </c>
      <c r="D6" s="25" t="s">
        <v>980</v>
      </c>
    </row>
    <row r="7" customFormat="false" ht="15" hidden="false" customHeight="true" outlineLevel="0" collapsed="false">
      <c r="A7" s="23" t="s">
        <v>981</v>
      </c>
      <c r="B7" s="23" t="s">
        <v>982</v>
      </c>
      <c r="C7" s="27" t="n">
        <v>0</v>
      </c>
    </row>
    <row r="8" customFormat="false" ht="15" hidden="false" customHeight="true" outlineLevel="0" collapsed="false">
      <c r="A8" s="23" t="s">
        <v>983</v>
      </c>
      <c r="B8" s="23" t="s">
        <v>121</v>
      </c>
      <c r="C8" s="58" t="n">
        <f aca="false">MAX('23_GUARANTEES'!$E$8:$AR$8)</f>
        <v>0</v>
      </c>
      <c r="E8" s="58" t="n">
        <f aca="false">(1-'17A_STRUCTURES'!$C$13)*'17A_STRUCTURES'!$C$12*'18_DEBT'!E42</f>
        <v>0</v>
      </c>
      <c r="F8" s="58" t="n">
        <f aca="false">(1-'17A_STRUCTURES'!$C$13)*'17A_STRUCTURES'!$C$12*'18_DEBT'!F42</f>
        <v>0</v>
      </c>
      <c r="G8" s="58" t="n">
        <f aca="false">(1-'17A_STRUCTURES'!$C$13)*'17A_STRUCTURES'!$C$12*'18_DEBT'!G42</f>
        <v>0</v>
      </c>
      <c r="H8" s="58" t="n">
        <f aca="false">(1-'17A_STRUCTURES'!$C$13)*'17A_STRUCTURES'!$C$12*'18_DEBT'!H42</f>
        <v>0</v>
      </c>
      <c r="I8" s="58" t="n">
        <f aca="false">(1-'17A_STRUCTURES'!$C$13)*'17A_STRUCTURES'!$C$12*'18_DEBT'!I42</f>
        <v>0</v>
      </c>
      <c r="J8" s="58" t="n">
        <f aca="false">(1-'17A_STRUCTURES'!$C$13)*'17A_STRUCTURES'!$C$12*'18_DEBT'!J42</f>
        <v>0</v>
      </c>
      <c r="K8" s="58" t="n">
        <f aca="false">(1-'17A_STRUCTURES'!$C$13)*'17A_STRUCTURES'!$C$12*'18_DEBT'!K42</f>
        <v>0</v>
      </c>
      <c r="L8" s="58" t="n">
        <f aca="false">(1-'17A_STRUCTURES'!$C$13)*'17A_STRUCTURES'!$C$12*'18_DEBT'!L42</f>
        <v>0</v>
      </c>
      <c r="M8" s="58" t="n">
        <f aca="false">(1-'17A_STRUCTURES'!$C$13)*'17A_STRUCTURES'!$C$12*'18_DEBT'!M42</f>
        <v>0</v>
      </c>
      <c r="N8" s="58" t="n">
        <f aca="false">(1-'17A_STRUCTURES'!$C$13)*'17A_STRUCTURES'!$C$12*'18_DEBT'!N42</f>
        <v>0</v>
      </c>
      <c r="O8" s="58" t="n">
        <f aca="false">(1-'17A_STRUCTURES'!$C$13)*'17A_STRUCTURES'!$C$12*'18_DEBT'!O42</f>
        <v>0</v>
      </c>
      <c r="P8" s="58" t="n">
        <f aca="false">(1-'17A_STRUCTURES'!$C$13)*'17A_STRUCTURES'!$C$12*'18_DEBT'!P42</f>
        <v>0</v>
      </c>
      <c r="Q8" s="58" t="n">
        <f aca="false">(1-'17A_STRUCTURES'!$C$13)*'17A_STRUCTURES'!$C$12*'18_DEBT'!Q42</f>
        <v>0</v>
      </c>
      <c r="R8" s="58" t="n">
        <f aca="false">(1-'17A_STRUCTURES'!$C$13)*'17A_STRUCTURES'!$C$12*'18_DEBT'!R42</f>
        <v>0</v>
      </c>
      <c r="S8" s="58" t="n">
        <f aca="false">(1-'17A_STRUCTURES'!$C$13)*'17A_STRUCTURES'!$C$12*'18_DEBT'!S42</f>
        <v>0</v>
      </c>
      <c r="T8" s="58" t="n">
        <f aca="false">(1-'17A_STRUCTURES'!$C$13)*'17A_STRUCTURES'!$C$12*'18_DEBT'!T42</f>
        <v>0</v>
      </c>
      <c r="U8" s="58" t="n">
        <f aca="false">(1-'17A_STRUCTURES'!$C$13)*'17A_STRUCTURES'!$C$12*'18_DEBT'!U42</f>
        <v>0</v>
      </c>
      <c r="V8" s="58" t="n">
        <f aca="false">(1-'17A_STRUCTURES'!$C$13)*'17A_STRUCTURES'!$C$12*'18_DEBT'!V42</f>
        <v>0</v>
      </c>
      <c r="W8" s="58" t="n">
        <f aca="false">(1-'17A_STRUCTURES'!$C$13)*'17A_STRUCTURES'!$C$12*'18_DEBT'!W42</f>
        <v>0</v>
      </c>
      <c r="X8" s="58" t="n">
        <f aca="false">(1-'17A_STRUCTURES'!$C$13)*'17A_STRUCTURES'!$C$12*'18_DEBT'!X42</f>
        <v>0</v>
      </c>
      <c r="Y8" s="58" t="n">
        <f aca="false">(1-'17A_STRUCTURES'!$C$13)*'17A_STRUCTURES'!$C$12*'18_DEBT'!Y42</f>
        <v>0</v>
      </c>
      <c r="Z8" s="58" t="n">
        <f aca="false">(1-'17A_STRUCTURES'!$C$13)*'17A_STRUCTURES'!$C$12*'18_DEBT'!Z42</f>
        <v>0</v>
      </c>
      <c r="AA8" s="58" t="n">
        <f aca="false">(1-'17A_STRUCTURES'!$C$13)*'17A_STRUCTURES'!$C$12*'18_DEBT'!AA42</f>
        <v>0</v>
      </c>
      <c r="AB8" s="58" t="n">
        <f aca="false">(1-'17A_STRUCTURES'!$C$13)*'17A_STRUCTURES'!$C$12*'18_DEBT'!AB42</f>
        <v>0</v>
      </c>
      <c r="AC8" s="58" t="n">
        <f aca="false">(1-'17A_STRUCTURES'!$C$13)*'17A_STRUCTURES'!$C$12*'18_DEBT'!AC42</f>
        <v>0</v>
      </c>
      <c r="AD8" s="58" t="n">
        <f aca="false">(1-'17A_STRUCTURES'!$C$13)*'17A_STRUCTURES'!$C$12*'18_DEBT'!AD42</f>
        <v>0</v>
      </c>
      <c r="AE8" s="58" t="n">
        <f aca="false">(1-'17A_STRUCTURES'!$C$13)*'17A_STRUCTURES'!$C$12*'18_DEBT'!AE42</f>
        <v>0</v>
      </c>
      <c r="AF8" s="58" t="n">
        <f aca="false">(1-'17A_STRUCTURES'!$C$13)*'17A_STRUCTURES'!$C$12*'18_DEBT'!AF42</f>
        <v>0</v>
      </c>
      <c r="AG8" s="58" t="n">
        <f aca="false">(1-'17A_STRUCTURES'!$C$13)*'17A_STRUCTURES'!$C$12*'18_DEBT'!AG42</f>
        <v>0</v>
      </c>
      <c r="AH8" s="58" t="n">
        <f aca="false">(1-'17A_STRUCTURES'!$C$13)*'17A_STRUCTURES'!$C$12*'18_DEBT'!AH42</f>
        <v>0</v>
      </c>
      <c r="AI8" s="58" t="n">
        <f aca="false">(1-'17A_STRUCTURES'!$C$13)*'17A_STRUCTURES'!$C$12*'18_DEBT'!AI42</f>
        <v>0</v>
      </c>
      <c r="AJ8" s="58" t="n">
        <f aca="false">(1-'17A_STRUCTURES'!$C$13)*'17A_STRUCTURES'!$C$12*'18_DEBT'!AJ42</f>
        <v>0</v>
      </c>
      <c r="AK8" s="58" t="n">
        <f aca="false">(1-'17A_STRUCTURES'!$C$13)*'17A_STRUCTURES'!$C$12*'18_DEBT'!AK42</f>
        <v>0</v>
      </c>
      <c r="AL8" s="58" t="n">
        <f aca="false">(1-'17A_STRUCTURES'!$C$13)*'17A_STRUCTURES'!$C$12*'18_DEBT'!AL42</f>
        <v>0</v>
      </c>
      <c r="AM8" s="58" t="n">
        <f aca="false">(1-'17A_STRUCTURES'!$C$13)*'17A_STRUCTURES'!$C$12*'18_DEBT'!AM42</f>
        <v>0</v>
      </c>
      <c r="AN8" s="58" t="n">
        <f aca="false">(1-'17A_STRUCTURES'!$C$13)*'17A_STRUCTURES'!$C$12*'18_DEBT'!AN42</f>
        <v>0</v>
      </c>
      <c r="AO8" s="58" t="n">
        <f aca="false">(1-'17A_STRUCTURES'!$C$13)*'17A_STRUCTURES'!$C$12*'18_DEBT'!AO42</f>
        <v>0</v>
      </c>
      <c r="AP8" s="58" t="n">
        <f aca="false">(1-'17A_STRUCTURES'!$C$13)*'17A_STRUCTURES'!$C$12*'18_DEBT'!AP42</f>
        <v>0</v>
      </c>
      <c r="AQ8" s="58" t="n">
        <f aca="false">(1-'17A_STRUCTURES'!$C$13)*'17A_STRUCTURES'!$C$12*'18_DEBT'!AQ42</f>
        <v>0</v>
      </c>
      <c r="AR8" s="58" t="n">
        <f aca="false">(1-'17A_STRUCTURES'!$C$13)*'17A_STRUCTURES'!$C$12*'18_DEBT'!AR42</f>
        <v>0</v>
      </c>
    </row>
    <row r="9" customFormat="false" ht="15" hidden="false" customHeight="true" outlineLevel="0" collapsed="false">
      <c r="A9" s="23" t="s">
        <v>984</v>
      </c>
      <c r="B9" s="23" t="s">
        <v>121</v>
      </c>
      <c r="C9" s="58" t="n">
        <f aca="false">MAX('23_GUARANTEES'!$E$9:$AR$9)</f>
        <v>44.8951180751307</v>
      </c>
      <c r="E9" s="58" t="n">
        <f aca="false">'17A_STRUCTURES'!$C$14*'23_GUARANTEES'!$C$6/12*'16_REVENUE'!E15</f>
        <v>0</v>
      </c>
      <c r="F9" s="58" t="n">
        <f aca="false">'17A_STRUCTURES'!$C$14*'23_GUARANTEES'!$C$6/12*'16_REVENUE'!F15</f>
        <v>0</v>
      </c>
      <c r="G9" s="58" t="n">
        <f aca="false">'17A_STRUCTURES'!$C$14*'23_GUARANTEES'!$C$6/12*'16_REVENUE'!G15</f>
        <v>0</v>
      </c>
      <c r="H9" s="58" t="n">
        <f aca="false">'17A_STRUCTURES'!$C$14*'23_GUARANTEES'!$C$6/12*'16_REVENUE'!H15</f>
        <v>28.9918570845374</v>
      </c>
      <c r="I9" s="58" t="n">
        <f aca="false">'17A_STRUCTURES'!$C$14*'23_GUARANTEES'!$C$6/12*'16_REVENUE'!I15</f>
        <v>34.4626493580429</v>
      </c>
      <c r="J9" s="58" t="n">
        <f aca="false">'17A_STRUCTURES'!$C$14*'23_GUARANTEES'!$C$6/12*'16_REVENUE'!J15</f>
        <v>34.8243232018017</v>
      </c>
      <c r="K9" s="58" t="n">
        <f aca="false">'17A_STRUCTURES'!$C$14*'23_GUARANTEES'!$C$6/12*'16_REVENUE'!K15</f>
        <v>35.1932305224358</v>
      </c>
      <c r="L9" s="58" t="n">
        <f aca="false">'17A_STRUCTURES'!$C$14*'23_GUARANTEES'!$C$6/12*'16_REVENUE'!L15</f>
        <v>35.5695159894825</v>
      </c>
      <c r="M9" s="58" t="n">
        <f aca="false">'17A_STRUCTURES'!$C$14*'23_GUARANTEES'!$C$6/12*'16_REVENUE'!M15</f>
        <v>35.9533271658701</v>
      </c>
      <c r="N9" s="58" t="n">
        <f aca="false">'17A_STRUCTURES'!$C$14*'23_GUARANTEES'!$C$6/12*'16_REVENUE'!N15</f>
        <v>36.3448145657855</v>
      </c>
      <c r="O9" s="58" t="n">
        <f aca="false">'17A_STRUCTURES'!$C$14*'23_GUARANTEES'!$C$6/12*'16_REVENUE'!O15</f>
        <v>36.7441317136992</v>
      </c>
      <c r="P9" s="58" t="n">
        <f aca="false">'17A_STRUCTURES'!$C$14*'23_GUARANTEES'!$C$6/12*'16_REVENUE'!P15</f>
        <v>37.1514352045712</v>
      </c>
      <c r="Q9" s="58" t="n">
        <f aca="false">'17A_STRUCTURES'!$C$14*'23_GUARANTEES'!$C$6/12*'16_REVENUE'!Q15</f>
        <v>37.5668847652606</v>
      </c>
      <c r="R9" s="58" t="n">
        <f aca="false">'17A_STRUCTURES'!$C$14*'23_GUARANTEES'!$C$6/12*'16_REVENUE'!R15</f>
        <v>37.9906433171638</v>
      </c>
      <c r="S9" s="58" t="n">
        <f aca="false">'17A_STRUCTURES'!$C$14*'23_GUARANTEES'!$C$6/12*'16_REVENUE'!S15</f>
        <v>38.4228770401051</v>
      </c>
      <c r="T9" s="58" t="n">
        <f aca="false">'17A_STRUCTURES'!$C$14*'23_GUARANTEES'!$C$6/12*'16_REVENUE'!T15</f>
        <v>38.8637554375052</v>
      </c>
      <c r="U9" s="58" t="n">
        <f aca="false">'17A_STRUCTURES'!$C$14*'23_GUARANTEES'!$C$6/12*'16_REVENUE'!U15</f>
        <v>39.3134514028533</v>
      </c>
      <c r="V9" s="58" t="n">
        <f aca="false">'17A_STRUCTURES'!$C$14*'23_GUARANTEES'!$C$6/12*'16_REVENUE'!V15</f>
        <v>39.7721412875084</v>
      </c>
      <c r="W9" s="58" t="n">
        <f aca="false">'17A_STRUCTURES'!$C$14*'23_GUARANTEES'!$C$6/12*'16_REVENUE'!W15</f>
        <v>40.2400049698565</v>
      </c>
      <c r="X9" s="58" t="n">
        <f aca="false">'17A_STRUCTURES'!$C$14*'23_GUARANTEES'!$C$6/12*'16_REVENUE'!X15</f>
        <v>40.7172259258517</v>
      </c>
      <c r="Y9" s="58" t="n">
        <f aca="false">'17A_STRUCTURES'!$C$14*'23_GUARANTEES'!$C$6/12*'16_REVENUE'!Y15</f>
        <v>41.2039913009667</v>
      </c>
      <c r="Z9" s="58" t="n">
        <f aca="false">'17A_STRUCTURES'!$C$14*'23_GUARANTEES'!$C$6/12*'16_REVENUE'!Z15</f>
        <v>41.700491983584</v>
      </c>
      <c r="AA9" s="58" t="n">
        <f aca="false">'17A_STRUCTURES'!$C$14*'23_GUARANTEES'!$C$6/12*'16_REVENUE'!AA15</f>
        <v>42.2069226798537</v>
      </c>
      <c r="AB9" s="58" t="n">
        <f aca="false">'17A_STRUCTURES'!$C$14*'23_GUARANTEES'!$C$6/12*'16_REVENUE'!AB15</f>
        <v>42.7234819900488</v>
      </c>
      <c r="AC9" s="58" t="n">
        <f aca="false">'17A_STRUCTURES'!$C$14*'23_GUARANTEES'!$C$6/12*'16_REVENUE'!AC15</f>
        <v>43.2503724864477</v>
      </c>
      <c r="AD9" s="58" t="n">
        <f aca="false">'17A_STRUCTURES'!$C$14*'23_GUARANTEES'!$C$6/12*'16_REVENUE'!AD15</f>
        <v>43.7878007927747</v>
      </c>
      <c r="AE9" s="58" t="n">
        <f aca="false">'17A_STRUCTURES'!$C$14*'23_GUARANTEES'!$C$6/12*'16_REVENUE'!AE15</f>
        <v>44.3359776652282</v>
      </c>
      <c r="AF9" s="58" t="n">
        <f aca="false">'17A_STRUCTURES'!$C$14*'23_GUARANTEES'!$C$6/12*'16_REVENUE'!AF15</f>
        <v>44.8951180751307</v>
      </c>
      <c r="AG9" s="58" t="n">
        <f aca="false">'17A_STRUCTURES'!$C$14*'23_GUARANTEES'!$C$6/12*'16_REVENUE'!AG15</f>
        <v>0</v>
      </c>
      <c r="AH9" s="58" t="n">
        <f aca="false">'17A_STRUCTURES'!$C$14*'23_GUARANTEES'!$C$6/12*'16_REVENUE'!AH15</f>
        <v>0</v>
      </c>
      <c r="AI9" s="58" t="n">
        <f aca="false">'17A_STRUCTURES'!$C$14*'23_GUARANTEES'!$C$6/12*'16_REVENUE'!AI15</f>
        <v>0</v>
      </c>
      <c r="AJ9" s="58" t="n">
        <f aca="false">'17A_STRUCTURES'!$C$14*'23_GUARANTEES'!$C$6/12*'16_REVENUE'!AJ15</f>
        <v>0</v>
      </c>
      <c r="AK9" s="58" t="n">
        <f aca="false">'17A_STRUCTURES'!$C$14*'23_GUARANTEES'!$C$6/12*'16_REVENUE'!AK15</f>
        <v>0</v>
      </c>
      <c r="AL9" s="58" t="n">
        <f aca="false">'17A_STRUCTURES'!$C$14*'23_GUARANTEES'!$C$6/12*'16_REVENUE'!AL15</f>
        <v>0</v>
      </c>
      <c r="AM9" s="58" t="n">
        <f aca="false">'17A_STRUCTURES'!$C$14*'23_GUARANTEES'!$C$6/12*'16_REVENUE'!AM15</f>
        <v>0</v>
      </c>
      <c r="AN9" s="58" t="n">
        <f aca="false">'17A_STRUCTURES'!$C$14*'23_GUARANTEES'!$C$6/12*'16_REVENUE'!AN15</f>
        <v>0</v>
      </c>
      <c r="AO9" s="58" t="n">
        <f aca="false">'17A_STRUCTURES'!$C$14*'23_GUARANTEES'!$C$6/12*'16_REVENUE'!AO15</f>
        <v>0</v>
      </c>
      <c r="AP9" s="58" t="n">
        <f aca="false">'17A_STRUCTURES'!$C$14*'23_GUARANTEES'!$C$6/12*'16_REVENUE'!AP15</f>
        <v>0</v>
      </c>
      <c r="AQ9" s="58" t="n">
        <f aca="false">'17A_STRUCTURES'!$C$14*'23_GUARANTEES'!$C$6/12*'16_REVENUE'!AQ15</f>
        <v>0</v>
      </c>
      <c r="AR9" s="58" t="n">
        <f aca="false">'17A_STRUCTURES'!$C$14*'23_GUARANTEES'!$C$6/12*'16_REVENUE'!AR15</f>
        <v>0</v>
      </c>
    </row>
    <row r="10" customFormat="false" ht="15" hidden="false" customHeight="true" outlineLevel="0" collapsed="false">
      <c r="A10" s="23" t="s">
        <v>985</v>
      </c>
      <c r="B10" s="23" t="s">
        <v>121</v>
      </c>
      <c r="C10" s="58" t="n">
        <f aca="false">MAX('23_GUARANTEES'!$E$10:$AR$10)</f>
        <v>225.401649065097</v>
      </c>
      <c r="E10" s="58" t="n">
        <f aca="false">'17A_STRUCTURES'!$C$15*('06_CONSTRUCTION'!E14+'06_CONSTRUCTION'!E13&gt;0)*('18_DEBT'!E42+MAX('19_EQUITY'!E18*(1+'14_PPA'!$C$14),'19_EQUITY'!E17))</f>
        <v>89.0187599503256</v>
      </c>
      <c r="F10" s="58" t="n">
        <f aca="false">'17A_STRUCTURES'!$C$15*('06_CONSTRUCTION'!F14+'06_CONSTRUCTION'!F13&gt;0)*('18_DEBT'!F42+MAX('19_EQUITY'!F18*(1+'14_PPA'!$C$14),'19_EQUITY'!F17))</f>
        <v>169.596974726182</v>
      </c>
      <c r="G10" s="58" t="n">
        <f aca="false">'17A_STRUCTURES'!$C$15*('06_CONSTRUCTION'!G14+'06_CONSTRUCTION'!G13&gt;0)*('18_DEBT'!G42+MAX('19_EQUITY'!G18*(1+'14_PPA'!$C$14),'19_EQUITY'!G17))</f>
        <v>225.401649065097</v>
      </c>
      <c r="H10" s="58" t="n">
        <f aca="false">'17A_STRUCTURES'!$C$15*('06_CONSTRUCTION'!H14+'06_CONSTRUCTION'!H13&gt;0)*('18_DEBT'!H42+MAX('19_EQUITY'!H18*(1+'14_PPA'!$C$14),'19_EQUITY'!H17))</f>
        <v>216.392632116313</v>
      </c>
      <c r="I10" s="58" t="n">
        <f aca="false">'17A_STRUCTURES'!$C$15*('06_CONSTRUCTION'!I14+'06_CONSTRUCTION'!I13&gt;0)*('18_DEBT'!I42+MAX('19_EQUITY'!I18*(1+'14_PPA'!$C$14),'19_EQUITY'!I17))</f>
        <v>211.357816647743</v>
      </c>
      <c r="J10" s="58" t="n">
        <f aca="false">'17A_STRUCTURES'!$C$15*('06_CONSTRUCTION'!J14+'06_CONSTRUCTION'!J13&gt;0)*('18_DEBT'!J42+MAX('19_EQUITY'!J18*(1+'14_PPA'!$C$14),'19_EQUITY'!J17))</f>
        <v>205.812680715016</v>
      </c>
      <c r="K10" s="58" t="n">
        <f aca="false">'17A_STRUCTURES'!$C$15*('06_CONSTRUCTION'!K14+'06_CONSTRUCTION'!K13&gt;0)*('18_DEBT'!K42+MAX('19_EQUITY'!K18*(1+'14_PPA'!$C$14),'19_EQUITY'!K17))</f>
        <v>199.723631794177</v>
      </c>
      <c r="L10" s="58" t="n">
        <f aca="false">'17A_STRUCTURES'!$C$15*('06_CONSTRUCTION'!L14+'06_CONSTRUCTION'!L13&gt;0)*('18_DEBT'!L42+MAX('19_EQUITY'!L18*(1+'14_PPA'!$C$14),'19_EQUITY'!L17))</f>
        <v>191.280057679758</v>
      </c>
      <c r="M10" s="58" t="n">
        <f aca="false">'17A_STRUCTURES'!$C$15*('06_CONSTRUCTION'!M14+'06_CONSTRUCTION'!M13&gt;0)*('18_DEBT'!M42+MAX('19_EQUITY'!M18*(1+'14_PPA'!$C$14),'19_EQUITY'!M17))</f>
        <v>186.479797972378</v>
      </c>
      <c r="N10" s="58" t="n">
        <f aca="false">'17A_STRUCTURES'!$C$15*('06_CONSTRUCTION'!N14+'06_CONSTRUCTION'!N13&gt;0)*('18_DEBT'!N42+MAX('19_EQUITY'!N18*(1+'14_PPA'!$C$14),'19_EQUITY'!N17))</f>
        <v>181.37362545464</v>
      </c>
      <c r="O10" s="58" t="n">
        <f aca="false">'17A_STRUCTURES'!$C$15*('06_CONSTRUCTION'!O14+'06_CONSTRUCTION'!O13&gt;0)*('18_DEBT'!O42+MAX('19_EQUITY'!O18*(1+'14_PPA'!$C$14),'19_EQUITY'!O17))</f>
        <v>175.969079281617</v>
      </c>
      <c r="P10" s="58" t="n">
        <f aca="false">'17A_STRUCTURES'!$C$15*('06_CONSTRUCTION'!P14+'06_CONSTRUCTION'!P13&gt;0)*('18_DEBT'!P42+MAX('19_EQUITY'!P18*(1+'14_PPA'!$C$14),'19_EQUITY'!P17))</f>
        <v>170.279509487473</v>
      </c>
      <c r="Q10" s="58" t="n">
        <f aca="false">'17A_STRUCTURES'!$C$15*('06_CONSTRUCTION'!Q14+'06_CONSTRUCTION'!Q13&gt;0)*('18_DEBT'!Q42+MAX('19_EQUITY'!Q18*(1+'14_PPA'!$C$14),'19_EQUITY'!Q17))</f>
        <v>164.325331136188</v>
      </c>
      <c r="R10" s="58" t="n">
        <f aca="false">'17A_STRUCTURES'!$C$15*('06_CONSTRUCTION'!R14+'06_CONSTRUCTION'!R13&gt;0)*('18_DEBT'!R42+MAX('19_EQUITY'!R18*(1+'14_PPA'!$C$14),'19_EQUITY'!R17))</f>
        <v>158.135497358765</v>
      </c>
      <c r="S10" s="58" t="n">
        <f aca="false">'17A_STRUCTURES'!$C$15*('06_CONSTRUCTION'!S14+'06_CONSTRUCTION'!S13&gt;0)*('18_DEBT'!S42+MAX('19_EQUITY'!S18*(1+'14_PPA'!$C$14),'19_EQUITY'!S17))</f>
        <v>151.749226574255</v>
      </c>
      <c r="T10" s="58" t="n">
        <f aca="false">'17A_STRUCTURES'!$C$15*('06_CONSTRUCTION'!T14+'06_CONSTRUCTION'!T13&gt;0)*('18_DEBT'!T42+MAX('19_EQUITY'!T18*(1+'14_PPA'!$C$14),'19_EQUITY'!T17))</f>
        <v>145.218024683743</v>
      </c>
      <c r="U10" s="58" t="n">
        <f aca="false">'17A_STRUCTURES'!$C$15*('06_CONSTRUCTION'!U14+'06_CONSTRUCTION'!U13&gt;0)*('18_DEBT'!U42+MAX('19_EQUITY'!U18*(1+'14_PPA'!$C$14),'19_EQUITY'!U17))</f>
        <v>138.608049357796</v>
      </c>
      <c r="V10" s="58" t="n">
        <f aca="false">'17A_STRUCTURES'!$C$15*('06_CONSTRUCTION'!V14+'06_CONSTRUCTION'!V13&gt;0)*('18_DEBT'!V42+MAX('19_EQUITY'!V18*(1+'14_PPA'!$C$14),'19_EQUITY'!V17))</f>
        <v>132.002870835993</v>
      </c>
      <c r="W10" s="58" t="n">
        <f aca="false">'17A_STRUCTURES'!$C$15*('06_CONSTRUCTION'!W14+'06_CONSTRUCTION'!W13&gt;0)*('18_DEBT'!W42+MAX('19_EQUITY'!W18*(1+'14_PPA'!$C$14),'19_EQUITY'!W17))</f>
        <v>117.294943333022</v>
      </c>
      <c r="X10" s="58" t="n">
        <f aca="false">'17A_STRUCTURES'!$C$15*('06_CONSTRUCTION'!X14+'06_CONSTRUCTION'!X13&gt;0)*('18_DEBT'!X42+MAX('19_EQUITY'!X18*(1+'14_PPA'!$C$14),'19_EQUITY'!X17))</f>
        <v>109.737409119624</v>
      </c>
      <c r="Y10" s="58" t="n">
        <f aca="false">'17A_STRUCTURES'!$C$15*('06_CONSTRUCTION'!Y14+'06_CONSTRUCTION'!Y13&gt;0)*('18_DEBT'!Y42+MAX('19_EQUITY'!Y18*(1+'14_PPA'!$C$14),'19_EQUITY'!Y17))</f>
        <v>100.834808468007</v>
      </c>
      <c r="Z10" s="58" t="n">
        <f aca="false">'17A_STRUCTURES'!$C$15*('06_CONSTRUCTION'!Z14+'06_CONSTRUCTION'!Z13&gt;0)*('18_DEBT'!Z42+MAX('19_EQUITY'!Z18*(1+'14_PPA'!$C$14),'19_EQUITY'!Z17))</f>
        <v>90.3811526863128</v>
      </c>
      <c r="AA10" s="58" t="n">
        <f aca="false">'17A_STRUCTURES'!$C$15*('06_CONSTRUCTION'!AA14+'06_CONSTRUCTION'!AA13&gt;0)*('18_DEBT'!AA42+MAX('19_EQUITY'!AA18*(1+'14_PPA'!$C$14),'19_EQUITY'!AA17))</f>
        <v>78.1394702043836</v>
      </c>
      <c r="AB10" s="58" t="n">
        <f aca="false">'17A_STRUCTURES'!$C$15*('06_CONSTRUCTION'!AB14+'06_CONSTRUCTION'!AB13&gt;0)*('18_DEBT'!AB42+MAX('19_EQUITY'!AB18*(1+'14_PPA'!$C$14),'19_EQUITY'!AB17))</f>
        <v>66.9518478343071</v>
      </c>
      <c r="AC10" s="58" t="n">
        <f aca="false">'17A_STRUCTURES'!$C$15*('06_CONSTRUCTION'!AC14+'06_CONSTRUCTION'!AC13&gt;0)*('18_DEBT'!AC42+MAX('19_EQUITY'!AC18*(1+'14_PPA'!$C$14),'19_EQUITY'!AC17))</f>
        <v>53.8572166510859</v>
      </c>
      <c r="AD10" s="58" t="n">
        <f aca="false">'17A_STRUCTURES'!$C$15*('06_CONSTRUCTION'!AD14+'06_CONSTRUCTION'!AD13&gt;0)*('18_DEBT'!AD42+MAX('19_EQUITY'!AD18*(1+'14_PPA'!$C$14),'19_EQUITY'!AD17))</f>
        <v>38.5649480235955</v>
      </c>
      <c r="AE10" s="58" t="n">
        <f aca="false">'17A_STRUCTURES'!$C$15*('06_CONSTRUCTION'!AE14+'06_CONSTRUCTION'!AE13&gt;0)*('18_DEBT'!AE42+MAX('19_EQUITY'!AE18*(1+'14_PPA'!$C$14),'19_EQUITY'!AE17))</f>
        <v>20.74072747986</v>
      </c>
      <c r="AF10" s="58" t="n">
        <f aca="false">'17A_STRUCTURES'!$C$15*('06_CONSTRUCTION'!AF14+'06_CONSTRUCTION'!AF13&gt;0)*('18_DEBT'!AF42+MAX('19_EQUITY'!AF18*(1+'14_PPA'!$C$14),'19_EQUITY'!AF17))</f>
        <v>0</v>
      </c>
      <c r="AG10" s="58" t="n">
        <f aca="false">'17A_STRUCTURES'!$C$15*('06_CONSTRUCTION'!AG14+'06_CONSTRUCTION'!AG13&gt;0)*('18_DEBT'!AG42+MAX('19_EQUITY'!AG18*(1+'14_PPA'!$C$14),'19_EQUITY'!AG17))</f>
        <v>0</v>
      </c>
      <c r="AH10" s="58" t="n">
        <f aca="false">'17A_STRUCTURES'!$C$15*('06_CONSTRUCTION'!AH14+'06_CONSTRUCTION'!AH13&gt;0)*('18_DEBT'!AH42+MAX('19_EQUITY'!AH18*(1+'14_PPA'!$C$14),'19_EQUITY'!AH17))</f>
        <v>0</v>
      </c>
      <c r="AI10" s="58" t="n">
        <f aca="false">'17A_STRUCTURES'!$C$15*('06_CONSTRUCTION'!AI14+'06_CONSTRUCTION'!AI13&gt;0)*('18_DEBT'!AI42+MAX('19_EQUITY'!AI18*(1+'14_PPA'!$C$14),'19_EQUITY'!AI17))</f>
        <v>0</v>
      </c>
      <c r="AJ10" s="58" t="n">
        <f aca="false">'17A_STRUCTURES'!$C$15*('06_CONSTRUCTION'!AJ14+'06_CONSTRUCTION'!AJ13&gt;0)*('18_DEBT'!AJ42+MAX('19_EQUITY'!AJ18*(1+'14_PPA'!$C$14),'19_EQUITY'!AJ17))</f>
        <v>0</v>
      </c>
      <c r="AK10" s="58" t="n">
        <f aca="false">'17A_STRUCTURES'!$C$15*('06_CONSTRUCTION'!AK14+'06_CONSTRUCTION'!AK13&gt;0)*('18_DEBT'!AK42+MAX('19_EQUITY'!AK18*(1+'14_PPA'!$C$14),'19_EQUITY'!AK17))</f>
        <v>0</v>
      </c>
      <c r="AL10" s="58" t="n">
        <f aca="false">'17A_STRUCTURES'!$C$15*('06_CONSTRUCTION'!AL14+'06_CONSTRUCTION'!AL13&gt;0)*('18_DEBT'!AL42+MAX('19_EQUITY'!AL18*(1+'14_PPA'!$C$14),'19_EQUITY'!AL17))</f>
        <v>0</v>
      </c>
      <c r="AM10" s="58" t="n">
        <f aca="false">'17A_STRUCTURES'!$C$15*('06_CONSTRUCTION'!AM14+'06_CONSTRUCTION'!AM13&gt;0)*('18_DEBT'!AM42+MAX('19_EQUITY'!AM18*(1+'14_PPA'!$C$14),'19_EQUITY'!AM17))</f>
        <v>0</v>
      </c>
      <c r="AN10" s="58" t="n">
        <f aca="false">'17A_STRUCTURES'!$C$15*('06_CONSTRUCTION'!AN14+'06_CONSTRUCTION'!AN13&gt;0)*('18_DEBT'!AN42+MAX('19_EQUITY'!AN18*(1+'14_PPA'!$C$14),'19_EQUITY'!AN17))</f>
        <v>0</v>
      </c>
      <c r="AO10" s="58" t="n">
        <f aca="false">'17A_STRUCTURES'!$C$15*('06_CONSTRUCTION'!AO14+'06_CONSTRUCTION'!AO13&gt;0)*('18_DEBT'!AO42+MAX('19_EQUITY'!AO18*(1+'14_PPA'!$C$14),'19_EQUITY'!AO17))</f>
        <v>0</v>
      </c>
      <c r="AP10" s="58" t="n">
        <f aca="false">'17A_STRUCTURES'!$C$15*('06_CONSTRUCTION'!AP14+'06_CONSTRUCTION'!AP13&gt;0)*('18_DEBT'!AP42+MAX('19_EQUITY'!AP18*(1+'14_PPA'!$C$14),'19_EQUITY'!AP17))</f>
        <v>0</v>
      </c>
      <c r="AQ10" s="58" t="n">
        <f aca="false">'17A_STRUCTURES'!$C$15*('06_CONSTRUCTION'!AQ14+'06_CONSTRUCTION'!AQ13&gt;0)*('18_DEBT'!AQ42+MAX('19_EQUITY'!AQ18*(1+'14_PPA'!$C$14),'19_EQUITY'!AQ17))</f>
        <v>0</v>
      </c>
      <c r="AR10" s="58" t="n">
        <f aca="false">'17A_STRUCTURES'!$C$15*('06_CONSTRUCTION'!AR14+'06_CONSTRUCTION'!AR13&gt;0)*('18_DEBT'!AR42+MAX('19_EQUITY'!AR18*(1+'14_PPA'!$C$14),'19_EQUITY'!AR17))</f>
        <v>0</v>
      </c>
    </row>
    <row r="11" customFormat="false" ht="15" hidden="false" customHeight="true" outlineLevel="0" collapsed="false">
      <c r="A11" s="23" t="s">
        <v>986</v>
      </c>
      <c r="B11" s="23" t="s">
        <v>121</v>
      </c>
      <c r="C11" s="58" t="n">
        <f aca="false">MAX('23_GUARANTEES'!$E$11:$AR$11)</f>
        <v>33.4524100151347</v>
      </c>
      <c r="E11" s="58" t="n">
        <f aca="false">'17A_STRUCTURES'!$C$16*('18_DEBT'!E40+'19_EQUITY'!E14)</f>
        <v>0</v>
      </c>
      <c r="F11" s="58" t="n">
        <f aca="false">'17A_STRUCTURES'!$C$16*('18_DEBT'!F40+'19_EQUITY'!F14)</f>
        <v>0</v>
      </c>
      <c r="G11" s="58" t="n">
        <f aca="false">'17A_STRUCTURES'!$C$16*('18_DEBT'!G40+'19_EQUITY'!G14)</f>
        <v>0</v>
      </c>
      <c r="H11" s="58" t="n">
        <f aca="false">'17A_STRUCTURES'!$C$16*('18_DEBT'!H40+'19_EQUITY'!H14)</f>
        <v>20.708531162368</v>
      </c>
      <c r="I11" s="58" t="n">
        <f aca="false">'17A_STRUCTURES'!$C$16*('18_DEBT'!I40+'19_EQUITY'!I14)</f>
        <v>27.5290976780792</v>
      </c>
      <c r="J11" s="58" t="n">
        <f aca="false">'17A_STRUCTURES'!$C$16*('18_DEBT'!J40+'19_EQUITY'!J14)</f>
        <v>27.7521004882388</v>
      </c>
      <c r="K11" s="58" t="n">
        <f aca="false">'17A_STRUCTURES'!$C$16*('18_DEBT'!K40+'19_EQUITY'!K14)</f>
        <v>27.9795633546016</v>
      </c>
      <c r="L11" s="58" t="n">
        <f aca="false">'17A_STRUCTURES'!$C$16*('18_DEBT'!L40+'19_EQUITY'!L14)</f>
        <v>29.9874599928048</v>
      </c>
      <c r="M11" s="58" t="n">
        <f aca="false">'17A_STRUCTURES'!$C$16*('18_DEBT'!M40+'19_EQUITY'!M14)</f>
        <v>25.7000631049715</v>
      </c>
      <c r="N11" s="58" t="n">
        <f aca="false">'17A_STRUCTURES'!$C$16*('18_DEBT'!N40+'19_EQUITY'!N14)</f>
        <v>25.720157336492</v>
      </c>
      <c r="O11" s="58" t="n">
        <f aca="false">'17A_STRUCTURES'!$C$16*('18_DEBT'!O40+'19_EQUITY'!O14)</f>
        <v>25.7291274389289</v>
      </c>
      <c r="P11" s="58" t="n">
        <f aca="false">'17A_STRUCTURES'!$C$16*('18_DEBT'!P40+'19_EQUITY'!P14)</f>
        <v>25.7258288486035</v>
      </c>
      <c r="Q11" s="58" t="n">
        <f aca="false">'17A_STRUCTURES'!$C$16*('18_DEBT'!Q40+'19_EQUITY'!Q14)</f>
        <v>25.7090203440757</v>
      </c>
      <c r="R11" s="58" t="n">
        <f aca="false">'17A_STRUCTURES'!$C$16*('18_DEBT'!R40+'19_EQUITY'!R14)</f>
        <v>25.6773562116698</v>
      </c>
      <c r="S11" s="58" t="n">
        <f aca="false">'17A_STRUCTURES'!$C$16*('18_DEBT'!S40+'19_EQUITY'!S14)</f>
        <v>25.6293777822051</v>
      </c>
      <c r="T11" s="58" t="n">
        <f aca="false">'17A_STRUCTURES'!$C$16*('18_DEBT'!T40+'19_EQUITY'!T14)</f>
        <v>25.5635042885878</v>
      </c>
      <c r="U11" s="58" t="n">
        <f aca="false">'17A_STRUCTURES'!$C$16*('18_DEBT'!U40+'19_EQUITY'!U14)</f>
        <v>25.4780229898896</v>
      </c>
      <c r="V11" s="58" t="n">
        <f aca="false">'17A_STRUCTURES'!$C$16*('18_DEBT'!V40+'19_EQUITY'!V14)</f>
        <v>25.3710785031924</v>
      </c>
      <c r="W11" s="58" t="n">
        <f aca="false">'17A_STRUCTURES'!$C$16*('18_DEBT'!W40+'19_EQUITY'!W14)</f>
        <v>33.4524100151347</v>
      </c>
      <c r="X11" s="58" t="n">
        <f aca="false">'17A_STRUCTURES'!$C$16*('18_DEBT'!X40+'19_EQUITY'!X14)</f>
        <v>25.1517757133511</v>
      </c>
      <c r="Y11" s="58" t="n">
        <f aca="false">'17A_STRUCTURES'!$C$16*('18_DEBT'!Y40+'19_EQUITY'!Y14)</f>
        <v>25.3632120195611</v>
      </c>
      <c r="Z11" s="58" t="n">
        <f aca="false">'17A_STRUCTURES'!$C$16*('18_DEBT'!Z40+'19_EQUITY'!Z14)</f>
        <v>25.5788770518952</v>
      </c>
      <c r="AA11" s="58" t="n">
        <f aca="false">'17A_STRUCTURES'!$C$16*('18_DEBT'!AA40+'19_EQUITY'!AA14)</f>
        <v>25.7988553848761</v>
      </c>
      <c r="AB11" s="58" t="n">
        <f aca="false">'17A_STRUCTURES'!$C$16*('18_DEBT'!AB40+'19_EQUITY'!AB14)</f>
        <v>22.908542900734</v>
      </c>
      <c r="AC11" s="58" t="n">
        <f aca="false">'17A_STRUCTURES'!$C$16*('18_DEBT'!AC40+'19_EQUITY'!AC14)</f>
        <v>23.1374083583673</v>
      </c>
      <c r="AD11" s="58" t="n">
        <f aca="false">'17A_STRUCTURES'!$C$16*('18_DEBT'!AD40+'19_EQUITY'!AD14)</f>
        <v>23.3708511251532</v>
      </c>
      <c r="AE11" s="58" t="n">
        <f aca="false">'17A_STRUCTURES'!$C$16*('18_DEBT'!AE40+'19_EQUITY'!AE14)</f>
        <v>23.6089627472749</v>
      </c>
      <c r="AF11" s="58" t="n">
        <f aca="false">'17A_STRUCTURES'!$C$16*('18_DEBT'!AF40+'19_EQUITY'!AF14)</f>
        <v>23.851836601839</v>
      </c>
      <c r="AG11" s="58" t="n">
        <f aca="false">'17A_STRUCTURES'!$C$16*('18_DEBT'!AG40+'19_EQUITY'!AG14)</f>
        <v>0</v>
      </c>
      <c r="AH11" s="58" t="n">
        <f aca="false">'17A_STRUCTURES'!$C$16*('18_DEBT'!AH40+'19_EQUITY'!AH14)</f>
        <v>0</v>
      </c>
      <c r="AI11" s="58" t="n">
        <f aca="false">'17A_STRUCTURES'!$C$16*('18_DEBT'!AI40+'19_EQUITY'!AI14)</f>
        <v>0</v>
      </c>
      <c r="AJ11" s="58" t="n">
        <f aca="false">'17A_STRUCTURES'!$C$16*('18_DEBT'!AJ40+'19_EQUITY'!AJ14)</f>
        <v>0</v>
      </c>
      <c r="AK11" s="58" t="n">
        <f aca="false">'17A_STRUCTURES'!$C$16*('18_DEBT'!AK40+'19_EQUITY'!AK14)</f>
        <v>0</v>
      </c>
      <c r="AL11" s="58" t="n">
        <f aca="false">'17A_STRUCTURES'!$C$16*('18_DEBT'!AL40+'19_EQUITY'!AL14)</f>
        <v>0</v>
      </c>
      <c r="AM11" s="58" t="n">
        <f aca="false">'17A_STRUCTURES'!$C$16*('18_DEBT'!AM40+'19_EQUITY'!AM14)</f>
        <v>0</v>
      </c>
      <c r="AN11" s="58" t="n">
        <f aca="false">'17A_STRUCTURES'!$C$16*('18_DEBT'!AN40+'19_EQUITY'!AN14)</f>
        <v>0</v>
      </c>
      <c r="AO11" s="58" t="n">
        <f aca="false">'17A_STRUCTURES'!$C$16*('18_DEBT'!AO40+'19_EQUITY'!AO14)</f>
        <v>0</v>
      </c>
      <c r="AP11" s="58" t="n">
        <f aca="false">'17A_STRUCTURES'!$C$16*('18_DEBT'!AP40+'19_EQUITY'!AP14)</f>
        <v>0</v>
      </c>
      <c r="AQ11" s="58" t="n">
        <f aca="false">'17A_STRUCTURES'!$C$16*('18_DEBT'!AQ40+'19_EQUITY'!AQ14)</f>
        <v>0</v>
      </c>
      <c r="AR11" s="58" t="n">
        <f aca="false">'17A_STRUCTURES'!$C$16*('18_DEBT'!AR40+'19_EQUITY'!AR14)</f>
        <v>0</v>
      </c>
    </row>
    <row r="12" customFormat="false" ht="15" hidden="false" customHeight="true" outlineLevel="0" collapsed="false">
      <c r="A12" s="23" t="s">
        <v>987</v>
      </c>
      <c r="B12" s="23" t="s">
        <v>121</v>
      </c>
      <c r="C12" s="58" t="n">
        <f aca="false">SUM('23_GUARANTEES'!$E$12:$AR$12)</f>
        <v>0</v>
      </c>
      <c r="E12" s="58" t="n">
        <f aca="false">'06_CONSTRUCTION'!E14*MAX(0,'23_GUARANTEES'!$C$7*'16_REVENUE'!E11/MAX(0.0001,'04_GENERATION'!E14)-'16_REVENUE'!E25)</f>
        <v>0</v>
      </c>
      <c r="F12" s="58" t="n">
        <f aca="false">'06_CONSTRUCTION'!F14*MAX(0,'23_GUARANTEES'!$C$7*'16_REVENUE'!F11/MAX(0.0001,'04_GENERATION'!F14)-'16_REVENUE'!F25)</f>
        <v>0</v>
      </c>
      <c r="G12" s="58" t="n">
        <f aca="false">'06_CONSTRUCTION'!G14*MAX(0,'23_GUARANTEES'!$C$7*'16_REVENUE'!G11/MAX(0.0001,'04_GENERATION'!G14)-'16_REVENUE'!G25)</f>
        <v>0</v>
      </c>
      <c r="H12" s="58" t="n">
        <f aca="false">'06_CONSTRUCTION'!H14*MAX(0,'23_GUARANTEES'!$C$7*'16_REVENUE'!H11/MAX(0.0001,'04_GENERATION'!H14)-'16_REVENUE'!H25)</f>
        <v>0</v>
      </c>
      <c r="I12" s="58" t="n">
        <f aca="false">'06_CONSTRUCTION'!I14*MAX(0,'23_GUARANTEES'!$C$7*'16_REVENUE'!I11/MAX(0.0001,'04_GENERATION'!I14)-'16_REVENUE'!I25)</f>
        <v>0</v>
      </c>
      <c r="J12" s="58" t="n">
        <f aca="false">'06_CONSTRUCTION'!J14*MAX(0,'23_GUARANTEES'!$C$7*'16_REVENUE'!J11/MAX(0.0001,'04_GENERATION'!J14)-'16_REVENUE'!J25)</f>
        <v>0</v>
      </c>
      <c r="K12" s="58" t="n">
        <f aca="false">'06_CONSTRUCTION'!K14*MAX(0,'23_GUARANTEES'!$C$7*'16_REVENUE'!K11/MAX(0.0001,'04_GENERATION'!K14)-'16_REVENUE'!K25)</f>
        <v>0</v>
      </c>
      <c r="L12" s="58" t="n">
        <f aca="false">'06_CONSTRUCTION'!L14*MAX(0,'23_GUARANTEES'!$C$7*'16_REVENUE'!L11/MAX(0.0001,'04_GENERATION'!L14)-'16_REVENUE'!L25)</f>
        <v>0</v>
      </c>
      <c r="M12" s="58" t="n">
        <f aca="false">'06_CONSTRUCTION'!M14*MAX(0,'23_GUARANTEES'!$C$7*'16_REVENUE'!M11/MAX(0.0001,'04_GENERATION'!M14)-'16_REVENUE'!M25)</f>
        <v>0</v>
      </c>
      <c r="N12" s="58" t="n">
        <f aca="false">'06_CONSTRUCTION'!N14*MAX(0,'23_GUARANTEES'!$C$7*'16_REVENUE'!N11/MAX(0.0001,'04_GENERATION'!N14)-'16_REVENUE'!N25)</f>
        <v>0</v>
      </c>
      <c r="O12" s="58" t="n">
        <f aca="false">'06_CONSTRUCTION'!O14*MAX(0,'23_GUARANTEES'!$C$7*'16_REVENUE'!O11/MAX(0.0001,'04_GENERATION'!O14)-'16_REVENUE'!O25)</f>
        <v>0</v>
      </c>
      <c r="P12" s="58" t="n">
        <f aca="false">'06_CONSTRUCTION'!P14*MAX(0,'23_GUARANTEES'!$C$7*'16_REVENUE'!P11/MAX(0.0001,'04_GENERATION'!P14)-'16_REVENUE'!P25)</f>
        <v>0</v>
      </c>
      <c r="Q12" s="58" t="n">
        <f aca="false">'06_CONSTRUCTION'!Q14*MAX(0,'23_GUARANTEES'!$C$7*'16_REVENUE'!Q11/MAX(0.0001,'04_GENERATION'!Q14)-'16_REVENUE'!Q25)</f>
        <v>0</v>
      </c>
      <c r="R12" s="58" t="n">
        <f aca="false">'06_CONSTRUCTION'!R14*MAX(0,'23_GUARANTEES'!$C$7*'16_REVENUE'!R11/MAX(0.0001,'04_GENERATION'!R14)-'16_REVENUE'!R25)</f>
        <v>0</v>
      </c>
      <c r="S12" s="58" t="n">
        <f aca="false">'06_CONSTRUCTION'!S14*MAX(0,'23_GUARANTEES'!$C$7*'16_REVENUE'!S11/MAX(0.0001,'04_GENERATION'!S14)-'16_REVENUE'!S25)</f>
        <v>0</v>
      </c>
      <c r="T12" s="58" t="n">
        <f aca="false">'06_CONSTRUCTION'!T14*MAX(0,'23_GUARANTEES'!$C$7*'16_REVENUE'!T11/MAX(0.0001,'04_GENERATION'!T14)-'16_REVENUE'!T25)</f>
        <v>0</v>
      </c>
      <c r="U12" s="58" t="n">
        <f aca="false">'06_CONSTRUCTION'!U14*MAX(0,'23_GUARANTEES'!$C$7*'16_REVENUE'!U11/MAX(0.0001,'04_GENERATION'!U14)-'16_REVENUE'!U25)</f>
        <v>0</v>
      </c>
      <c r="V12" s="58" t="n">
        <f aca="false">'06_CONSTRUCTION'!V14*MAX(0,'23_GUARANTEES'!$C$7*'16_REVENUE'!V11/MAX(0.0001,'04_GENERATION'!V14)-'16_REVENUE'!V25)</f>
        <v>0</v>
      </c>
      <c r="W12" s="58" t="n">
        <f aca="false">'06_CONSTRUCTION'!W14*MAX(0,'23_GUARANTEES'!$C$7*'16_REVENUE'!W11/MAX(0.0001,'04_GENERATION'!W14)-'16_REVENUE'!W25)</f>
        <v>0</v>
      </c>
      <c r="X12" s="58" t="n">
        <f aca="false">'06_CONSTRUCTION'!X14*MAX(0,'23_GUARANTEES'!$C$7*'16_REVENUE'!X11/MAX(0.0001,'04_GENERATION'!X14)-'16_REVENUE'!X25)</f>
        <v>0</v>
      </c>
      <c r="Y12" s="58" t="n">
        <f aca="false">'06_CONSTRUCTION'!Y14*MAX(0,'23_GUARANTEES'!$C$7*'16_REVENUE'!Y11/MAX(0.0001,'04_GENERATION'!Y14)-'16_REVENUE'!Y25)</f>
        <v>0</v>
      </c>
      <c r="Z12" s="58" t="n">
        <f aca="false">'06_CONSTRUCTION'!Z14*MAX(0,'23_GUARANTEES'!$C$7*'16_REVENUE'!Z11/MAX(0.0001,'04_GENERATION'!Z14)-'16_REVENUE'!Z25)</f>
        <v>0</v>
      </c>
      <c r="AA12" s="58" t="n">
        <f aca="false">'06_CONSTRUCTION'!AA14*MAX(0,'23_GUARANTEES'!$C$7*'16_REVENUE'!AA11/MAX(0.0001,'04_GENERATION'!AA14)-'16_REVENUE'!AA25)</f>
        <v>0</v>
      </c>
      <c r="AB12" s="58" t="n">
        <f aca="false">'06_CONSTRUCTION'!AB14*MAX(0,'23_GUARANTEES'!$C$7*'16_REVENUE'!AB11/MAX(0.0001,'04_GENERATION'!AB14)-'16_REVENUE'!AB25)</f>
        <v>0</v>
      </c>
      <c r="AC12" s="58" t="n">
        <f aca="false">'06_CONSTRUCTION'!AC14*MAX(0,'23_GUARANTEES'!$C$7*'16_REVENUE'!AC11/MAX(0.0001,'04_GENERATION'!AC14)-'16_REVENUE'!AC25)</f>
        <v>0</v>
      </c>
      <c r="AD12" s="58" t="n">
        <f aca="false">'06_CONSTRUCTION'!AD14*MAX(0,'23_GUARANTEES'!$C$7*'16_REVENUE'!AD11/MAX(0.0001,'04_GENERATION'!AD14)-'16_REVENUE'!AD25)</f>
        <v>0</v>
      </c>
      <c r="AE12" s="58" t="n">
        <f aca="false">'06_CONSTRUCTION'!AE14*MAX(0,'23_GUARANTEES'!$C$7*'16_REVENUE'!AE11/MAX(0.0001,'04_GENERATION'!AE14)-'16_REVENUE'!AE25)</f>
        <v>0</v>
      </c>
      <c r="AF12" s="58" t="n">
        <f aca="false">'06_CONSTRUCTION'!AF14*MAX(0,'23_GUARANTEES'!$C$7*'16_REVENUE'!AF11/MAX(0.0001,'04_GENERATION'!AF14)-'16_REVENUE'!AF25)</f>
        <v>0</v>
      </c>
      <c r="AG12" s="58" t="n">
        <f aca="false">'06_CONSTRUCTION'!AG14*MAX(0,'23_GUARANTEES'!$C$7*'16_REVENUE'!AG11/MAX(0.0001,'04_GENERATION'!AG14)-'16_REVENUE'!AG25)</f>
        <v>0</v>
      </c>
      <c r="AH12" s="58" t="n">
        <f aca="false">'06_CONSTRUCTION'!AH14*MAX(0,'23_GUARANTEES'!$C$7*'16_REVENUE'!AH11/MAX(0.0001,'04_GENERATION'!AH14)-'16_REVENUE'!AH25)</f>
        <v>0</v>
      </c>
      <c r="AI12" s="58" t="n">
        <f aca="false">'06_CONSTRUCTION'!AI14*MAX(0,'23_GUARANTEES'!$C$7*'16_REVENUE'!AI11/MAX(0.0001,'04_GENERATION'!AI14)-'16_REVENUE'!AI25)</f>
        <v>0</v>
      </c>
      <c r="AJ12" s="58" t="n">
        <f aca="false">'06_CONSTRUCTION'!AJ14*MAX(0,'23_GUARANTEES'!$C$7*'16_REVENUE'!AJ11/MAX(0.0001,'04_GENERATION'!AJ14)-'16_REVENUE'!AJ25)</f>
        <v>0</v>
      </c>
      <c r="AK12" s="58" t="n">
        <f aca="false">'06_CONSTRUCTION'!AK14*MAX(0,'23_GUARANTEES'!$C$7*'16_REVENUE'!AK11/MAX(0.0001,'04_GENERATION'!AK14)-'16_REVENUE'!AK25)</f>
        <v>0</v>
      </c>
      <c r="AL12" s="58" t="n">
        <f aca="false">'06_CONSTRUCTION'!AL14*MAX(0,'23_GUARANTEES'!$C$7*'16_REVENUE'!AL11/MAX(0.0001,'04_GENERATION'!AL14)-'16_REVENUE'!AL25)</f>
        <v>0</v>
      </c>
      <c r="AM12" s="58" t="n">
        <f aca="false">'06_CONSTRUCTION'!AM14*MAX(0,'23_GUARANTEES'!$C$7*'16_REVENUE'!AM11/MAX(0.0001,'04_GENERATION'!AM14)-'16_REVENUE'!AM25)</f>
        <v>0</v>
      </c>
      <c r="AN12" s="58" t="n">
        <f aca="false">'06_CONSTRUCTION'!AN14*MAX(0,'23_GUARANTEES'!$C$7*'16_REVENUE'!AN11/MAX(0.0001,'04_GENERATION'!AN14)-'16_REVENUE'!AN25)</f>
        <v>0</v>
      </c>
      <c r="AO12" s="58" t="n">
        <f aca="false">'06_CONSTRUCTION'!AO14*MAX(0,'23_GUARANTEES'!$C$7*'16_REVENUE'!AO11/MAX(0.0001,'04_GENERATION'!AO14)-'16_REVENUE'!AO25)</f>
        <v>0</v>
      </c>
      <c r="AP12" s="58" t="n">
        <f aca="false">'06_CONSTRUCTION'!AP14*MAX(0,'23_GUARANTEES'!$C$7*'16_REVENUE'!AP11/MAX(0.0001,'04_GENERATION'!AP14)-'16_REVENUE'!AP25)</f>
        <v>0</v>
      </c>
      <c r="AQ12" s="58" t="n">
        <f aca="false">'06_CONSTRUCTION'!AQ14*MAX(0,'23_GUARANTEES'!$C$7*'16_REVENUE'!AQ11/MAX(0.0001,'04_GENERATION'!AQ14)-'16_REVENUE'!AQ25)</f>
        <v>0</v>
      </c>
      <c r="AR12" s="58" t="n">
        <f aca="false">'06_CONSTRUCTION'!AR14*MAX(0,'23_GUARANTEES'!$C$7*'16_REVENUE'!AR11/MAX(0.0001,'04_GENERATION'!AR14)-'16_REVENUE'!AR25)</f>
        <v>0</v>
      </c>
    </row>
    <row r="13" customFormat="false" ht="15" hidden="false" customHeight="true" outlineLevel="0" collapsed="false">
      <c r="A13" s="23" t="s">
        <v>988</v>
      </c>
      <c r="B13" s="23" t="s">
        <v>121</v>
      </c>
      <c r="C13" s="58" t="n">
        <f aca="false">MAX('23_GUARANTEES'!$E$13:$AR$13)</f>
        <v>0</v>
      </c>
      <c r="E13" s="58" t="n">
        <f aca="false">'17A_STRUCTURES'!$C$13*'18_DEBT'!E42</f>
        <v>0</v>
      </c>
      <c r="F13" s="58" t="n">
        <f aca="false">'17A_STRUCTURES'!$C$13*'18_DEBT'!F42</f>
        <v>0</v>
      </c>
      <c r="G13" s="58" t="n">
        <f aca="false">'17A_STRUCTURES'!$C$13*'18_DEBT'!G42</f>
        <v>0</v>
      </c>
      <c r="H13" s="58" t="n">
        <f aca="false">'17A_STRUCTURES'!$C$13*'18_DEBT'!H42</f>
        <v>0</v>
      </c>
      <c r="I13" s="58" t="n">
        <f aca="false">'17A_STRUCTURES'!$C$13*'18_DEBT'!I42</f>
        <v>0</v>
      </c>
      <c r="J13" s="58" t="n">
        <f aca="false">'17A_STRUCTURES'!$C$13*'18_DEBT'!J42</f>
        <v>0</v>
      </c>
      <c r="K13" s="58" t="n">
        <f aca="false">'17A_STRUCTURES'!$C$13*'18_DEBT'!K42</f>
        <v>0</v>
      </c>
      <c r="L13" s="58" t="n">
        <f aca="false">'17A_STRUCTURES'!$C$13*'18_DEBT'!L42</f>
        <v>0</v>
      </c>
      <c r="M13" s="58" t="n">
        <f aca="false">'17A_STRUCTURES'!$C$13*'18_DEBT'!M42</f>
        <v>0</v>
      </c>
      <c r="N13" s="58" t="n">
        <f aca="false">'17A_STRUCTURES'!$C$13*'18_DEBT'!N42</f>
        <v>0</v>
      </c>
      <c r="O13" s="58" t="n">
        <f aca="false">'17A_STRUCTURES'!$C$13*'18_DEBT'!O42</f>
        <v>0</v>
      </c>
      <c r="P13" s="58" t="n">
        <f aca="false">'17A_STRUCTURES'!$C$13*'18_DEBT'!P42</f>
        <v>0</v>
      </c>
      <c r="Q13" s="58" t="n">
        <f aca="false">'17A_STRUCTURES'!$C$13*'18_DEBT'!Q42</f>
        <v>0</v>
      </c>
      <c r="R13" s="58" t="n">
        <f aca="false">'17A_STRUCTURES'!$C$13*'18_DEBT'!R42</f>
        <v>0</v>
      </c>
      <c r="S13" s="58" t="n">
        <f aca="false">'17A_STRUCTURES'!$C$13*'18_DEBT'!S42</f>
        <v>0</v>
      </c>
      <c r="T13" s="58" t="n">
        <f aca="false">'17A_STRUCTURES'!$C$13*'18_DEBT'!T42</f>
        <v>0</v>
      </c>
      <c r="U13" s="58" t="n">
        <f aca="false">'17A_STRUCTURES'!$C$13*'18_DEBT'!U42</f>
        <v>0</v>
      </c>
      <c r="V13" s="58" t="n">
        <f aca="false">'17A_STRUCTURES'!$C$13*'18_DEBT'!V42</f>
        <v>0</v>
      </c>
      <c r="W13" s="58" t="n">
        <f aca="false">'17A_STRUCTURES'!$C$13*'18_DEBT'!W42</f>
        <v>0</v>
      </c>
      <c r="X13" s="58" t="n">
        <f aca="false">'17A_STRUCTURES'!$C$13*'18_DEBT'!X42</f>
        <v>0</v>
      </c>
      <c r="Y13" s="58" t="n">
        <f aca="false">'17A_STRUCTURES'!$C$13*'18_DEBT'!Y42</f>
        <v>0</v>
      </c>
      <c r="Z13" s="58" t="n">
        <f aca="false">'17A_STRUCTURES'!$C$13*'18_DEBT'!Z42</f>
        <v>0</v>
      </c>
      <c r="AA13" s="58" t="n">
        <f aca="false">'17A_STRUCTURES'!$C$13*'18_DEBT'!AA42</f>
        <v>0</v>
      </c>
      <c r="AB13" s="58" t="n">
        <f aca="false">'17A_STRUCTURES'!$C$13*'18_DEBT'!AB42</f>
        <v>0</v>
      </c>
      <c r="AC13" s="58" t="n">
        <f aca="false">'17A_STRUCTURES'!$C$13*'18_DEBT'!AC42</f>
        <v>0</v>
      </c>
      <c r="AD13" s="58" t="n">
        <f aca="false">'17A_STRUCTURES'!$C$13*'18_DEBT'!AD42</f>
        <v>0</v>
      </c>
      <c r="AE13" s="58" t="n">
        <f aca="false">'17A_STRUCTURES'!$C$13*'18_DEBT'!AE42</f>
        <v>0</v>
      </c>
      <c r="AF13" s="58" t="n">
        <f aca="false">'17A_STRUCTURES'!$C$13*'18_DEBT'!AF42</f>
        <v>0</v>
      </c>
      <c r="AG13" s="58" t="n">
        <f aca="false">'17A_STRUCTURES'!$C$13*'18_DEBT'!AG42</f>
        <v>0</v>
      </c>
      <c r="AH13" s="58" t="n">
        <f aca="false">'17A_STRUCTURES'!$C$13*'18_DEBT'!AH42</f>
        <v>0</v>
      </c>
      <c r="AI13" s="58" t="n">
        <f aca="false">'17A_STRUCTURES'!$C$13*'18_DEBT'!AI42</f>
        <v>0</v>
      </c>
      <c r="AJ13" s="58" t="n">
        <f aca="false">'17A_STRUCTURES'!$C$13*'18_DEBT'!AJ42</f>
        <v>0</v>
      </c>
      <c r="AK13" s="58" t="n">
        <f aca="false">'17A_STRUCTURES'!$C$13*'18_DEBT'!AK42</f>
        <v>0</v>
      </c>
      <c r="AL13" s="58" t="n">
        <f aca="false">'17A_STRUCTURES'!$C$13*'18_DEBT'!AL42</f>
        <v>0</v>
      </c>
      <c r="AM13" s="58" t="n">
        <f aca="false">'17A_STRUCTURES'!$C$13*'18_DEBT'!AM42</f>
        <v>0</v>
      </c>
      <c r="AN13" s="58" t="n">
        <f aca="false">'17A_STRUCTURES'!$C$13*'18_DEBT'!AN42</f>
        <v>0</v>
      </c>
      <c r="AO13" s="58" t="n">
        <f aca="false">'17A_STRUCTURES'!$C$13*'18_DEBT'!AO42</f>
        <v>0</v>
      </c>
      <c r="AP13" s="58" t="n">
        <f aca="false">'17A_STRUCTURES'!$C$13*'18_DEBT'!AP42</f>
        <v>0</v>
      </c>
      <c r="AQ13" s="58" t="n">
        <f aca="false">'17A_STRUCTURES'!$C$13*'18_DEBT'!AQ42</f>
        <v>0</v>
      </c>
      <c r="AR13" s="58" t="n">
        <f aca="false">'17A_STRUCTURES'!$C$13*'18_DEBT'!AR42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R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989</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990</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3" t="s">
        <v>991</v>
      </c>
      <c r="B6" s="23" t="s">
        <v>237</v>
      </c>
      <c r="C6" s="39" t="n">
        <v>0.02</v>
      </c>
      <c r="D6" s="25" t="s">
        <v>992</v>
      </c>
    </row>
    <row r="7" customFormat="false" ht="15" hidden="false" customHeight="true" outlineLevel="0" collapsed="false">
      <c r="A7" s="23" t="s">
        <v>993</v>
      </c>
      <c r="B7" s="23" t="s">
        <v>237</v>
      </c>
      <c r="C7" s="39" t="n">
        <v>0.08</v>
      </c>
      <c r="D7" s="25" t="s">
        <v>994</v>
      </c>
    </row>
    <row r="8" customFormat="false" ht="15" hidden="false" customHeight="true" outlineLevel="0" collapsed="false">
      <c r="A8" s="23" t="s">
        <v>995</v>
      </c>
      <c r="B8" s="23" t="s">
        <v>237</v>
      </c>
      <c r="C8" s="39" t="n">
        <v>0.005</v>
      </c>
      <c r="D8" s="25" t="s">
        <v>992</v>
      </c>
    </row>
    <row r="9" customFormat="false" ht="15" hidden="false" customHeight="true" outlineLevel="0" collapsed="false">
      <c r="A9" s="23" t="s">
        <v>996</v>
      </c>
      <c r="B9" s="23" t="s">
        <v>93</v>
      </c>
      <c r="C9" s="27" t="n">
        <v>0.6</v>
      </c>
      <c r="D9" s="25" t="s">
        <v>992</v>
      </c>
    </row>
    <row r="10" customFormat="false" ht="15" hidden="false" customHeight="true" outlineLevel="0" collapsed="false">
      <c r="A10" s="21" t="s">
        <v>997</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row>
    <row r="11" customFormat="false" ht="15" hidden="false" customHeight="true" outlineLevel="0" collapsed="false">
      <c r="A11" s="19" t="s">
        <v>998</v>
      </c>
      <c r="B11" s="23" t="s">
        <v>121</v>
      </c>
      <c r="C11" s="58" t="n">
        <f aca="false">MAX('24_CONTINGENT_LIABILITIES'!$E$11:$AR$11)</f>
        <v>225.401649065097</v>
      </c>
      <c r="E11" s="72" t="n">
        <f aca="false">MAX('23_GUARANTEES'!E10,'23_GUARANTEES'!E8+'23_GUARANTEES'!E9+'23_GUARANTEES'!E11)</f>
        <v>89.0187599503256</v>
      </c>
      <c r="F11" s="72" t="n">
        <f aca="false">MAX('23_GUARANTEES'!F10,'23_GUARANTEES'!F8+'23_GUARANTEES'!F9+'23_GUARANTEES'!F11)</f>
        <v>169.596974726182</v>
      </c>
      <c r="G11" s="72" t="n">
        <f aca="false">MAX('23_GUARANTEES'!G10,'23_GUARANTEES'!G8+'23_GUARANTEES'!G9+'23_GUARANTEES'!G11)</f>
        <v>225.401649065097</v>
      </c>
      <c r="H11" s="72" t="n">
        <f aca="false">MAX('23_GUARANTEES'!H10,'23_GUARANTEES'!H8+'23_GUARANTEES'!H9+'23_GUARANTEES'!H11)</f>
        <v>216.392632116313</v>
      </c>
      <c r="I11" s="72" t="n">
        <f aca="false">MAX('23_GUARANTEES'!I10,'23_GUARANTEES'!I8+'23_GUARANTEES'!I9+'23_GUARANTEES'!I11)</f>
        <v>211.357816647743</v>
      </c>
      <c r="J11" s="72" t="n">
        <f aca="false">MAX('23_GUARANTEES'!J10,'23_GUARANTEES'!J8+'23_GUARANTEES'!J9+'23_GUARANTEES'!J11)</f>
        <v>205.812680715016</v>
      </c>
      <c r="K11" s="72" t="n">
        <f aca="false">MAX('23_GUARANTEES'!K10,'23_GUARANTEES'!K8+'23_GUARANTEES'!K9+'23_GUARANTEES'!K11)</f>
        <v>199.723631794177</v>
      </c>
      <c r="L11" s="72" t="n">
        <f aca="false">MAX('23_GUARANTEES'!L10,'23_GUARANTEES'!L8+'23_GUARANTEES'!L9+'23_GUARANTEES'!L11)</f>
        <v>191.280057679758</v>
      </c>
      <c r="M11" s="72" t="n">
        <f aca="false">MAX('23_GUARANTEES'!M10,'23_GUARANTEES'!M8+'23_GUARANTEES'!M9+'23_GUARANTEES'!M11)</f>
        <v>186.479797972378</v>
      </c>
      <c r="N11" s="72" t="n">
        <f aca="false">MAX('23_GUARANTEES'!N10,'23_GUARANTEES'!N8+'23_GUARANTEES'!N9+'23_GUARANTEES'!N11)</f>
        <v>181.37362545464</v>
      </c>
      <c r="O11" s="72" t="n">
        <f aca="false">MAX('23_GUARANTEES'!O10,'23_GUARANTEES'!O8+'23_GUARANTEES'!O9+'23_GUARANTEES'!O11)</f>
        <v>175.969079281617</v>
      </c>
      <c r="P11" s="72" t="n">
        <f aca="false">MAX('23_GUARANTEES'!P10,'23_GUARANTEES'!P8+'23_GUARANTEES'!P9+'23_GUARANTEES'!P11)</f>
        <v>170.279509487473</v>
      </c>
      <c r="Q11" s="72" t="n">
        <f aca="false">MAX('23_GUARANTEES'!Q10,'23_GUARANTEES'!Q8+'23_GUARANTEES'!Q9+'23_GUARANTEES'!Q11)</f>
        <v>164.325331136188</v>
      </c>
      <c r="R11" s="72" t="n">
        <f aca="false">MAX('23_GUARANTEES'!R10,'23_GUARANTEES'!R8+'23_GUARANTEES'!R9+'23_GUARANTEES'!R11)</f>
        <v>158.135497358765</v>
      </c>
      <c r="S11" s="72" t="n">
        <f aca="false">MAX('23_GUARANTEES'!S10,'23_GUARANTEES'!S8+'23_GUARANTEES'!S9+'23_GUARANTEES'!S11)</f>
        <v>151.749226574255</v>
      </c>
      <c r="T11" s="72" t="n">
        <f aca="false">MAX('23_GUARANTEES'!T10,'23_GUARANTEES'!T8+'23_GUARANTEES'!T9+'23_GUARANTEES'!T11)</f>
        <v>145.218024683743</v>
      </c>
      <c r="U11" s="72" t="n">
        <f aca="false">MAX('23_GUARANTEES'!U10,'23_GUARANTEES'!U8+'23_GUARANTEES'!U9+'23_GUARANTEES'!U11)</f>
        <v>138.608049357796</v>
      </c>
      <c r="V11" s="72" t="n">
        <f aca="false">MAX('23_GUARANTEES'!V10,'23_GUARANTEES'!V8+'23_GUARANTEES'!V9+'23_GUARANTEES'!V11)</f>
        <v>132.002870835993</v>
      </c>
      <c r="W11" s="72" t="n">
        <f aca="false">MAX('23_GUARANTEES'!W10,'23_GUARANTEES'!W8+'23_GUARANTEES'!W9+'23_GUARANTEES'!W11)</f>
        <v>117.294943333022</v>
      </c>
      <c r="X11" s="72" t="n">
        <f aca="false">MAX('23_GUARANTEES'!X10,'23_GUARANTEES'!X8+'23_GUARANTEES'!X9+'23_GUARANTEES'!X11)</f>
        <v>109.737409119624</v>
      </c>
      <c r="Y11" s="72" t="n">
        <f aca="false">MAX('23_GUARANTEES'!Y10,'23_GUARANTEES'!Y8+'23_GUARANTEES'!Y9+'23_GUARANTEES'!Y11)</f>
        <v>100.834808468007</v>
      </c>
      <c r="Z11" s="72" t="n">
        <f aca="false">MAX('23_GUARANTEES'!Z10,'23_GUARANTEES'!Z8+'23_GUARANTEES'!Z9+'23_GUARANTEES'!Z11)</f>
        <v>90.3811526863128</v>
      </c>
      <c r="AA11" s="72" t="n">
        <f aca="false">MAX('23_GUARANTEES'!AA10,'23_GUARANTEES'!AA8+'23_GUARANTEES'!AA9+'23_GUARANTEES'!AA11)</f>
        <v>78.1394702043836</v>
      </c>
      <c r="AB11" s="72" t="n">
        <f aca="false">MAX('23_GUARANTEES'!AB10,'23_GUARANTEES'!AB8+'23_GUARANTEES'!AB9+'23_GUARANTEES'!AB11)</f>
        <v>66.9518478343071</v>
      </c>
      <c r="AC11" s="72" t="n">
        <f aca="false">MAX('23_GUARANTEES'!AC10,'23_GUARANTEES'!AC8+'23_GUARANTEES'!AC9+'23_GUARANTEES'!AC11)</f>
        <v>66.387780844815</v>
      </c>
      <c r="AD11" s="72" t="n">
        <f aca="false">MAX('23_GUARANTEES'!AD10,'23_GUARANTEES'!AD8+'23_GUARANTEES'!AD9+'23_GUARANTEES'!AD11)</f>
        <v>67.1586519179279</v>
      </c>
      <c r="AE11" s="72" t="n">
        <f aca="false">MAX('23_GUARANTEES'!AE10,'23_GUARANTEES'!AE8+'23_GUARANTEES'!AE9+'23_GUARANTEES'!AE11)</f>
        <v>67.944940412503</v>
      </c>
      <c r="AF11" s="72" t="n">
        <f aca="false">MAX('23_GUARANTEES'!AF10,'23_GUARANTEES'!AF8+'23_GUARANTEES'!AF9+'23_GUARANTEES'!AF11)</f>
        <v>68.7469546769697</v>
      </c>
      <c r="AG11" s="72" t="n">
        <f aca="false">MAX('23_GUARANTEES'!AG10,'23_GUARANTEES'!AG8+'23_GUARANTEES'!AG9+'23_GUARANTEES'!AG11)</f>
        <v>0</v>
      </c>
      <c r="AH11" s="72" t="n">
        <f aca="false">MAX('23_GUARANTEES'!AH10,'23_GUARANTEES'!AH8+'23_GUARANTEES'!AH9+'23_GUARANTEES'!AH11)</f>
        <v>0</v>
      </c>
      <c r="AI11" s="72" t="n">
        <f aca="false">MAX('23_GUARANTEES'!AI10,'23_GUARANTEES'!AI8+'23_GUARANTEES'!AI9+'23_GUARANTEES'!AI11)</f>
        <v>0</v>
      </c>
      <c r="AJ11" s="72" t="n">
        <f aca="false">MAX('23_GUARANTEES'!AJ10,'23_GUARANTEES'!AJ8+'23_GUARANTEES'!AJ9+'23_GUARANTEES'!AJ11)</f>
        <v>0</v>
      </c>
      <c r="AK11" s="72" t="n">
        <f aca="false">MAX('23_GUARANTEES'!AK10,'23_GUARANTEES'!AK8+'23_GUARANTEES'!AK9+'23_GUARANTEES'!AK11)</f>
        <v>0</v>
      </c>
      <c r="AL11" s="72" t="n">
        <f aca="false">MAX('23_GUARANTEES'!AL10,'23_GUARANTEES'!AL8+'23_GUARANTEES'!AL9+'23_GUARANTEES'!AL11)</f>
        <v>0</v>
      </c>
      <c r="AM11" s="72" t="n">
        <f aca="false">MAX('23_GUARANTEES'!AM10,'23_GUARANTEES'!AM8+'23_GUARANTEES'!AM9+'23_GUARANTEES'!AM11)</f>
        <v>0</v>
      </c>
      <c r="AN11" s="72" t="n">
        <f aca="false">MAX('23_GUARANTEES'!AN10,'23_GUARANTEES'!AN8+'23_GUARANTEES'!AN9+'23_GUARANTEES'!AN11)</f>
        <v>0</v>
      </c>
      <c r="AO11" s="72" t="n">
        <f aca="false">MAX('23_GUARANTEES'!AO10,'23_GUARANTEES'!AO8+'23_GUARANTEES'!AO9+'23_GUARANTEES'!AO11)</f>
        <v>0</v>
      </c>
      <c r="AP11" s="72" t="n">
        <f aca="false">MAX('23_GUARANTEES'!AP10,'23_GUARANTEES'!AP8+'23_GUARANTEES'!AP9+'23_GUARANTEES'!AP11)</f>
        <v>0</v>
      </c>
      <c r="AQ11" s="72" t="n">
        <f aca="false">MAX('23_GUARANTEES'!AQ10,'23_GUARANTEES'!AQ8+'23_GUARANTEES'!AQ9+'23_GUARANTEES'!AQ11)</f>
        <v>0</v>
      </c>
      <c r="AR11" s="72" t="n">
        <f aca="false">MAX('23_GUARANTEES'!AR10,'23_GUARANTEES'!AR8+'23_GUARANTEES'!AR9+'23_GUARANTEES'!AR11)</f>
        <v>0</v>
      </c>
    </row>
    <row r="12" customFormat="false" ht="15" hidden="false" customHeight="true" outlineLevel="0" collapsed="false">
      <c r="A12" s="21" t="s">
        <v>999</v>
      </c>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row>
    <row r="13" customFormat="false" ht="15" hidden="false" customHeight="true" outlineLevel="0" collapsed="false">
      <c r="A13" s="23" t="s">
        <v>1000</v>
      </c>
      <c r="B13" s="23" t="s">
        <v>121</v>
      </c>
      <c r="C13" s="58" t="n">
        <f aca="false">SUM('24_CONTINGENT_LIABILITIES'!$E$13:$AR$13)</f>
        <v>0</v>
      </c>
      <c r="E13" s="79" t="n">
        <f aca="false">'16_REVENUE'!E22</f>
        <v>0</v>
      </c>
      <c r="F13" s="79" t="n">
        <f aca="false">'16_REVENUE'!F22</f>
        <v>0</v>
      </c>
      <c r="G13" s="79" t="n">
        <f aca="false">'16_REVENUE'!G22</f>
        <v>0</v>
      </c>
      <c r="H13" s="79" t="n">
        <f aca="false">'16_REVENUE'!H22</f>
        <v>0</v>
      </c>
      <c r="I13" s="79" t="n">
        <f aca="false">'16_REVENUE'!I22</f>
        <v>0</v>
      </c>
      <c r="J13" s="79" t="n">
        <f aca="false">'16_REVENUE'!J22</f>
        <v>0</v>
      </c>
      <c r="K13" s="79" t="n">
        <f aca="false">'16_REVENUE'!K22</f>
        <v>0</v>
      </c>
      <c r="L13" s="79" t="n">
        <f aca="false">'16_REVENUE'!L22</f>
        <v>0</v>
      </c>
      <c r="M13" s="79" t="n">
        <f aca="false">'16_REVENUE'!M22</f>
        <v>0</v>
      </c>
      <c r="N13" s="79" t="n">
        <f aca="false">'16_REVENUE'!N22</f>
        <v>0</v>
      </c>
      <c r="O13" s="79" t="n">
        <f aca="false">'16_REVENUE'!O22</f>
        <v>0</v>
      </c>
      <c r="P13" s="79" t="n">
        <f aca="false">'16_REVENUE'!P22</f>
        <v>0</v>
      </c>
      <c r="Q13" s="79" t="n">
        <f aca="false">'16_REVENUE'!Q22</f>
        <v>0</v>
      </c>
      <c r="R13" s="79" t="n">
        <f aca="false">'16_REVENUE'!R22</f>
        <v>0</v>
      </c>
      <c r="S13" s="79" t="n">
        <f aca="false">'16_REVENUE'!S22</f>
        <v>0</v>
      </c>
      <c r="T13" s="79" t="n">
        <f aca="false">'16_REVENUE'!T22</f>
        <v>0</v>
      </c>
      <c r="U13" s="79" t="n">
        <f aca="false">'16_REVENUE'!U22</f>
        <v>0</v>
      </c>
      <c r="V13" s="79" t="n">
        <f aca="false">'16_REVENUE'!V22</f>
        <v>0</v>
      </c>
      <c r="W13" s="79" t="n">
        <f aca="false">'16_REVENUE'!W22</f>
        <v>0</v>
      </c>
      <c r="X13" s="79" t="n">
        <f aca="false">'16_REVENUE'!X22</f>
        <v>0</v>
      </c>
      <c r="Y13" s="79" t="n">
        <f aca="false">'16_REVENUE'!Y22</f>
        <v>0</v>
      </c>
      <c r="Z13" s="79" t="n">
        <f aca="false">'16_REVENUE'!Z22</f>
        <v>0</v>
      </c>
      <c r="AA13" s="79" t="n">
        <f aca="false">'16_REVENUE'!AA22</f>
        <v>0</v>
      </c>
      <c r="AB13" s="79" t="n">
        <f aca="false">'16_REVENUE'!AB22</f>
        <v>0</v>
      </c>
      <c r="AC13" s="79" t="n">
        <f aca="false">'16_REVENUE'!AC22</f>
        <v>0</v>
      </c>
      <c r="AD13" s="79" t="n">
        <f aca="false">'16_REVENUE'!AD22</f>
        <v>0</v>
      </c>
      <c r="AE13" s="79" t="n">
        <f aca="false">'16_REVENUE'!AE22</f>
        <v>0</v>
      </c>
      <c r="AF13" s="79" t="n">
        <f aca="false">'16_REVENUE'!AF22</f>
        <v>0</v>
      </c>
      <c r="AG13" s="79" t="n">
        <f aca="false">'16_REVENUE'!AG22</f>
        <v>0</v>
      </c>
      <c r="AH13" s="79" t="n">
        <f aca="false">'16_REVENUE'!AH22</f>
        <v>0</v>
      </c>
      <c r="AI13" s="79" t="n">
        <f aca="false">'16_REVENUE'!AI22</f>
        <v>0</v>
      </c>
      <c r="AJ13" s="79" t="n">
        <f aca="false">'16_REVENUE'!AJ22</f>
        <v>0</v>
      </c>
      <c r="AK13" s="79" t="n">
        <f aca="false">'16_REVENUE'!AK22</f>
        <v>0</v>
      </c>
      <c r="AL13" s="79" t="n">
        <f aca="false">'16_REVENUE'!AL22</f>
        <v>0</v>
      </c>
      <c r="AM13" s="79" t="n">
        <f aca="false">'16_REVENUE'!AM22</f>
        <v>0</v>
      </c>
      <c r="AN13" s="79" t="n">
        <f aca="false">'16_REVENUE'!AN22</f>
        <v>0</v>
      </c>
      <c r="AO13" s="79" t="n">
        <f aca="false">'16_REVENUE'!AO22</f>
        <v>0</v>
      </c>
      <c r="AP13" s="79" t="n">
        <f aca="false">'16_REVENUE'!AP22</f>
        <v>0</v>
      </c>
      <c r="AQ13" s="79" t="n">
        <f aca="false">'16_REVENUE'!AQ22</f>
        <v>0</v>
      </c>
      <c r="AR13" s="79" t="n">
        <f aca="false">'16_REVENUE'!AR22</f>
        <v>0</v>
      </c>
    </row>
    <row r="14" customFormat="false" ht="15" hidden="false" customHeight="true" outlineLevel="0" collapsed="false">
      <c r="A14" s="23" t="s">
        <v>1001</v>
      </c>
      <c r="B14" s="23" t="s">
        <v>121</v>
      </c>
      <c r="C14" s="58" t="n">
        <f aca="false">SUM('24_CONTINGENT_LIABILITIES'!$E$14:$AR$14)</f>
        <v>0</v>
      </c>
      <c r="E14" s="79" t="n">
        <f aca="false">'20_CASH_FLOW'!E37</f>
        <v>-0</v>
      </c>
      <c r="F14" s="79" t="n">
        <f aca="false">'20_CASH_FLOW'!F37</f>
        <v>-0</v>
      </c>
      <c r="G14" s="79" t="n">
        <f aca="false">'20_CASH_FLOW'!G37</f>
        <v>-0</v>
      </c>
      <c r="H14" s="79" t="n">
        <f aca="false">'20_CASH_FLOW'!H37</f>
        <v>0</v>
      </c>
      <c r="I14" s="79" t="n">
        <f aca="false">'20_CASH_FLOW'!I37</f>
        <v>0</v>
      </c>
      <c r="J14" s="79" t="n">
        <f aca="false">'20_CASH_FLOW'!J37</f>
        <v>0</v>
      </c>
      <c r="K14" s="79" t="n">
        <f aca="false">'20_CASH_FLOW'!K37</f>
        <v>0</v>
      </c>
      <c r="L14" s="79" t="n">
        <f aca="false">'20_CASH_FLOW'!L37</f>
        <v>0</v>
      </c>
      <c r="M14" s="79" t="n">
        <f aca="false">'20_CASH_FLOW'!M37</f>
        <v>0</v>
      </c>
      <c r="N14" s="79" t="n">
        <f aca="false">'20_CASH_FLOW'!N37</f>
        <v>0</v>
      </c>
      <c r="O14" s="79" t="n">
        <f aca="false">'20_CASH_FLOW'!O37</f>
        <v>0</v>
      </c>
      <c r="P14" s="79" t="n">
        <f aca="false">'20_CASH_FLOW'!P37</f>
        <v>0</v>
      </c>
      <c r="Q14" s="79" t="n">
        <f aca="false">'20_CASH_FLOW'!Q37</f>
        <v>0</v>
      </c>
      <c r="R14" s="79" t="n">
        <f aca="false">'20_CASH_FLOW'!R37</f>
        <v>0</v>
      </c>
      <c r="S14" s="79" t="n">
        <f aca="false">'20_CASH_FLOW'!S37</f>
        <v>0</v>
      </c>
      <c r="T14" s="79" t="n">
        <f aca="false">'20_CASH_FLOW'!T37</f>
        <v>0</v>
      </c>
      <c r="U14" s="79" t="n">
        <f aca="false">'20_CASH_FLOW'!U37</f>
        <v>0</v>
      </c>
      <c r="V14" s="79" t="n">
        <f aca="false">'20_CASH_FLOW'!V37</f>
        <v>0</v>
      </c>
      <c r="W14" s="79" t="n">
        <f aca="false">'20_CASH_FLOW'!W37</f>
        <v>0</v>
      </c>
      <c r="X14" s="79" t="n">
        <f aca="false">'20_CASH_FLOW'!X37</f>
        <v>0</v>
      </c>
      <c r="Y14" s="79" t="n">
        <f aca="false">'20_CASH_FLOW'!Y37</f>
        <v>0</v>
      </c>
      <c r="Z14" s="79" t="n">
        <f aca="false">'20_CASH_FLOW'!Z37</f>
        <v>0</v>
      </c>
      <c r="AA14" s="79" t="n">
        <f aca="false">'20_CASH_FLOW'!AA37</f>
        <v>0</v>
      </c>
      <c r="AB14" s="79" t="n">
        <f aca="false">'20_CASH_FLOW'!AB37</f>
        <v>0</v>
      </c>
      <c r="AC14" s="79" t="n">
        <f aca="false">'20_CASH_FLOW'!AC37</f>
        <v>0</v>
      </c>
      <c r="AD14" s="79" t="n">
        <f aca="false">'20_CASH_FLOW'!AD37</f>
        <v>0</v>
      </c>
      <c r="AE14" s="79" t="n">
        <f aca="false">'20_CASH_FLOW'!AE37</f>
        <v>0</v>
      </c>
      <c r="AF14" s="79" t="n">
        <f aca="false">'20_CASH_FLOW'!AF37</f>
        <v>0</v>
      </c>
      <c r="AG14" s="79" t="n">
        <f aca="false">'20_CASH_FLOW'!AG37</f>
        <v>-0</v>
      </c>
      <c r="AH14" s="79" t="n">
        <f aca="false">'20_CASH_FLOW'!AH37</f>
        <v>-0</v>
      </c>
      <c r="AI14" s="79" t="n">
        <f aca="false">'20_CASH_FLOW'!AI37</f>
        <v>-0</v>
      </c>
      <c r="AJ14" s="79" t="n">
        <f aca="false">'20_CASH_FLOW'!AJ37</f>
        <v>-0</v>
      </c>
      <c r="AK14" s="79" t="n">
        <f aca="false">'20_CASH_FLOW'!AK37</f>
        <v>-0</v>
      </c>
      <c r="AL14" s="79" t="n">
        <f aca="false">'20_CASH_FLOW'!AL37</f>
        <v>-0</v>
      </c>
      <c r="AM14" s="79" t="n">
        <f aca="false">'20_CASH_FLOW'!AM37</f>
        <v>-0</v>
      </c>
      <c r="AN14" s="79" t="n">
        <f aca="false">'20_CASH_FLOW'!AN37</f>
        <v>-0</v>
      </c>
      <c r="AO14" s="79" t="n">
        <f aca="false">'20_CASH_FLOW'!AO37</f>
        <v>-0</v>
      </c>
      <c r="AP14" s="79" t="n">
        <f aca="false">'20_CASH_FLOW'!AP37</f>
        <v>-0</v>
      </c>
      <c r="AQ14" s="79" t="n">
        <f aca="false">'20_CASH_FLOW'!AQ37</f>
        <v>-0</v>
      </c>
      <c r="AR14" s="79" t="n">
        <f aca="false">'20_CASH_FLOW'!AR37</f>
        <v>-0</v>
      </c>
    </row>
    <row r="15" customFormat="false" ht="15" hidden="false" customHeight="true" outlineLevel="0" collapsed="false">
      <c r="A15" s="23" t="s">
        <v>1002</v>
      </c>
      <c r="B15" s="23" t="s">
        <v>121</v>
      </c>
      <c r="C15" s="58" t="n">
        <f aca="false">SUM('24_CONTINGENT_LIABILITIES'!$E$15:$AR$15)</f>
        <v>0</v>
      </c>
      <c r="E15" s="79" t="n">
        <f aca="false">'23_GUARANTEES'!E12</f>
        <v>0</v>
      </c>
      <c r="F15" s="79" t="n">
        <f aca="false">'23_GUARANTEES'!F12</f>
        <v>0</v>
      </c>
      <c r="G15" s="79" t="n">
        <f aca="false">'23_GUARANTEES'!G12</f>
        <v>0</v>
      </c>
      <c r="H15" s="79" t="n">
        <f aca="false">'23_GUARANTEES'!H12</f>
        <v>0</v>
      </c>
      <c r="I15" s="79" t="n">
        <f aca="false">'23_GUARANTEES'!I12</f>
        <v>0</v>
      </c>
      <c r="J15" s="79" t="n">
        <f aca="false">'23_GUARANTEES'!J12</f>
        <v>0</v>
      </c>
      <c r="K15" s="79" t="n">
        <f aca="false">'23_GUARANTEES'!K12</f>
        <v>0</v>
      </c>
      <c r="L15" s="79" t="n">
        <f aca="false">'23_GUARANTEES'!L12</f>
        <v>0</v>
      </c>
      <c r="M15" s="79" t="n">
        <f aca="false">'23_GUARANTEES'!M12</f>
        <v>0</v>
      </c>
      <c r="N15" s="79" t="n">
        <f aca="false">'23_GUARANTEES'!N12</f>
        <v>0</v>
      </c>
      <c r="O15" s="79" t="n">
        <f aca="false">'23_GUARANTEES'!O12</f>
        <v>0</v>
      </c>
      <c r="P15" s="79" t="n">
        <f aca="false">'23_GUARANTEES'!P12</f>
        <v>0</v>
      </c>
      <c r="Q15" s="79" t="n">
        <f aca="false">'23_GUARANTEES'!Q12</f>
        <v>0</v>
      </c>
      <c r="R15" s="79" t="n">
        <f aca="false">'23_GUARANTEES'!R12</f>
        <v>0</v>
      </c>
      <c r="S15" s="79" t="n">
        <f aca="false">'23_GUARANTEES'!S12</f>
        <v>0</v>
      </c>
      <c r="T15" s="79" t="n">
        <f aca="false">'23_GUARANTEES'!T12</f>
        <v>0</v>
      </c>
      <c r="U15" s="79" t="n">
        <f aca="false">'23_GUARANTEES'!U12</f>
        <v>0</v>
      </c>
      <c r="V15" s="79" t="n">
        <f aca="false">'23_GUARANTEES'!V12</f>
        <v>0</v>
      </c>
      <c r="W15" s="79" t="n">
        <f aca="false">'23_GUARANTEES'!W12</f>
        <v>0</v>
      </c>
      <c r="X15" s="79" t="n">
        <f aca="false">'23_GUARANTEES'!X12</f>
        <v>0</v>
      </c>
      <c r="Y15" s="79" t="n">
        <f aca="false">'23_GUARANTEES'!Y12</f>
        <v>0</v>
      </c>
      <c r="Z15" s="79" t="n">
        <f aca="false">'23_GUARANTEES'!Z12</f>
        <v>0</v>
      </c>
      <c r="AA15" s="79" t="n">
        <f aca="false">'23_GUARANTEES'!AA12</f>
        <v>0</v>
      </c>
      <c r="AB15" s="79" t="n">
        <f aca="false">'23_GUARANTEES'!AB12</f>
        <v>0</v>
      </c>
      <c r="AC15" s="79" t="n">
        <f aca="false">'23_GUARANTEES'!AC12</f>
        <v>0</v>
      </c>
      <c r="AD15" s="79" t="n">
        <f aca="false">'23_GUARANTEES'!AD12</f>
        <v>0</v>
      </c>
      <c r="AE15" s="79" t="n">
        <f aca="false">'23_GUARANTEES'!AE12</f>
        <v>0</v>
      </c>
      <c r="AF15" s="79" t="n">
        <f aca="false">'23_GUARANTEES'!AF12</f>
        <v>0</v>
      </c>
      <c r="AG15" s="79" t="n">
        <f aca="false">'23_GUARANTEES'!AG12</f>
        <v>0</v>
      </c>
      <c r="AH15" s="79" t="n">
        <f aca="false">'23_GUARANTEES'!AH12</f>
        <v>0</v>
      </c>
      <c r="AI15" s="79" t="n">
        <f aca="false">'23_GUARANTEES'!AI12</f>
        <v>0</v>
      </c>
      <c r="AJ15" s="79" t="n">
        <f aca="false">'23_GUARANTEES'!AJ12</f>
        <v>0</v>
      </c>
      <c r="AK15" s="79" t="n">
        <f aca="false">'23_GUARANTEES'!AK12</f>
        <v>0</v>
      </c>
      <c r="AL15" s="79" t="n">
        <f aca="false">'23_GUARANTEES'!AL12</f>
        <v>0</v>
      </c>
      <c r="AM15" s="79" t="n">
        <f aca="false">'23_GUARANTEES'!AM12</f>
        <v>0</v>
      </c>
      <c r="AN15" s="79" t="n">
        <f aca="false">'23_GUARANTEES'!AN12</f>
        <v>0</v>
      </c>
      <c r="AO15" s="79" t="n">
        <f aca="false">'23_GUARANTEES'!AO12</f>
        <v>0</v>
      </c>
      <c r="AP15" s="79" t="n">
        <f aca="false">'23_GUARANTEES'!AP12</f>
        <v>0</v>
      </c>
      <c r="AQ15" s="79" t="n">
        <f aca="false">'23_GUARANTEES'!AQ12</f>
        <v>0</v>
      </c>
      <c r="AR15" s="79" t="n">
        <f aca="false">'23_GUARANTEES'!AR12</f>
        <v>0</v>
      </c>
    </row>
    <row r="16" customFormat="false" ht="15" hidden="false" customHeight="true" outlineLevel="0" collapsed="false">
      <c r="A16" s="19" t="s">
        <v>1003</v>
      </c>
      <c r="B16" s="23" t="s">
        <v>121</v>
      </c>
      <c r="C16" s="58" t="n">
        <f aca="false">SUM('24_CONTINGENT_LIABILITIES'!$E$16:$AR$16)</f>
        <v>0</v>
      </c>
      <c r="E16" s="72" t="n">
        <f aca="false">'24_CONTINGENT_LIABILITIES'!E13+'24_CONTINGENT_LIABILITIES'!E14+'24_CONTINGENT_LIABILITIES'!E15</f>
        <v>0</v>
      </c>
      <c r="F16" s="72" t="n">
        <f aca="false">'24_CONTINGENT_LIABILITIES'!F13+'24_CONTINGENT_LIABILITIES'!F14+'24_CONTINGENT_LIABILITIES'!F15</f>
        <v>0</v>
      </c>
      <c r="G16" s="72" t="n">
        <f aca="false">'24_CONTINGENT_LIABILITIES'!G13+'24_CONTINGENT_LIABILITIES'!G14+'24_CONTINGENT_LIABILITIES'!G15</f>
        <v>0</v>
      </c>
      <c r="H16" s="72" t="n">
        <f aca="false">'24_CONTINGENT_LIABILITIES'!H13+'24_CONTINGENT_LIABILITIES'!H14+'24_CONTINGENT_LIABILITIES'!H15</f>
        <v>0</v>
      </c>
      <c r="I16" s="72" t="n">
        <f aca="false">'24_CONTINGENT_LIABILITIES'!I13+'24_CONTINGENT_LIABILITIES'!I14+'24_CONTINGENT_LIABILITIES'!I15</f>
        <v>0</v>
      </c>
      <c r="J16" s="72" t="n">
        <f aca="false">'24_CONTINGENT_LIABILITIES'!J13+'24_CONTINGENT_LIABILITIES'!J14+'24_CONTINGENT_LIABILITIES'!J15</f>
        <v>0</v>
      </c>
      <c r="K16" s="72" t="n">
        <f aca="false">'24_CONTINGENT_LIABILITIES'!K13+'24_CONTINGENT_LIABILITIES'!K14+'24_CONTINGENT_LIABILITIES'!K15</f>
        <v>0</v>
      </c>
      <c r="L16" s="72" t="n">
        <f aca="false">'24_CONTINGENT_LIABILITIES'!L13+'24_CONTINGENT_LIABILITIES'!L14+'24_CONTINGENT_LIABILITIES'!L15</f>
        <v>0</v>
      </c>
      <c r="M16" s="72" t="n">
        <f aca="false">'24_CONTINGENT_LIABILITIES'!M13+'24_CONTINGENT_LIABILITIES'!M14+'24_CONTINGENT_LIABILITIES'!M15</f>
        <v>0</v>
      </c>
      <c r="N16" s="72" t="n">
        <f aca="false">'24_CONTINGENT_LIABILITIES'!N13+'24_CONTINGENT_LIABILITIES'!N14+'24_CONTINGENT_LIABILITIES'!N15</f>
        <v>0</v>
      </c>
      <c r="O16" s="72" t="n">
        <f aca="false">'24_CONTINGENT_LIABILITIES'!O13+'24_CONTINGENT_LIABILITIES'!O14+'24_CONTINGENT_LIABILITIES'!O15</f>
        <v>0</v>
      </c>
      <c r="P16" s="72" t="n">
        <f aca="false">'24_CONTINGENT_LIABILITIES'!P13+'24_CONTINGENT_LIABILITIES'!P14+'24_CONTINGENT_LIABILITIES'!P15</f>
        <v>0</v>
      </c>
      <c r="Q16" s="72" t="n">
        <f aca="false">'24_CONTINGENT_LIABILITIES'!Q13+'24_CONTINGENT_LIABILITIES'!Q14+'24_CONTINGENT_LIABILITIES'!Q15</f>
        <v>0</v>
      </c>
      <c r="R16" s="72" t="n">
        <f aca="false">'24_CONTINGENT_LIABILITIES'!R13+'24_CONTINGENT_LIABILITIES'!R14+'24_CONTINGENT_LIABILITIES'!R15</f>
        <v>0</v>
      </c>
      <c r="S16" s="72" t="n">
        <f aca="false">'24_CONTINGENT_LIABILITIES'!S13+'24_CONTINGENT_LIABILITIES'!S14+'24_CONTINGENT_LIABILITIES'!S15</f>
        <v>0</v>
      </c>
      <c r="T16" s="72" t="n">
        <f aca="false">'24_CONTINGENT_LIABILITIES'!T13+'24_CONTINGENT_LIABILITIES'!T14+'24_CONTINGENT_LIABILITIES'!T15</f>
        <v>0</v>
      </c>
      <c r="U16" s="72" t="n">
        <f aca="false">'24_CONTINGENT_LIABILITIES'!U13+'24_CONTINGENT_LIABILITIES'!U14+'24_CONTINGENT_LIABILITIES'!U15</f>
        <v>0</v>
      </c>
      <c r="V16" s="72" t="n">
        <f aca="false">'24_CONTINGENT_LIABILITIES'!V13+'24_CONTINGENT_LIABILITIES'!V14+'24_CONTINGENT_LIABILITIES'!V15</f>
        <v>0</v>
      </c>
      <c r="W16" s="72" t="n">
        <f aca="false">'24_CONTINGENT_LIABILITIES'!W13+'24_CONTINGENT_LIABILITIES'!W14+'24_CONTINGENT_LIABILITIES'!W15</f>
        <v>0</v>
      </c>
      <c r="X16" s="72" t="n">
        <f aca="false">'24_CONTINGENT_LIABILITIES'!X13+'24_CONTINGENT_LIABILITIES'!X14+'24_CONTINGENT_LIABILITIES'!X15</f>
        <v>0</v>
      </c>
      <c r="Y16" s="72" t="n">
        <f aca="false">'24_CONTINGENT_LIABILITIES'!Y13+'24_CONTINGENT_LIABILITIES'!Y14+'24_CONTINGENT_LIABILITIES'!Y15</f>
        <v>0</v>
      </c>
      <c r="Z16" s="72" t="n">
        <f aca="false">'24_CONTINGENT_LIABILITIES'!Z13+'24_CONTINGENT_LIABILITIES'!Z14+'24_CONTINGENT_LIABILITIES'!Z15</f>
        <v>0</v>
      </c>
      <c r="AA16" s="72" t="n">
        <f aca="false">'24_CONTINGENT_LIABILITIES'!AA13+'24_CONTINGENT_LIABILITIES'!AA14+'24_CONTINGENT_LIABILITIES'!AA15</f>
        <v>0</v>
      </c>
      <c r="AB16" s="72" t="n">
        <f aca="false">'24_CONTINGENT_LIABILITIES'!AB13+'24_CONTINGENT_LIABILITIES'!AB14+'24_CONTINGENT_LIABILITIES'!AB15</f>
        <v>0</v>
      </c>
      <c r="AC16" s="72" t="n">
        <f aca="false">'24_CONTINGENT_LIABILITIES'!AC13+'24_CONTINGENT_LIABILITIES'!AC14+'24_CONTINGENT_LIABILITIES'!AC15</f>
        <v>0</v>
      </c>
      <c r="AD16" s="72" t="n">
        <f aca="false">'24_CONTINGENT_LIABILITIES'!AD13+'24_CONTINGENT_LIABILITIES'!AD14+'24_CONTINGENT_LIABILITIES'!AD15</f>
        <v>0</v>
      </c>
      <c r="AE16" s="72" t="n">
        <f aca="false">'24_CONTINGENT_LIABILITIES'!AE13+'24_CONTINGENT_LIABILITIES'!AE14+'24_CONTINGENT_LIABILITIES'!AE15</f>
        <v>0</v>
      </c>
      <c r="AF16" s="72" t="n">
        <f aca="false">'24_CONTINGENT_LIABILITIES'!AF13+'24_CONTINGENT_LIABILITIES'!AF14+'24_CONTINGENT_LIABILITIES'!AF15</f>
        <v>0</v>
      </c>
      <c r="AG16" s="72" t="n">
        <f aca="false">'24_CONTINGENT_LIABILITIES'!AG13+'24_CONTINGENT_LIABILITIES'!AG14+'24_CONTINGENT_LIABILITIES'!AG15</f>
        <v>0</v>
      </c>
      <c r="AH16" s="72" t="n">
        <f aca="false">'24_CONTINGENT_LIABILITIES'!AH13+'24_CONTINGENT_LIABILITIES'!AH14+'24_CONTINGENT_LIABILITIES'!AH15</f>
        <v>0</v>
      </c>
      <c r="AI16" s="72" t="n">
        <f aca="false">'24_CONTINGENT_LIABILITIES'!AI13+'24_CONTINGENT_LIABILITIES'!AI14+'24_CONTINGENT_LIABILITIES'!AI15</f>
        <v>0</v>
      </c>
      <c r="AJ16" s="72" t="n">
        <f aca="false">'24_CONTINGENT_LIABILITIES'!AJ13+'24_CONTINGENT_LIABILITIES'!AJ14+'24_CONTINGENT_LIABILITIES'!AJ15</f>
        <v>0</v>
      </c>
      <c r="AK16" s="72" t="n">
        <f aca="false">'24_CONTINGENT_LIABILITIES'!AK13+'24_CONTINGENT_LIABILITIES'!AK14+'24_CONTINGENT_LIABILITIES'!AK15</f>
        <v>0</v>
      </c>
      <c r="AL16" s="72" t="n">
        <f aca="false">'24_CONTINGENT_LIABILITIES'!AL13+'24_CONTINGENT_LIABILITIES'!AL14+'24_CONTINGENT_LIABILITIES'!AL15</f>
        <v>0</v>
      </c>
      <c r="AM16" s="72" t="n">
        <f aca="false">'24_CONTINGENT_LIABILITIES'!AM13+'24_CONTINGENT_LIABILITIES'!AM14+'24_CONTINGENT_LIABILITIES'!AM15</f>
        <v>0</v>
      </c>
      <c r="AN16" s="72" t="n">
        <f aca="false">'24_CONTINGENT_LIABILITIES'!AN13+'24_CONTINGENT_LIABILITIES'!AN14+'24_CONTINGENT_LIABILITIES'!AN15</f>
        <v>0</v>
      </c>
      <c r="AO16" s="72" t="n">
        <f aca="false">'24_CONTINGENT_LIABILITIES'!AO13+'24_CONTINGENT_LIABILITIES'!AO14+'24_CONTINGENT_LIABILITIES'!AO15</f>
        <v>0</v>
      </c>
      <c r="AP16" s="72" t="n">
        <f aca="false">'24_CONTINGENT_LIABILITIES'!AP13+'24_CONTINGENT_LIABILITIES'!AP14+'24_CONTINGENT_LIABILITIES'!AP15</f>
        <v>0</v>
      </c>
      <c r="AQ16" s="72" t="n">
        <f aca="false">'24_CONTINGENT_LIABILITIES'!AQ13+'24_CONTINGENT_LIABILITIES'!AQ14+'24_CONTINGENT_LIABILITIES'!AQ15</f>
        <v>0</v>
      </c>
      <c r="AR16" s="72" t="n">
        <f aca="false">'24_CONTINGENT_LIABILITIES'!AR13+'24_CONTINGENT_LIABILITIES'!AR14+'24_CONTINGENT_LIABILITIES'!AR15</f>
        <v>0</v>
      </c>
    </row>
    <row r="17" customFormat="false" ht="15" hidden="false" customHeight="true" outlineLevel="0" collapsed="false">
      <c r="A17" s="21" t="s">
        <v>1004</v>
      </c>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row>
    <row r="18" customFormat="false" ht="15" hidden="false" customHeight="true" outlineLevel="0" collapsed="false">
      <c r="A18" s="23" t="s">
        <v>1005</v>
      </c>
      <c r="B18" s="23" t="s">
        <v>121</v>
      </c>
      <c r="C18" s="58" t="n">
        <f aca="false">SUM('24_CONTINGENT_LIABILITIES'!$E$18:$AR$18)</f>
        <v>58.0345516603785</v>
      </c>
      <c r="E18" s="58" t="n">
        <f aca="false">('24_CONTINGENT_LIABILITIES'!$C$6*'23_GUARANTEES'!E8+'24_CONTINGENT_LIABILITIES'!$C$7*MAX(0,'23_GUARANTEES'!E9-'16_REVENUE'!E22)+'24_CONTINGENT_LIABILITIES'!$C$8*MAX(0,'23_GUARANTEES'!E10-'23_GUARANTEES'!E8))*'24_CONTINGENT_LIABILITIES'!$C$9</f>
        <v>0.267056279850977</v>
      </c>
      <c r="F18" s="58" t="n">
        <f aca="false">('24_CONTINGENT_LIABILITIES'!$C$6*'23_GUARANTEES'!F8+'24_CONTINGENT_LIABILITIES'!$C$7*MAX(0,'23_GUARANTEES'!F9-'16_REVENUE'!F22)+'24_CONTINGENT_LIABILITIES'!$C$8*MAX(0,'23_GUARANTEES'!F10-'23_GUARANTEES'!F8))*'24_CONTINGENT_LIABILITIES'!$C$9</f>
        <v>0.508790924178544</v>
      </c>
      <c r="G18" s="58" t="n">
        <f aca="false">('24_CONTINGENT_LIABILITIES'!$C$6*'23_GUARANTEES'!G8+'24_CONTINGENT_LIABILITIES'!$C$7*MAX(0,'23_GUARANTEES'!G9-'16_REVENUE'!G22)+'24_CONTINGENT_LIABILITIES'!$C$8*MAX(0,'23_GUARANTEES'!G10-'23_GUARANTEES'!G8))*'24_CONTINGENT_LIABILITIES'!$C$9</f>
        <v>0.67620494719529</v>
      </c>
      <c r="H18" s="58" t="n">
        <f aca="false">('24_CONTINGENT_LIABILITIES'!$C$6*'23_GUARANTEES'!H8+'24_CONTINGENT_LIABILITIES'!$C$7*MAX(0,'23_GUARANTEES'!H9-'16_REVENUE'!H22)+'24_CONTINGENT_LIABILITIES'!$C$8*MAX(0,'23_GUARANTEES'!H10-'23_GUARANTEES'!H8))*'24_CONTINGENT_LIABILITIES'!$C$9</f>
        <v>2.04078703640673</v>
      </c>
      <c r="I18" s="58" t="n">
        <f aca="false">('24_CONTINGENT_LIABILITIES'!$C$6*'23_GUARANTEES'!I8+'24_CONTINGENT_LIABILITIES'!$C$7*MAX(0,'23_GUARANTEES'!I9-'16_REVENUE'!I22)+'24_CONTINGENT_LIABILITIES'!$C$8*MAX(0,'23_GUARANTEES'!I10-'23_GUARANTEES'!I8))*'24_CONTINGENT_LIABILITIES'!$C$9</f>
        <v>2.28828061912929</v>
      </c>
      <c r="J18" s="58" t="n">
        <f aca="false">('24_CONTINGENT_LIABILITIES'!$C$6*'23_GUARANTEES'!J8+'24_CONTINGENT_LIABILITIES'!$C$7*MAX(0,'23_GUARANTEES'!J9-'16_REVENUE'!J22)+'24_CONTINGENT_LIABILITIES'!$C$8*MAX(0,'23_GUARANTEES'!J10-'23_GUARANTEES'!J8))*'24_CONTINGENT_LIABILITIES'!$C$9</f>
        <v>2.28900555583153</v>
      </c>
      <c r="K18" s="58" t="n">
        <f aca="false">('24_CONTINGENT_LIABILITIES'!$C$6*'23_GUARANTEES'!K8+'24_CONTINGENT_LIABILITIES'!$C$7*MAX(0,'23_GUARANTEES'!K9-'16_REVENUE'!K22)+'24_CONTINGENT_LIABILITIES'!$C$8*MAX(0,'23_GUARANTEES'!K10-'23_GUARANTEES'!K8))*'24_CONTINGENT_LIABILITIES'!$C$9</f>
        <v>2.28844596045945</v>
      </c>
      <c r="L18" s="58" t="n">
        <f aca="false">('24_CONTINGENT_LIABILITIES'!$C$6*'23_GUARANTEES'!L8+'24_CONTINGENT_LIABILITIES'!$C$7*MAX(0,'23_GUARANTEES'!L9-'16_REVENUE'!L22)+'24_CONTINGENT_LIABILITIES'!$C$8*MAX(0,'23_GUARANTEES'!L10-'23_GUARANTEES'!L8))*'24_CONTINGENT_LIABILITIES'!$C$9</f>
        <v>2.28117694053443</v>
      </c>
      <c r="M18" s="58" t="n">
        <f aca="false">('24_CONTINGENT_LIABILITIES'!$C$6*'23_GUARANTEES'!M8+'24_CONTINGENT_LIABILITIES'!$C$7*MAX(0,'23_GUARANTEES'!M9-'16_REVENUE'!M22)+'24_CONTINGENT_LIABILITIES'!$C$8*MAX(0,'23_GUARANTEES'!M10-'23_GUARANTEES'!M8))*'24_CONTINGENT_LIABILITIES'!$C$9</f>
        <v>2.2851990978789</v>
      </c>
      <c r="N18" s="58" t="n">
        <f aca="false">('24_CONTINGENT_LIABILITIES'!$C$6*'23_GUARANTEES'!N8+'24_CONTINGENT_LIABILITIES'!$C$7*MAX(0,'23_GUARANTEES'!N9-'16_REVENUE'!N22)+'24_CONTINGENT_LIABILITIES'!$C$8*MAX(0,'23_GUARANTEES'!N10-'23_GUARANTEES'!N8))*'24_CONTINGENT_LIABILITIES'!$C$9</f>
        <v>2.28867197552162</v>
      </c>
      <c r="O18" s="58" t="n">
        <f aca="false">('24_CONTINGENT_LIABILITIES'!$C$6*'23_GUARANTEES'!O8+'24_CONTINGENT_LIABILITIES'!$C$7*MAX(0,'23_GUARANTEES'!O9-'16_REVENUE'!O22)+'24_CONTINGENT_LIABILITIES'!$C$8*MAX(0,'23_GUARANTEES'!O10-'23_GUARANTEES'!O8))*'24_CONTINGENT_LIABILITIES'!$C$9</f>
        <v>2.29162556010241</v>
      </c>
      <c r="P18" s="58" t="n">
        <f aca="false">('24_CONTINGENT_LIABILITIES'!$C$6*'23_GUARANTEES'!P8+'24_CONTINGENT_LIABILITIES'!$C$7*MAX(0,'23_GUARANTEES'!P9-'16_REVENUE'!P22)+'24_CONTINGENT_LIABILITIES'!$C$8*MAX(0,'23_GUARANTEES'!P10-'23_GUARANTEES'!P8))*'24_CONTINGENT_LIABILITIES'!$C$9</f>
        <v>2.29410741828184</v>
      </c>
      <c r="Q18" s="58" t="n">
        <f aca="false">('24_CONTINGENT_LIABILITIES'!$C$6*'23_GUARANTEES'!Q8+'24_CONTINGENT_LIABILITIES'!$C$7*MAX(0,'23_GUARANTEES'!Q9-'16_REVENUE'!Q22)+'24_CONTINGENT_LIABILITIES'!$C$8*MAX(0,'23_GUARANTEES'!Q10-'23_GUARANTEES'!Q8))*'24_CONTINGENT_LIABILITIES'!$C$9</f>
        <v>2.29618646214107</v>
      </c>
      <c r="R18" s="58" t="n">
        <f aca="false">('24_CONTINGENT_LIABILITIES'!$C$6*'23_GUARANTEES'!R8+'24_CONTINGENT_LIABILITIES'!$C$7*MAX(0,'23_GUARANTEES'!R9-'16_REVENUE'!R22)+'24_CONTINGENT_LIABILITIES'!$C$8*MAX(0,'23_GUARANTEES'!R10-'23_GUARANTEES'!R8))*'24_CONTINGENT_LIABILITIES'!$C$9</f>
        <v>2.29795737130016</v>
      </c>
      <c r="S18" s="58" t="n">
        <f aca="false">('24_CONTINGENT_LIABILITIES'!$C$6*'23_GUARANTEES'!S8+'24_CONTINGENT_LIABILITIES'!$C$7*MAX(0,'23_GUARANTEES'!S9-'16_REVENUE'!S22)+'24_CONTINGENT_LIABILITIES'!$C$8*MAX(0,'23_GUARANTEES'!S10-'23_GUARANTEES'!S8))*'24_CONTINGENT_LIABILITIES'!$C$9</f>
        <v>2.29954577764781</v>
      </c>
      <c r="T18" s="58" t="n">
        <f aca="false">('24_CONTINGENT_LIABILITIES'!$C$6*'23_GUARANTEES'!T8+'24_CONTINGENT_LIABILITIES'!$C$7*MAX(0,'23_GUARANTEES'!T9-'16_REVENUE'!T22)+'24_CONTINGENT_LIABILITIES'!$C$8*MAX(0,'23_GUARANTEES'!T10-'23_GUARANTEES'!T8))*'24_CONTINGENT_LIABILITIES'!$C$9</f>
        <v>2.30111433505148</v>
      </c>
      <c r="U18" s="58" t="n">
        <f aca="false">('24_CONTINGENT_LIABILITIES'!$C$6*'23_GUARANTEES'!U8+'24_CONTINGENT_LIABILITIES'!$C$7*MAX(0,'23_GUARANTEES'!U9-'16_REVENUE'!U22)+'24_CONTINGENT_LIABILITIES'!$C$8*MAX(0,'23_GUARANTEES'!U10-'23_GUARANTEES'!U8))*'24_CONTINGENT_LIABILITIES'!$C$9</f>
        <v>2.30286981541035</v>
      </c>
      <c r="V18" s="58" t="n">
        <f aca="false">('24_CONTINGENT_LIABILITIES'!$C$6*'23_GUARANTEES'!V8+'24_CONTINGENT_LIABILITIES'!$C$7*MAX(0,'23_GUARANTEES'!V9-'16_REVENUE'!V22)+'24_CONTINGENT_LIABILITIES'!$C$8*MAX(0,'23_GUARANTEES'!V10-'23_GUARANTEES'!V8))*'24_CONTINGENT_LIABILITIES'!$C$9</f>
        <v>2.30507139430838</v>
      </c>
      <c r="W18" s="58" t="n">
        <f aca="false">('24_CONTINGENT_LIABILITIES'!$C$6*'23_GUARANTEES'!W8+'24_CONTINGENT_LIABILITIES'!$C$7*MAX(0,'23_GUARANTEES'!W9-'16_REVENUE'!W22)+'24_CONTINGENT_LIABILITIES'!$C$8*MAX(0,'23_GUARANTEES'!W10-'23_GUARANTEES'!W8))*'24_CONTINGENT_LIABILITIES'!$C$9</f>
        <v>2.28340506855218</v>
      </c>
      <c r="X18" s="58" t="n">
        <f aca="false">('24_CONTINGENT_LIABILITIES'!$C$6*'23_GUARANTEES'!X8+'24_CONTINGENT_LIABILITIES'!$C$7*MAX(0,'23_GUARANTEES'!X9-'16_REVENUE'!X22)+'24_CONTINGENT_LIABILITIES'!$C$8*MAX(0,'23_GUARANTEES'!X10-'23_GUARANTEES'!X8))*'24_CONTINGENT_LIABILITIES'!$C$9</f>
        <v>2.28363907179975</v>
      </c>
      <c r="Y18" s="58" t="n">
        <f aca="false">('24_CONTINGENT_LIABILITIES'!$C$6*'23_GUARANTEES'!Y8+'24_CONTINGENT_LIABILITIES'!$C$7*MAX(0,'23_GUARANTEES'!Y9-'16_REVENUE'!Y22)+'24_CONTINGENT_LIABILITIES'!$C$8*MAX(0,'23_GUARANTEES'!Y10-'23_GUARANTEES'!Y8))*'24_CONTINGENT_LIABILITIES'!$C$9</f>
        <v>2.28029600785042</v>
      </c>
      <c r="Z18" s="58" t="n">
        <f aca="false">('24_CONTINGENT_LIABILITIES'!$C$6*'23_GUARANTEES'!Z8+'24_CONTINGENT_LIABILITIES'!$C$7*MAX(0,'23_GUARANTEES'!Z9-'16_REVENUE'!Z22)+'24_CONTINGENT_LIABILITIES'!$C$8*MAX(0,'23_GUARANTEES'!Z10-'23_GUARANTEES'!Z8))*'24_CONTINGENT_LIABILITIES'!$C$9</f>
        <v>2.27276707327097</v>
      </c>
      <c r="AA18" s="58" t="n">
        <f aca="false">('24_CONTINGENT_LIABILITIES'!$C$6*'23_GUARANTEES'!AA8+'24_CONTINGENT_LIABILITIES'!$C$7*MAX(0,'23_GUARANTEES'!AA9-'16_REVENUE'!AA22)+'24_CONTINGENT_LIABILITIES'!$C$8*MAX(0,'23_GUARANTEES'!AA10-'23_GUARANTEES'!AA8))*'24_CONTINGENT_LIABILITIES'!$C$9</f>
        <v>2.26035069924613</v>
      </c>
      <c r="AB18" s="58" t="n">
        <f aca="false">('24_CONTINGENT_LIABILITIES'!$C$6*'23_GUARANTEES'!AB8+'24_CONTINGENT_LIABILITIES'!$C$7*MAX(0,'23_GUARANTEES'!AB9-'16_REVENUE'!AB22)+'24_CONTINGENT_LIABILITIES'!$C$8*MAX(0,'23_GUARANTEES'!AB10-'23_GUARANTEES'!AB8))*'24_CONTINGENT_LIABILITIES'!$C$9</f>
        <v>2.25158267902526</v>
      </c>
      <c r="AC18" s="58" t="n">
        <f aca="false">('24_CONTINGENT_LIABILITIES'!$C$6*'23_GUARANTEES'!AC8+'24_CONTINGENT_LIABILITIES'!$C$7*MAX(0,'23_GUARANTEES'!AC9-'16_REVENUE'!AC22)+'24_CONTINGENT_LIABILITIES'!$C$8*MAX(0,'23_GUARANTEES'!AC10-'23_GUARANTEES'!AC8))*'24_CONTINGENT_LIABILITIES'!$C$9</f>
        <v>2.23758952930275</v>
      </c>
      <c r="AD18" s="58" t="n">
        <f aca="false">('24_CONTINGENT_LIABILITIES'!$C$6*'23_GUARANTEES'!AD8+'24_CONTINGENT_LIABILITIES'!$C$7*MAX(0,'23_GUARANTEES'!AD9-'16_REVENUE'!AD22)+'24_CONTINGENT_LIABILITIES'!$C$8*MAX(0,'23_GUARANTEES'!AD10-'23_GUARANTEES'!AD8))*'24_CONTINGENT_LIABILITIES'!$C$9</f>
        <v>2.21750928212397</v>
      </c>
      <c r="AE18" s="58" t="n">
        <f aca="false">('24_CONTINGENT_LIABILITIES'!$C$6*'23_GUARANTEES'!AE8+'24_CONTINGENT_LIABILITIES'!$C$7*MAX(0,'23_GUARANTEES'!AE9-'16_REVENUE'!AE22)+'24_CONTINGENT_LIABILITIES'!$C$8*MAX(0,'23_GUARANTEES'!AE10-'23_GUARANTEES'!AE8))*'24_CONTINGENT_LIABILITIES'!$C$9</f>
        <v>2.19034911037053</v>
      </c>
      <c r="AF18" s="58" t="n">
        <f aca="false">('24_CONTINGENT_LIABILITIES'!$C$6*'23_GUARANTEES'!AF8+'24_CONTINGENT_LIABILITIES'!$C$7*MAX(0,'23_GUARANTEES'!AF9-'16_REVENUE'!AF22)+'24_CONTINGENT_LIABILITIES'!$C$8*MAX(0,'23_GUARANTEES'!AF10-'23_GUARANTEES'!AF8))*'24_CONTINGENT_LIABILITIES'!$C$9</f>
        <v>2.15496566760628</v>
      </c>
      <c r="AG18" s="58" t="n">
        <f aca="false">('24_CONTINGENT_LIABILITIES'!$C$6*'23_GUARANTEES'!AG8+'24_CONTINGENT_LIABILITIES'!$C$7*MAX(0,'23_GUARANTEES'!AG9-'16_REVENUE'!AG22)+'24_CONTINGENT_LIABILITIES'!$C$8*MAX(0,'23_GUARANTEES'!AG10-'23_GUARANTEES'!AG8))*'24_CONTINGENT_LIABILITIES'!$C$9</f>
        <v>0</v>
      </c>
      <c r="AH18" s="58" t="n">
        <f aca="false">('24_CONTINGENT_LIABILITIES'!$C$6*'23_GUARANTEES'!AH8+'24_CONTINGENT_LIABILITIES'!$C$7*MAX(0,'23_GUARANTEES'!AH9-'16_REVENUE'!AH22)+'24_CONTINGENT_LIABILITIES'!$C$8*MAX(0,'23_GUARANTEES'!AH10-'23_GUARANTEES'!AH8))*'24_CONTINGENT_LIABILITIES'!$C$9</f>
        <v>0</v>
      </c>
      <c r="AI18" s="58" t="n">
        <f aca="false">('24_CONTINGENT_LIABILITIES'!$C$6*'23_GUARANTEES'!AI8+'24_CONTINGENT_LIABILITIES'!$C$7*MAX(0,'23_GUARANTEES'!AI9-'16_REVENUE'!AI22)+'24_CONTINGENT_LIABILITIES'!$C$8*MAX(0,'23_GUARANTEES'!AI10-'23_GUARANTEES'!AI8))*'24_CONTINGENT_LIABILITIES'!$C$9</f>
        <v>0</v>
      </c>
      <c r="AJ18" s="58" t="n">
        <f aca="false">('24_CONTINGENT_LIABILITIES'!$C$6*'23_GUARANTEES'!AJ8+'24_CONTINGENT_LIABILITIES'!$C$7*MAX(0,'23_GUARANTEES'!AJ9-'16_REVENUE'!AJ22)+'24_CONTINGENT_LIABILITIES'!$C$8*MAX(0,'23_GUARANTEES'!AJ10-'23_GUARANTEES'!AJ8))*'24_CONTINGENT_LIABILITIES'!$C$9</f>
        <v>0</v>
      </c>
      <c r="AK18" s="58" t="n">
        <f aca="false">('24_CONTINGENT_LIABILITIES'!$C$6*'23_GUARANTEES'!AK8+'24_CONTINGENT_LIABILITIES'!$C$7*MAX(0,'23_GUARANTEES'!AK9-'16_REVENUE'!AK22)+'24_CONTINGENT_LIABILITIES'!$C$8*MAX(0,'23_GUARANTEES'!AK10-'23_GUARANTEES'!AK8))*'24_CONTINGENT_LIABILITIES'!$C$9</f>
        <v>0</v>
      </c>
      <c r="AL18" s="58" t="n">
        <f aca="false">('24_CONTINGENT_LIABILITIES'!$C$6*'23_GUARANTEES'!AL8+'24_CONTINGENT_LIABILITIES'!$C$7*MAX(0,'23_GUARANTEES'!AL9-'16_REVENUE'!AL22)+'24_CONTINGENT_LIABILITIES'!$C$8*MAX(0,'23_GUARANTEES'!AL10-'23_GUARANTEES'!AL8))*'24_CONTINGENT_LIABILITIES'!$C$9</f>
        <v>0</v>
      </c>
      <c r="AM18" s="58" t="n">
        <f aca="false">('24_CONTINGENT_LIABILITIES'!$C$6*'23_GUARANTEES'!AM8+'24_CONTINGENT_LIABILITIES'!$C$7*MAX(0,'23_GUARANTEES'!AM9-'16_REVENUE'!AM22)+'24_CONTINGENT_LIABILITIES'!$C$8*MAX(0,'23_GUARANTEES'!AM10-'23_GUARANTEES'!AM8))*'24_CONTINGENT_LIABILITIES'!$C$9</f>
        <v>0</v>
      </c>
      <c r="AN18" s="58" t="n">
        <f aca="false">('24_CONTINGENT_LIABILITIES'!$C$6*'23_GUARANTEES'!AN8+'24_CONTINGENT_LIABILITIES'!$C$7*MAX(0,'23_GUARANTEES'!AN9-'16_REVENUE'!AN22)+'24_CONTINGENT_LIABILITIES'!$C$8*MAX(0,'23_GUARANTEES'!AN10-'23_GUARANTEES'!AN8))*'24_CONTINGENT_LIABILITIES'!$C$9</f>
        <v>0</v>
      </c>
      <c r="AO18" s="58" t="n">
        <f aca="false">('24_CONTINGENT_LIABILITIES'!$C$6*'23_GUARANTEES'!AO8+'24_CONTINGENT_LIABILITIES'!$C$7*MAX(0,'23_GUARANTEES'!AO9-'16_REVENUE'!AO22)+'24_CONTINGENT_LIABILITIES'!$C$8*MAX(0,'23_GUARANTEES'!AO10-'23_GUARANTEES'!AO8))*'24_CONTINGENT_LIABILITIES'!$C$9</f>
        <v>0</v>
      </c>
      <c r="AP18" s="58" t="n">
        <f aca="false">('24_CONTINGENT_LIABILITIES'!$C$6*'23_GUARANTEES'!AP8+'24_CONTINGENT_LIABILITIES'!$C$7*MAX(0,'23_GUARANTEES'!AP9-'16_REVENUE'!AP22)+'24_CONTINGENT_LIABILITIES'!$C$8*MAX(0,'23_GUARANTEES'!AP10-'23_GUARANTEES'!AP8))*'24_CONTINGENT_LIABILITIES'!$C$9</f>
        <v>0</v>
      </c>
      <c r="AQ18" s="58" t="n">
        <f aca="false">('24_CONTINGENT_LIABILITIES'!$C$6*'23_GUARANTEES'!AQ8+'24_CONTINGENT_LIABILITIES'!$C$7*MAX(0,'23_GUARANTEES'!AQ9-'16_REVENUE'!AQ22)+'24_CONTINGENT_LIABILITIES'!$C$8*MAX(0,'23_GUARANTEES'!AQ10-'23_GUARANTEES'!AQ8))*'24_CONTINGENT_LIABILITIES'!$C$9</f>
        <v>0</v>
      </c>
      <c r="AR18" s="58" t="n">
        <f aca="false">('24_CONTINGENT_LIABILITIES'!$C$6*'23_GUARANTEES'!AR8+'24_CONTINGENT_LIABILITIES'!$C$7*MAX(0,'23_GUARANTEES'!AR9-'16_REVENUE'!AR22)+'24_CONTINGENT_LIABILITIES'!$C$8*MAX(0,'23_GUARANTEES'!AR10-'23_GUARANTEES'!AR8))*'24_CONTINGENT_LIABILITIES'!$C$9</f>
        <v>0</v>
      </c>
    </row>
    <row r="19" customFormat="false" ht="15" hidden="false" customHeight="true" outlineLevel="0" collapsed="false">
      <c r="A19" s="23" t="s">
        <v>1006</v>
      </c>
      <c r="B19" s="23" t="s">
        <v>119</v>
      </c>
      <c r="E19" s="63" t="n">
        <f aca="false">1/(1+'02_PROJECT_INPUTS'!$C$24)^1</f>
        <v>0.925925925925926</v>
      </c>
      <c r="F19" s="63" t="n">
        <f aca="false">1/(1+'02_PROJECT_INPUTS'!$C$24)^2</f>
        <v>0.857338820301783</v>
      </c>
      <c r="G19" s="63" t="n">
        <f aca="false">1/(1+'02_PROJECT_INPUTS'!$C$24)^3</f>
        <v>0.79383224102017</v>
      </c>
      <c r="H19" s="63" t="n">
        <f aca="false">1/(1+'02_PROJECT_INPUTS'!$C$24)^4</f>
        <v>0.735029852796453</v>
      </c>
      <c r="I19" s="63" t="n">
        <f aca="false">1/(1+'02_PROJECT_INPUTS'!$C$24)^5</f>
        <v>0.680583197033753</v>
      </c>
      <c r="J19" s="63" t="n">
        <f aca="false">1/(1+'02_PROJECT_INPUTS'!$C$24)^6</f>
        <v>0.630169626883105</v>
      </c>
      <c r="K19" s="63" t="n">
        <f aca="false">1/(1+'02_PROJECT_INPUTS'!$C$24)^7</f>
        <v>0.583490395262134</v>
      </c>
      <c r="L19" s="63" t="n">
        <f aca="false">1/(1+'02_PROJECT_INPUTS'!$C$24)^8</f>
        <v>0.540268884501976</v>
      </c>
      <c r="M19" s="63" t="n">
        <f aca="false">1/(1+'02_PROJECT_INPUTS'!$C$24)^9</f>
        <v>0.500248967131459</v>
      </c>
      <c r="N19" s="63" t="n">
        <f aca="false">1/(1+'02_PROJECT_INPUTS'!$C$24)^10</f>
        <v>0.463193488084684</v>
      </c>
      <c r="O19" s="63" t="n">
        <f aca="false">1/(1+'02_PROJECT_INPUTS'!$C$24)^11</f>
        <v>0.428882859337671</v>
      </c>
      <c r="P19" s="63" t="n">
        <f aca="false">1/(1+'02_PROJECT_INPUTS'!$C$24)^12</f>
        <v>0.397113758645991</v>
      </c>
      <c r="Q19" s="63" t="n">
        <f aca="false">1/(1+'02_PROJECT_INPUTS'!$C$24)^13</f>
        <v>0.367697924672214</v>
      </c>
      <c r="R19" s="63" t="n">
        <f aca="false">1/(1+'02_PROJECT_INPUTS'!$C$24)^14</f>
        <v>0.340461041363161</v>
      </c>
      <c r="S19" s="63" t="n">
        <f aca="false">1/(1+'02_PROJECT_INPUTS'!$C$24)^15</f>
        <v>0.31524170496589</v>
      </c>
      <c r="T19" s="63" t="n">
        <f aca="false">1/(1+'02_PROJECT_INPUTS'!$C$24)^16</f>
        <v>0.291890467561009</v>
      </c>
      <c r="U19" s="63" t="n">
        <f aca="false">1/(1+'02_PROJECT_INPUTS'!$C$24)^17</f>
        <v>0.270268951445379</v>
      </c>
      <c r="V19" s="63" t="n">
        <f aca="false">1/(1+'02_PROJECT_INPUTS'!$C$24)^18</f>
        <v>0.250249029116092</v>
      </c>
      <c r="W19" s="63" t="n">
        <f aca="false">1/(1+'02_PROJECT_INPUTS'!$C$24)^19</f>
        <v>0.231712063996381</v>
      </c>
      <c r="X19" s="63" t="n">
        <f aca="false">1/(1+'02_PROJECT_INPUTS'!$C$24)^20</f>
        <v>0.214548207404056</v>
      </c>
      <c r="Y19" s="63" t="n">
        <f aca="false">1/(1+'02_PROJECT_INPUTS'!$C$24)^21</f>
        <v>0.198655747596349</v>
      </c>
      <c r="Z19" s="63" t="n">
        <f aca="false">1/(1+'02_PROJECT_INPUTS'!$C$24)^22</f>
        <v>0.183940507033656</v>
      </c>
      <c r="AA19" s="63" t="n">
        <f aca="false">1/(1+'02_PROJECT_INPUTS'!$C$24)^23</f>
        <v>0.170315284290422</v>
      </c>
      <c r="AB19" s="63" t="n">
        <f aca="false">1/(1+'02_PROJECT_INPUTS'!$C$24)^24</f>
        <v>0.157699337305947</v>
      </c>
      <c r="AC19" s="63" t="n">
        <f aca="false">1/(1+'02_PROJECT_INPUTS'!$C$24)^25</f>
        <v>0.146017904912913</v>
      </c>
      <c r="AD19" s="63" t="n">
        <f aca="false">1/(1+'02_PROJECT_INPUTS'!$C$24)^26</f>
        <v>0.135201763808253</v>
      </c>
      <c r="AE19" s="63" t="n">
        <f aca="false">1/(1+'02_PROJECT_INPUTS'!$C$24)^27</f>
        <v>0.125186818340975</v>
      </c>
      <c r="AF19" s="63" t="n">
        <f aca="false">1/(1+'02_PROJECT_INPUTS'!$C$24)^28</f>
        <v>0.115913720686088</v>
      </c>
      <c r="AG19" s="63" t="n">
        <f aca="false">1/(1+'02_PROJECT_INPUTS'!$C$24)^29</f>
        <v>0.107327519153785</v>
      </c>
      <c r="AH19" s="63" t="n">
        <f aca="false">1/(1+'02_PROJECT_INPUTS'!$C$24)^30</f>
        <v>0.0993773325498012</v>
      </c>
      <c r="AI19" s="63" t="n">
        <f aca="false">1/(1+'02_PROJECT_INPUTS'!$C$24)^31</f>
        <v>0.0920160486572233</v>
      </c>
      <c r="AJ19" s="63" t="n">
        <f aca="false">1/(1+'02_PROJECT_INPUTS'!$C$24)^32</f>
        <v>0.0852000450529845</v>
      </c>
      <c r="AK19" s="63" t="n">
        <f aca="false">1/(1+'02_PROJECT_INPUTS'!$C$24)^33</f>
        <v>0.0788889306046153</v>
      </c>
      <c r="AL19" s="63" t="n">
        <f aca="false">1/(1+'02_PROJECT_INPUTS'!$C$24)^34</f>
        <v>0.0730453061153845</v>
      </c>
      <c r="AM19" s="63" t="n">
        <f aca="false">1/(1+'02_PROJECT_INPUTS'!$C$24)^35</f>
        <v>0.0676345426994301</v>
      </c>
      <c r="AN19" s="63" t="n">
        <f aca="false">1/(1+'02_PROJECT_INPUTS'!$C$24)^36</f>
        <v>0.0626245765735464</v>
      </c>
      <c r="AO19" s="63" t="n">
        <f aca="false">1/(1+'02_PROJECT_INPUTS'!$C$24)^37</f>
        <v>0.05798571904958</v>
      </c>
      <c r="AP19" s="63" t="n">
        <f aca="false">1/(1+'02_PROJECT_INPUTS'!$C$24)^38</f>
        <v>0.053690480601463</v>
      </c>
      <c r="AQ19" s="63" t="n">
        <f aca="false">1/(1+'02_PROJECT_INPUTS'!$C$24)^39</f>
        <v>0.0497134079643176</v>
      </c>
      <c r="AR19" s="63" t="n">
        <f aca="false">1/(1+'02_PROJECT_INPUTS'!$C$24)^40</f>
        <v>0.046030933300294</v>
      </c>
    </row>
    <row r="20" customFormat="false" ht="15" hidden="false" customHeight="true" outlineLevel="0" collapsed="false">
      <c r="A20" s="19" t="s">
        <v>1007</v>
      </c>
      <c r="B20" s="23" t="s">
        <v>121</v>
      </c>
      <c r="C20" s="67" t="n">
        <f aca="false">'24_CONTINGENT_LIABILITIES'!$C$11</f>
        <v>225.401649065097</v>
      </c>
    </row>
    <row r="21" customFormat="false" ht="15" hidden="false" customHeight="true" outlineLevel="0" collapsed="false">
      <c r="A21" s="19" t="s">
        <v>1008</v>
      </c>
      <c r="B21" s="23" t="s">
        <v>121</v>
      </c>
      <c r="C21" s="67" t="n">
        <f aca="false">SUMPRODUCT('24_CONTINGENT_LIABILITIES'!$E$18:$AR$18,'24_CONTINGENT_LIABILITIES'!$E$19:$AR$19)</f>
        <v>20.3881612061118</v>
      </c>
    </row>
    <row r="22" customFormat="false" ht="15" hidden="false" customHeight="true" outlineLevel="0" collapsed="false">
      <c r="A22" s="19" t="s">
        <v>1009</v>
      </c>
      <c r="B22" s="23" t="s">
        <v>121</v>
      </c>
      <c r="C22" s="67" t="n">
        <f aca="false">SUMPRODUCT('24_CONTINGENT_LIABILITIES'!$E$16:$AR$16,'24_CONTINGENT_LIABILITIES'!$E$19:$AR$19)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R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1010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1011</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1" t="s">
        <v>1012</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ustomFormat="false" ht="15" hidden="false" customHeight="true" outlineLevel="0" collapsed="false">
      <c r="A7" s="23" t="s">
        <v>1013</v>
      </c>
      <c r="B7" s="23" t="s">
        <v>121</v>
      </c>
      <c r="C7" s="58" t="n">
        <f aca="false">SUM('25_FISCAL_IMPACT'!$E$7:$AR$7)</f>
        <v>0</v>
      </c>
      <c r="E7" s="58" t="n">
        <f aca="false">-'22_GOVERNMENT_SUPPORT'!E11</f>
        <v>-0</v>
      </c>
      <c r="F7" s="58" t="n">
        <f aca="false">-'22_GOVERNMENT_SUPPORT'!F11</f>
        <v>-0</v>
      </c>
      <c r="G7" s="58" t="n">
        <f aca="false">-'22_GOVERNMENT_SUPPORT'!G11</f>
        <v>-0</v>
      </c>
      <c r="H7" s="58" t="n">
        <f aca="false">-'22_GOVERNMENT_SUPPORT'!H11</f>
        <v>-0</v>
      </c>
      <c r="I7" s="58" t="n">
        <f aca="false">-'22_GOVERNMENT_SUPPORT'!I11</f>
        <v>-0</v>
      </c>
      <c r="J7" s="58" t="n">
        <f aca="false">-'22_GOVERNMENT_SUPPORT'!J11</f>
        <v>-0</v>
      </c>
      <c r="K7" s="58" t="n">
        <f aca="false">-'22_GOVERNMENT_SUPPORT'!K11</f>
        <v>-0</v>
      </c>
      <c r="L7" s="58" t="n">
        <f aca="false">-'22_GOVERNMENT_SUPPORT'!L11</f>
        <v>-0</v>
      </c>
      <c r="M7" s="58" t="n">
        <f aca="false">-'22_GOVERNMENT_SUPPORT'!M11</f>
        <v>-0</v>
      </c>
      <c r="N7" s="58" t="n">
        <f aca="false">-'22_GOVERNMENT_SUPPORT'!N11</f>
        <v>-0</v>
      </c>
      <c r="O7" s="58" t="n">
        <f aca="false">-'22_GOVERNMENT_SUPPORT'!O11</f>
        <v>-0</v>
      </c>
      <c r="P7" s="58" t="n">
        <f aca="false">-'22_GOVERNMENT_SUPPORT'!P11</f>
        <v>-0</v>
      </c>
      <c r="Q7" s="58" t="n">
        <f aca="false">-'22_GOVERNMENT_SUPPORT'!Q11</f>
        <v>-0</v>
      </c>
      <c r="R7" s="58" t="n">
        <f aca="false">-'22_GOVERNMENT_SUPPORT'!R11</f>
        <v>-0</v>
      </c>
      <c r="S7" s="58" t="n">
        <f aca="false">-'22_GOVERNMENT_SUPPORT'!S11</f>
        <v>-0</v>
      </c>
      <c r="T7" s="58" t="n">
        <f aca="false">-'22_GOVERNMENT_SUPPORT'!T11</f>
        <v>-0</v>
      </c>
      <c r="U7" s="58" t="n">
        <f aca="false">-'22_GOVERNMENT_SUPPORT'!U11</f>
        <v>-0</v>
      </c>
      <c r="V7" s="58" t="n">
        <f aca="false">-'22_GOVERNMENT_SUPPORT'!V11</f>
        <v>-0</v>
      </c>
      <c r="W7" s="58" t="n">
        <f aca="false">-'22_GOVERNMENT_SUPPORT'!W11</f>
        <v>-0</v>
      </c>
      <c r="X7" s="58" t="n">
        <f aca="false">-'22_GOVERNMENT_SUPPORT'!X11</f>
        <v>-0</v>
      </c>
      <c r="Y7" s="58" t="n">
        <f aca="false">-'22_GOVERNMENT_SUPPORT'!Y11</f>
        <v>-0</v>
      </c>
      <c r="Z7" s="58" t="n">
        <f aca="false">-'22_GOVERNMENT_SUPPORT'!Z11</f>
        <v>-0</v>
      </c>
      <c r="AA7" s="58" t="n">
        <f aca="false">-'22_GOVERNMENT_SUPPORT'!AA11</f>
        <v>-0</v>
      </c>
      <c r="AB7" s="58" t="n">
        <f aca="false">-'22_GOVERNMENT_SUPPORT'!AB11</f>
        <v>-0</v>
      </c>
      <c r="AC7" s="58" t="n">
        <f aca="false">-'22_GOVERNMENT_SUPPORT'!AC11</f>
        <v>-0</v>
      </c>
      <c r="AD7" s="58" t="n">
        <f aca="false">-'22_GOVERNMENT_SUPPORT'!AD11</f>
        <v>-0</v>
      </c>
      <c r="AE7" s="58" t="n">
        <f aca="false">-'22_GOVERNMENT_SUPPORT'!AE11</f>
        <v>-0</v>
      </c>
      <c r="AF7" s="58" t="n">
        <f aca="false">-'22_GOVERNMENT_SUPPORT'!AF11</f>
        <v>-0</v>
      </c>
      <c r="AG7" s="58" t="n">
        <f aca="false">-'22_GOVERNMENT_SUPPORT'!AG11</f>
        <v>-0</v>
      </c>
      <c r="AH7" s="58" t="n">
        <f aca="false">-'22_GOVERNMENT_SUPPORT'!AH11</f>
        <v>-0</v>
      </c>
      <c r="AI7" s="58" t="n">
        <f aca="false">-'22_GOVERNMENT_SUPPORT'!AI11</f>
        <v>-0</v>
      </c>
      <c r="AJ7" s="58" t="n">
        <f aca="false">-'22_GOVERNMENT_SUPPORT'!AJ11</f>
        <v>-0</v>
      </c>
      <c r="AK7" s="58" t="n">
        <f aca="false">-'22_GOVERNMENT_SUPPORT'!AK11</f>
        <v>-0</v>
      </c>
      <c r="AL7" s="58" t="n">
        <f aca="false">-'22_GOVERNMENT_SUPPORT'!AL11</f>
        <v>-0</v>
      </c>
      <c r="AM7" s="58" t="n">
        <f aca="false">-'22_GOVERNMENT_SUPPORT'!AM11</f>
        <v>-0</v>
      </c>
      <c r="AN7" s="58" t="n">
        <f aca="false">-'22_GOVERNMENT_SUPPORT'!AN11</f>
        <v>-0</v>
      </c>
      <c r="AO7" s="58" t="n">
        <f aca="false">-'22_GOVERNMENT_SUPPORT'!AO11</f>
        <v>-0</v>
      </c>
      <c r="AP7" s="58" t="n">
        <f aca="false">-'22_GOVERNMENT_SUPPORT'!AP11</f>
        <v>-0</v>
      </c>
      <c r="AQ7" s="58" t="n">
        <f aca="false">-'22_GOVERNMENT_SUPPORT'!AQ11</f>
        <v>-0</v>
      </c>
      <c r="AR7" s="58" t="n">
        <f aca="false">-'22_GOVERNMENT_SUPPORT'!AR11</f>
        <v>-0</v>
      </c>
    </row>
    <row r="8" customFormat="false" ht="15" hidden="false" customHeight="true" outlineLevel="0" collapsed="false">
      <c r="A8" s="23" t="s">
        <v>1014</v>
      </c>
      <c r="B8" s="23" t="s">
        <v>121</v>
      </c>
      <c r="C8" s="58" t="n">
        <f aca="false">SUM('25_FISCAL_IMPACT'!$E$8:$AR$8)</f>
        <v>0</v>
      </c>
      <c r="E8" s="58" t="n">
        <f aca="false">-'24_CONTINGENT_LIABILITIES'!E16</f>
        <v>-0</v>
      </c>
      <c r="F8" s="58" t="n">
        <f aca="false">-'24_CONTINGENT_LIABILITIES'!F16</f>
        <v>-0</v>
      </c>
      <c r="G8" s="58" t="n">
        <f aca="false">-'24_CONTINGENT_LIABILITIES'!G16</f>
        <v>-0</v>
      </c>
      <c r="H8" s="58" t="n">
        <f aca="false">-'24_CONTINGENT_LIABILITIES'!H16</f>
        <v>-0</v>
      </c>
      <c r="I8" s="58" t="n">
        <f aca="false">-'24_CONTINGENT_LIABILITIES'!I16</f>
        <v>-0</v>
      </c>
      <c r="J8" s="58" t="n">
        <f aca="false">-'24_CONTINGENT_LIABILITIES'!J16</f>
        <v>-0</v>
      </c>
      <c r="K8" s="58" t="n">
        <f aca="false">-'24_CONTINGENT_LIABILITIES'!K16</f>
        <v>-0</v>
      </c>
      <c r="L8" s="58" t="n">
        <f aca="false">-'24_CONTINGENT_LIABILITIES'!L16</f>
        <v>-0</v>
      </c>
      <c r="M8" s="58" t="n">
        <f aca="false">-'24_CONTINGENT_LIABILITIES'!M16</f>
        <v>-0</v>
      </c>
      <c r="N8" s="58" t="n">
        <f aca="false">-'24_CONTINGENT_LIABILITIES'!N16</f>
        <v>-0</v>
      </c>
      <c r="O8" s="58" t="n">
        <f aca="false">-'24_CONTINGENT_LIABILITIES'!O16</f>
        <v>-0</v>
      </c>
      <c r="P8" s="58" t="n">
        <f aca="false">-'24_CONTINGENT_LIABILITIES'!P16</f>
        <v>-0</v>
      </c>
      <c r="Q8" s="58" t="n">
        <f aca="false">-'24_CONTINGENT_LIABILITIES'!Q16</f>
        <v>-0</v>
      </c>
      <c r="R8" s="58" t="n">
        <f aca="false">-'24_CONTINGENT_LIABILITIES'!R16</f>
        <v>-0</v>
      </c>
      <c r="S8" s="58" t="n">
        <f aca="false">-'24_CONTINGENT_LIABILITIES'!S16</f>
        <v>-0</v>
      </c>
      <c r="T8" s="58" t="n">
        <f aca="false">-'24_CONTINGENT_LIABILITIES'!T16</f>
        <v>-0</v>
      </c>
      <c r="U8" s="58" t="n">
        <f aca="false">-'24_CONTINGENT_LIABILITIES'!U16</f>
        <v>-0</v>
      </c>
      <c r="V8" s="58" t="n">
        <f aca="false">-'24_CONTINGENT_LIABILITIES'!V16</f>
        <v>-0</v>
      </c>
      <c r="W8" s="58" t="n">
        <f aca="false">-'24_CONTINGENT_LIABILITIES'!W16</f>
        <v>-0</v>
      </c>
      <c r="X8" s="58" t="n">
        <f aca="false">-'24_CONTINGENT_LIABILITIES'!X16</f>
        <v>-0</v>
      </c>
      <c r="Y8" s="58" t="n">
        <f aca="false">-'24_CONTINGENT_LIABILITIES'!Y16</f>
        <v>-0</v>
      </c>
      <c r="Z8" s="58" t="n">
        <f aca="false">-'24_CONTINGENT_LIABILITIES'!Z16</f>
        <v>-0</v>
      </c>
      <c r="AA8" s="58" t="n">
        <f aca="false">-'24_CONTINGENT_LIABILITIES'!AA16</f>
        <v>-0</v>
      </c>
      <c r="AB8" s="58" t="n">
        <f aca="false">-'24_CONTINGENT_LIABILITIES'!AB16</f>
        <v>-0</v>
      </c>
      <c r="AC8" s="58" t="n">
        <f aca="false">-'24_CONTINGENT_LIABILITIES'!AC16</f>
        <v>-0</v>
      </c>
      <c r="AD8" s="58" t="n">
        <f aca="false">-'24_CONTINGENT_LIABILITIES'!AD16</f>
        <v>-0</v>
      </c>
      <c r="AE8" s="58" t="n">
        <f aca="false">-'24_CONTINGENT_LIABILITIES'!AE16</f>
        <v>-0</v>
      </c>
      <c r="AF8" s="58" t="n">
        <f aca="false">-'24_CONTINGENT_LIABILITIES'!AF16</f>
        <v>-0</v>
      </c>
      <c r="AG8" s="58" t="n">
        <f aca="false">-'24_CONTINGENT_LIABILITIES'!AG16</f>
        <v>-0</v>
      </c>
      <c r="AH8" s="58" t="n">
        <f aca="false">-'24_CONTINGENT_LIABILITIES'!AH16</f>
        <v>-0</v>
      </c>
      <c r="AI8" s="58" t="n">
        <f aca="false">-'24_CONTINGENT_LIABILITIES'!AI16</f>
        <v>-0</v>
      </c>
      <c r="AJ8" s="58" t="n">
        <f aca="false">-'24_CONTINGENT_LIABILITIES'!AJ16</f>
        <v>-0</v>
      </c>
      <c r="AK8" s="58" t="n">
        <f aca="false">-'24_CONTINGENT_LIABILITIES'!AK16</f>
        <v>-0</v>
      </c>
      <c r="AL8" s="58" t="n">
        <f aca="false">-'24_CONTINGENT_LIABILITIES'!AL16</f>
        <v>-0</v>
      </c>
      <c r="AM8" s="58" t="n">
        <f aca="false">-'24_CONTINGENT_LIABILITIES'!AM16</f>
        <v>-0</v>
      </c>
      <c r="AN8" s="58" t="n">
        <f aca="false">-'24_CONTINGENT_LIABILITIES'!AN16</f>
        <v>-0</v>
      </c>
      <c r="AO8" s="58" t="n">
        <f aca="false">-'24_CONTINGENT_LIABILITIES'!AO16</f>
        <v>-0</v>
      </c>
      <c r="AP8" s="58" t="n">
        <f aca="false">-'24_CONTINGENT_LIABILITIES'!AP16</f>
        <v>-0</v>
      </c>
      <c r="AQ8" s="58" t="n">
        <f aca="false">-'24_CONTINGENT_LIABILITIES'!AQ16</f>
        <v>-0</v>
      </c>
      <c r="AR8" s="58" t="n">
        <f aca="false">-'24_CONTINGENT_LIABILITIES'!AR16</f>
        <v>-0</v>
      </c>
    </row>
    <row r="9" customFormat="false" ht="15" hidden="false" customHeight="true" outlineLevel="0" collapsed="false">
      <c r="A9" s="21" t="s">
        <v>1015</v>
      </c>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row>
    <row r="10" customFormat="false" ht="15" hidden="false" customHeight="true" outlineLevel="0" collapsed="false">
      <c r="A10" s="23" t="s">
        <v>1016</v>
      </c>
      <c r="B10" s="23" t="s">
        <v>121</v>
      </c>
      <c r="C10" s="58" t="n">
        <f aca="false">SUM('25_FISCAL_IMPACT'!$E$10:$AR$10)</f>
        <v>121.734109194601</v>
      </c>
      <c r="E10" s="79" t="n">
        <f aca="false">'21_TAX'!E18</f>
        <v>0</v>
      </c>
      <c r="F10" s="79" t="n">
        <f aca="false">'21_TAX'!F18</f>
        <v>0</v>
      </c>
      <c r="G10" s="79" t="n">
        <f aca="false">'21_TAX'!G18</f>
        <v>0</v>
      </c>
      <c r="H10" s="79" t="n">
        <f aca="false">'21_TAX'!H18</f>
        <v>0</v>
      </c>
      <c r="I10" s="79" t="n">
        <f aca="false">'21_TAX'!I18</f>
        <v>0</v>
      </c>
      <c r="J10" s="79" t="n">
        <f aca="false">'21_TAX'!J18</f>
        <v>0</v>
      </c>
      <c r="K10" s="79" t="n">
        <f aca="false">'21_TAX'!K18</f>
        <v>0</v>
      </c>
      <c r="L10" s="79" t="n">
        <f aca="false">'21_TAX'!L18</f>
        <v>0</v>
      </c>
      <c r="M10" s="79" t="n">
        <f aca="false">'21_TAX'!M18</f>
        <v>2.77132081304349</v>
      </c>
      <c r="N10" s="79" t="n">
        <f aca="false">'21_TAX'!N18</f>
        <v>2.99307511648138</v>
      </c>
      <c r="O10" s="79" t="n">
        <f aca="false">'21_TAX'!O18</f>
        <v>3.23079051970193</v>
      </c>
      <c r="P10" s="79" t="n">
        <f aca="false">'21_TAX'!P18</f>
        <v>3.48570832579792</v>
      </c>
      <c r="Q10" s="79" t="n">
        <f aca="false">'21_TAX'!Q18</f>
        <v>3.75916843041174</v>
      </c>
      <c r="R10" s="79" t="n">
        <f aca="false">'21_TAX'!R18</f>
        <v>4.05261719490541</v>
      </c>
      <c r="S10" s="79" t="n">
        <f aca="false">'21_TAX'!S18</f>
        <v>4.36761594909953</v>
      </c>
      <c r="T10" s="79" t="n">
        <f aca="false">'21_TAX'!T18</f>
        <v>4.70585017394097</v>
      </c>
      <c r="U10" s="79" t="n">
        <f aca="false">'21_TAX'!U18</f>
        <v>5.06913941848774</v>
      </c>
      <c r="V10" s="79" t="n">
        <f aca="false">'21_TAX'!V18</f>
        <v>5.45944800995064</v>
      </c>
      <c r="W10" s="79" t="n">
        <f aca="false">'21_TAX'!W18</f>
        <v>5.87889662022999</v>
      </c>
      <c r="X10" s="79" t="n">
        <f aca="false">'21_TAX'!X18</f>
        <v>6.3297747574611</v>
      </c>
      <c r="Y10" s="79" t="n">
        <f aca="false">'21_TAX'!Y18</f>
        <v>6.42039031726537</v>
      </c>
      <c r="Z10" s="79" t="n">
        <f aca="false">'21_TAX'!Z18</f>
        <v>6.51281818826572</v>
      </c>
      <c r="AA10" s="79" t="n">
        <f aca="false">'21_TAX'!AA18</f>
        <v>6.60709461668609</v>
      </c>
      <c r="AB10" s="79" t="n">
        <f aca="false">'21_TAX'!AB18</f>
        <v>9.81794695745743</v>
      </c>
      <c r="AC10" s="79" t="n">
        <f aca="false">'21_TAX'!AC18</f>
        <v>9.91603215358597</v>
      </c>
      <c r="AD10" s="79" t="n">
        <f aca="false">'21_TAX'!AD18</f>
        <v>10.0160790536371</v>
      </c>
      <c r="AE10" s="79" t="n">
        <f aca="false">'21_TAX'!AE18</f>
        <v>10.1181268916892</v>
      </c>
      <c r="AF10" s="79" t="n">
        <f aca="false">'21_TAX'!AF18</f>
        <v>10.2222156865024</v>
      </c>
      <c r="AG10" s="79" t="n">
        <f aca="false">'21_TAX'!AG18</f>
        <v>0</v>
      </c>
      <c r="AH10" s="79" t="n">
        <f aca="false">'21_TAX'!AH18</f>
        <v>0</v>
      </c>
      <c r="AI10" s="79" t="n">
        <f aca="false">'21_TAX'!AI18</f>
        <v>0</v>
      </c>
      <c r="AJ10" s="79" t="n">
        <f aca="false">'21_TAX'!AJ18</f>
        <v>0</v>
      </c>
      <c r="AK10" s="79" t="n">
        <f aca="false">'21_TAX'!AK18</f>
        <v>0</v>
      </c>
      <c r="AL10" s="79" t="n">
        <f aca="false">'21_TAX'!AL18</f>
        <v>0</v>
      </c>
      <c r="AM10" s="79" t="n">
        <f aca="false">'21_TAX'!AM18</f>
        <v>0</v>
      </c>
      <c r="AN10" s="79" t="n">
        <f aca="false">'21_TAX'!AN18</f>
        <v>0</v>
      </c>
      <c r="AO10" s="79" t="n">
        <f aca="false">'21_TAX'!AO18</f>
        <v>0</v>
      </c>
      <c r="AP10" s="79" t="n">
        <f aca="false">'21_TAX'!AP18</f>
        <v>0</v>
      </c>
      <c r="AQ10" s="79" t="n">
        <f aca="false">'21_TAX'!AQ18</f>
        <v>0</v>
      </c>
      <c r="AR10" s="79" t="n">
        <f aca="false">'21_TAX'!AR18</f>
        <v>0</v>
      </c>
    </row>
    <row r="11" customFormat="false" ht="15" hidden="false" customHeight="true" outlineLevel="0" collapsed="false">
      <c r="A11" s="23" t="s">
        <v>919</v>
      </c>
      <c r="B11" s="23" t="s">
        <v>121</v>
      </c>
      <c r="C11" s="58" t="n">
        <f aca="false">SUM('25_FISCAL_IMPACT'!$E$11:$AR$11)</f>
        <v>25.2325598325614</v>
      </c>
      <c r="E11" s="79" t="n">
        <f aca="false">'07_OPEX'!E21</f>
        <v>0</v>
      </c>
      <c r="F11" s="79" t="n">
        <f aca="false">'07_OPEX'!F21</f>
        <v>0</v>
      </c>
      <c r="G11" s="79" t="n">
        <f aca="false">'07_OPEX'!G21</f>
        <v>0</v>
      </c>
      <c r="H11" s="79" t="n">
        <f aca="false">'07_OPEX'!H21</f>
        <v>0.672756405801438</v>
      </c>
      <c r="I11" s="79" t="n">
        <f aca="false">'07_OPEX'!I21</f>
        <v>0.807307686961726</v>
      </c>
      <c r="J11" s="79" t="n">
        <f aca="false">'07_OPEX'!J21</f>
        <v>0.82345384070096</v>
      </c>
      <c r="K11" s="79" t="n">
        <f aca="false">'07_OPEX'!K21</f>
        <v>0.839922917514979</v>
      </c>
      <c r="L11" s="79" t="n">
        <f aca="false">'07_OPEX'!L21</f>
        <v>0.856721375865279</v>
      </c>
      <c r="M11" s="79" t="n">
        <f aca="false">'07_OPEX'!M21</f>
        <v>0.873855803382585</v>
      </c>
      <c r="N11" s="79" t="n">
        <f aca="false">'07_OPEX'!N21</f>
        <v>0.891332919450236</v>
      </c>
      <c r="O11" s="79" t="n">
        <f aca="false">'07_OPEX'!O21</f>
        <v>0.909159577839241</v>
      </c>
      <c r="P11" s="79" t="n">
        <f aca="false">'07_OPEX'!P21</f>
        <v>0.927342769396026</v>
      </c>
      <c r="Q11" s="79" t="n">
        <f aca="false">'07_OPEX'!Q21</f>
        <v>0.945889624783946</v>
      </c>
      <c r="R11" s="79" t="n">
        <f aca="false">'07_OPEX'!R21</f>
        <v>0.964807417279625</v>
      </c>
      <c r="S11" s="79" t="n">
        <f aca="false">'07_OPEX'!S21</f>
        <v>0.984103565625218</v>
      </c>
      <c r="T11" s="79" t="n">
        <f aca="false">'07_OPEX'!T21</f>
        <v>1.00378563693772</v>
      </c>
      <c r="U11" s="79" t="n">
        <f aca="false">'07_OPEX'!U21</f>
        <v>1.02386134967648</v>
      </c>
      <c r="V11" s="79" t="n">
        <f aca="false">'07_OPEX'!V21</f>
        <v>1.04433857667001</v>
      </c>
      <c r="W11" s="79" t="n">
        <f aca="false">'07_OPEX'!W21</f>
        <v>1.06522534820341</v>
      </c>
      <c r="X11" s="79" t="n">
        <f aca="false">'07_OPEX'!X21</f>
        <v>1.08652985516747</v>
      </c>
      <c r="Y11" s="79" t="n">
        <f aca="false">'07_OPEX'!Y21</f>
        <v>1.10826045227082</v>
      </c>
      <c r="Z11" s="79" t="n">
        <f aca="false">'07_OPEX'!Z21</f>
        <v>1.13042566131624</v>
      </c>
      <c r="AA11" s="79" t="n">
        <f aca="false">'07_OPEX'!AA21</f>
        <v>1.15303417454257</v>
      </c>
      <c r="AB11" s="79" t="n">
        <f aca="false">'07_OPEX'!AB21</f>
        <v>1.17609485803342</v>
      </c>
      <c r="AC11" s="79" t="n">
        <f aca="false">'07_OPEX'!AC21</f>
        <v>1.19961675519409</v>
      </c>
      <c r="AD11" s="79" t="n">
        <f aca="false">'07_OPEX'!AD21</f>
        <v>1.22360909029797</v>
      </c>
      <c r="AE11" s="79" t="n">
        <f aca="false">'07_OPEX'!AE21</f>
        <v>1.24808127210393</v>
      </c>
      <c r="AF11" s="79" t="n">
        <f aca="false">'07_OPEX'!AF21</f>
        <v>1.273042897546</v>
      </c>
      <c r="AG11" s="79" t="n">
        <f aca="false">'07_OPEX'!AG21</f>
        <v>0</v>
      </c>
      <c r="AH11" s="79" t="n">
        <f aca="false">'07_OPEX'!AH21</f>
        <v>0</v>
      </c>
      <c r="AI11" s="79" t="n">
        <f aca="false">'07_OPEX'!AI21</f>
        <v>0</v>
      </c>
      <c r="AJ11" s="79" t="n">
        <f aca="false">'07_OPEX'!AJ21</f>
        <v>0</v>
      </c>
      <c r="AK11" s="79" t="n">
        <f aca="false">'07_OPEX'!AK21</f>
        <v>0</v>
      </c>
      <c r="AL11" s="79" t="n">
        <f aca="false">'07_OPEX'!AL21</f>
        <v>0</v>
      </c>
      <c r="AM11" s="79" t="n">
        <f aca="false">'07_OPEX'!AM21</f>
        <v>0</v>
      </c>
      <c r="AN11" s="79" t="n">
        <f aca="false">'07_OPEX'!AN21</f>
        <v>0</v>
      </c>
      <c r="AO11" s="79" t="n">
        <f aca="false">'07_OPEX'!AO21</f>
        <v>0</v>
      </c>
      <c r="AP11" s="79" t="n">
        <f aca="false">'07_OPEX'!AP21</f>
        <v>0</v>
      </c>
      <c r="AQ11" s="79" t="n">
        <f aca="false">'07_OPEX'!AQ21</f>
        <v>0</v>
      </c>
      <c r="AR11" s="79" t="n">
        <f aca="false">'07_OPEX'!AR21</f>
        <v>0</v>
      </c>
    </row>
    <row r="12" customFormat="false" ht="15" hidden="false" customHeight="true" outlineLevel="0" collapsed="false">
      <c r="A12" s="23" t="s">
        <v>1017</v>
      </c>
      <c r="B12" s="23" t="s">
        <v>121</v>
      </c>
      <c r="C12" s="58" t="n">
        <f aca="false">SUM('25_FISCAL_IMPACT'!$E$12:$AR$12)</f>
        <v>0</v>
      </c>
      <c r="E12" s="58" t="n">
        <f aca="false">'19_EQUITY'!E16-'20_CASH_FLOW'!E38*'19_EQUITY'!$C$7</f>
        <v>0</v>
      </c>
      <c r="F12" s="58" t="n">
        <f aca="false">'19_EQUITY'!F16-'20_CASH_FLOW'!F38*'19_EQUITY'!$C$7</f>
        <v>0</v>
      </c>
      <c r="G12" s="58" t="n">
        <f aca="false">'19_EQUITY'!G16-'20_CASH_FLOW'!G38*'19_EQUITY'!$C$7</f>
        <v>0</v>
      </c>
      <c r="H12" s="58" t="n">
        <f aca="false">'19_EQUITY'!H16-'20_CASH_FLOW'!H38*'19_EQUITY'!$C$7</f>
        <v>0</v>
      </c>
      <c r="I12" s="58" t="n">
        <f aca="false">'19_EQUITY'!I16-'20_CASH_FLOW'!I38*'19_EQUITY'!$C$7</f>
        <v>0</v>
      </c>
      <c r="J12" s="58" t="n">
        <f aca="false">'19_EQUITY'!J16-'20_CASH_FLOW'!J38*'19_EQUITY'!$C$7</f>
        <v>0</v>
      </c>
      <c r="K12" s="58" t="n">
        <f aca="false">'19_EQUITY'!K16-'20_CASH_FLOW'!K38*'19_EQUITY'!$C$7</f>
        <v>0</v>
      </c>
      <c r="L12" s="58" t="n">
        <f aca="false">'19_EQUITY'!L16-'20_CASH_FLOW'!L38*'19_EQUITY'!$C$7</f>
        <v>0</v>
      </c>
      <c r="M12" s="58" t="n">
        <f aca="false">'19_EQUITY'!M16-'20_CASH_FLOW'!M38*'19_EQUITY'!$C$7</f>
        <v>0</v>
      </c>
      <c r="N12" s="58" t="n">
        <f aca="false">'19_EQUITY'!N16-'20_CASH_FLOW'!N38*'19_EQUITY'!$C$7</f>
        <v>0</v>
      </c>
      <c r="O12" s="58" t="n">
        <f aca="false">'19_EQUITY'!O16-'20_CASH_FLOW'!O38*'19_EQUITY'!$C$7</f>
        <v>0</v>
      </c>
      <c r="P12" s="58" t="n">
        <f aca="false">'19_EQUITY'!P16-'20_CASH_FLOW'!P38*'19_EQUITY'!$C$7</f>
        <v>0</v>
      </c>
      <c r="Q12" s="58" t="n">
        <f aca="false">'19_EQUITY'!Q16-'20_CASH_FLOW'!Q38*'19_EQUITY'!$C$7</f>
        <v>0</v>
      </c>
      <c r="R12" s="58" t="n">
        <f aca="false">'19_EQUITY'!R16-'20_CASH_FLOW'!R38*'19_EQUITY'!$C$7</f>
        <v>0</v>
      </c>
      <c r="S12" s="58" t="n">
        <f aca="false">'19_EQUITY'!S16-'20_CASH_FLOW'!S38*'19_EQUITY'!$C$7</f>
        <v>0</v>
      </c>
      <c r="T12" s="58" t="n">
        <f aca="false">'19_EQUITY'!T16-'20_CASH_FLOW'!T38*'19_EQUITY'!$C$7</f>
        <v>0</v>
      </c>
      <c r="U12" s="58" t="n">
        <f aca="false">'19_EQUITY'!U16-'20_CASH_FLOW'!U38*'19_EQUITY'!$C$7</f>
        <v>0</v>
      </c>
      <c r="V12" s="58" t="n">
        <f aca="false">'19_EQUITY'!V16-'20_CASH_FLOW'!V38*'19_EQUITY'!$C$7</f>
        <v>0</v>
      </c>
      <c r="W12" s="58" t="n">
        <f aca="false">'19_EQUITY'!W16-'20_CASH_FLOW'!W38*'19_EQUITY'!$C$7</f>
        <v>0</v>
      </c>
      <c r="X12" s="58" t="n">
        <f aca="false">'19_EQUITY'!X16-'20_CASH_FLOW'!X38*'19_EQUITY'!$C$7</f>
        <v>0</v>
      </c>
      <c r="Y12" s="58" t="n">
        <f aca="false">'19_EQUITY'!Y16-'20_CASH_FLOW'!Y38*'19_EQUITY'!$C$7</f>
        <v>0</v>
      </c>
      <c r="Z12" s="58" t="n">
        <f aca="false">'19_EQUITY'!Z16-'20_CASH_FLOW'!Z38*'19_EQUITY'!$C$7</f>
        <v>0</v>
      </c>
      <c r="AA12" s="58" t="n">
        <f aca="false">'19_EQUITY'!AA16-'20_CASH_FLOW'!AA38*'19_EQUITY'!$C$7</f>
        <v>0</v>
      </c>
      <c r="AB12" s="58" t="n">
        <f aca="false">'19_EQUITY'!AB16-'20_CASH_FLOW'!AB38*'19_EQUITY'!$C$7</f>
        <v>0</v>
      </c>
      <c r="AC12" s="58" t="n">
        <f aca="false">'19_EQUITY'!AC16-'20_CASH_FLOW'!AC38*'19_EQUITY'!$C$7</f>
        <v>0</v>
      </c>
      <c r="AD12" s="58" t="n">
        <f aca="false">'19_EQUITY'!AD16-'20_CASH_FLOW'!AD38*'19_EQUITY'!$C$7</f>
        <v>0</v>
      </c>
      <c r="AE12" s="58" t="n">
        <f aca="false">'19_EQUITY'!AE16-'20_CASH_FLOW'!AE38*'19_EQUITY'!$C$7</f>
        <v>0</v>
      </c>
      <c r="AF12" s="58" t="n">
        <f aca="false">'19_EQUITY'!AF16-'20_CASH_FLOW'!AF38*'19_EQUITY'!$C$7</f>
        <v>0</v>
      </c>
      <c r="AG12" s="58" t="n">
        <f aca="false">'19_EQUITY'!AG16-'20_CASH_FLOW'!AG38*'19_EQUITY'!$C$7</f>
        <v>0</v>
      </c>
      <c r="AH12" s="58" t="n">
        <f aca="false">'19_EQUITY'!AH16-'20_CASH_FLOW'!AH38*'19_EQUITY'!$C$7</f>
        <v>0</v>
      </c>
      <c r="AI12" s="58" t="n">
        <f aca="false">'19_EQUITY'!AI16-'20_CASH_FLOW'!AI38*'19_EQUITY'!$C$7</f>
        <v>0</v>
      </c>
      <c r="AJ12" s="58" t="n">
        <f aca="false">'19_EQUITY'!AJ16-'20_CASH_FLOW'!AJ38*'19_EQUITY'!$C$7</f>
        <v>0</v>
      </c>
      <c r="AK12" s="58" t="n">
        <f aca="false">'19_EQUITY'!AK16-'20_CASH_FLOW'!AK38*'19_EQUITY'!$C$7</f>
        <v>0</v>
      </c>
      <c r="AL12" s="58" t="n">
        <f aca="false">'19_EQUITY'!AL16-'20_CASH_FLOW'!AL38*'19_EQUITY'!$C$7</f>
        <v>0</v>
      </c>
      <c r="AM12" s="58" t="n">
        <f aca="false">'19_EQUITY'!AM16-'20_CASH_FLOW'!AM38*'19_EQUITY'!$C$7</f>
        <v>0</v>
      </c>
      <c r="AN12" s="58" t="n">
        <f aca="false">'19_EQUITY'!AN16-'20_CASH_FLOW'!AN38*'19_EQUITY'!$C$7</f>
        <v>0</v>
      </c>
      <c r="AO12" s="58" t="n">
        <f aca="false">'19_EQUITY'!AO16-'20_CASH_FLOW'!AO38*'19_EQUITY'!$C$7</f>
        <v>0</v>
      </c>
      <c r="AP12" s="58" t="n">
        <f aca="false">'19_EQUITY'!AP16-'20_CASH_FLOW'!AP38*'19_EQUITY'!$C$7</f>
        <v>0</v>
      </c>
      <c r="AQ12" s="58" t="n">
        <f aca="false">'19_EQUITY'!AQ16-'20_CASH_FLOW'!AQ38*'19_EQUITY'!$C$7</f>
        <v>0</v>
      </c>
      <c r="AR12" s="58" t="n">
        <f aca="false">'19_EQUITY'!AR16-'20_CASH_FLOW'!AR38*'19_EQUITY'!$C$7</f>
        <v>0</v>
      </c>
    </row>
    <row r="13" customFormat="false" ht="15" hidden="false" customHeight="true" outlineLevel="0" collapsed="false">
      <c r="A13" s="23" t="s">
        <v>1018</v>
      </c>
      <c r="B13" s="23" t="s">
        <v>121</v>
      </c>
      <c r="C13" s="58" t="n">
        <f aca="false">SUM('25_FISCAL_IMPACT'!$E$13:$AR$13)</f>
        <v>0</v>
      </c>
      <c r="E13" s="58" t="n">
        <f aca="false">'20_CASH_FLOW'!E33+'16_REVENUE'!E21</f>
        <v>0</v>
      </c>
      <c r="F13" s="58" t="n">
        <f aca="false">'20_CASH_FLOW'!F33+'16_REVENUE'!F21</f>
        <v>0</v>
      </c>
      <c r="G13" s="58" t="n">
        <f aca="false">'20_CASH_FLOW'!G33+'16_REVENUE'!G21</f>
        <v>0</v>
      </c>
      <c r="H13" s="58" t="n">
        <f aca="false">'20_CASH_FLOW'!H33+'16_REVENUE'!H21</f>
        <v>0</v>
      </c>
      <c r="I13" s="58" t="n">
        <f aca="false">'20_CASH_FLOW'!I33+'16_REVENUE'!I21</f>
        <v>0</v>
      </c>
      <c r="J13" s="58" t="n">
        <f aca="false">'20_CASH_FLOW'!J33+'16_REVENUE'!J21</f>
        <v>0</v>
      </c>
      <c r="K13" s="58" t="n">
        <f aca="false">'20_CASH_FLOW'!K33+'16_REVENUE'!K21</f>
        <v>0</v>
      </c>
      <c r="L13" s="58" t="n">
        <f aca="false">'20_CASH_FLOW'!L33+'16_REVENUE'!L21</f>
        <v>0</v>
      </c>
      <c r="M13" s="58" t="n">
        <f aca="false">'20_CASH_FLOW'!M33+'16_REVENUE'!M21</f>
        <v>0</v>
      </c>
      <c r="N13" s="58" t="n">
        <f aca="false">'20_CASH_FLOW'!N33+'16_REVENUE'!N21</f>
        <v>0</v>
      </c>
      <c r="O13" s="58" t="n">
        <f aca="false">'20_CASH_FLOW'!O33+'16_REVENUE'!O21</f>
        <v>0</v>
      </c>
      <c r="P13" s="58" t="n">
        <f aca="false">'20_CASH_FLOW'!P33+'16_REVENUE'!P21</f>
        <v>0</v>
      </c>
      <c r="Q13" s="58" t="n">
        <f aca="false">'20_CASH_FLOW'!Q33+'16_REVENUE'!Q21</f>
        <v>0</v>
      </c>
      <c r="R13" s="58" t="n">
        <f aca="false">'20_CASH_FLOW'!R33+'16_REVENUE'!R21</f>
        <v>0</v>
      </c>
      <c r="S13" s="58" t="n">
        <f aca="false">'20_CASH_FLOW'!S33+'16_REVENUE'!S21</f>
        <v>0</v>
      </c>
      <c r="T13" s="58" t="n">
        <f aca="false">'20_CASH_FLOW'!T33+'16_REVENUE'!T21</f>
        <v>0</v>
      </c>
      <c r="U13" s="58" t="n">
        <f aca="false">'20_CASH_FLOW'!U33+'16_REVENUE'!U21</f>
        <v>0</v>
      </c>
      <c r="V13" s="58" t="n">
        <f aca="false">'20_CASH_FLOW'!V33+'16_REVENUE'!V21</f>
        <v>0</v>
      </c>
      <c r="W13" s="58" t="n">
        <f aca="false">'20_CASH_FLOW'!W33+'16_REVENUE'!W21</f>
        <v>0</v>
      </c>
      <c r="X13" s="58" t="n">
        <f aca="false">'20_CASH_FLOW'!X33+'16_REVENUE'!X21</f>
        <v>0</v>
      </c>
      <c r="Y13" s="58" t="n">
        <f aca="false">'20_CASH_FLOW'!Y33+'16_REVENUE'!Y21</f>
        <v>0</v>
      </c>
      <c r="Z13" s="58" t="n">
        <f aca="false">'20_CASH_FLOW'!Z33+'16_REVENUE'!Z21</f>
        <v>0</v>
      </c>
      <c r="AA13" s="58" t="n">
        <f aca="false">'20_CASH_FLOW'!AA33+'16_REVENUE'!AA21</f>
        <v>0</v>
      </c>
      <c r="AB13" s="58" t="n">
        <f aca="false">'20_CASH_FLOW'!AB33+'16_REVENUE'!AB21</f>
        <v>0</v>
      </c>
      <c r="AC13" s="58" t="n">
        <f aca="false">'20_CASH_FLOW'!AC33+'16_REVENUE'!AC21</f>
        <v>0</v>
      </c>
      <c r="AD13" s="58" t="n">
        <f aca="false">'20_CASH_FLOW'!AD33+'16_REVENUE'!AD21</f>
        <v>0</v>
      </c>
      <c r="AE13" s="58" t="n">
        <f aca="false">'20_CASH_FLOW'!AE33+'16_REVENUE'!AE21</f>
        <v>0</v>
      </c>
      <c r="AF13" s="58" t="n">
        <f aca="false">'20_CASH_FLOW'!AF33+'16_REVENUE'!AF21</f>
        <v>0</v>
      </c>
      <c r="AG13" s="58" t="n">
        <f aca="false">'20_CASH_FLOW'!AG33+'16_REVENUE'!AG21</f>
        <v>0</v>
      </c>
      <c r="AH13" s="58" t="n">
        <f aca="false">'20_CASH_FLOW'!AH33+'16_REVENUE'!AH21</f>
        <v>0</v>
      </c>
      <c r="AI13" s="58" t="n">
        <f aca="false">'20_CASH_FLOW'!AI33+'16_REVENUE'!AI21</f>
        <v>0</v>
      </c>
      <c r="AJ13" s="58" t="n">
        <f aca="false">'20_CASH_FLOW'!AJ33+'16_REVENUE'!AJ21</f>
        <v>0</v>
      </c>
      <c r="AK13" s="58" t="n">
        <f aca="false">'20_CASH_FLOW'!AK33+'16_REVENUE'!AK21</f>
        <v>0</v>
      </c>
      <c r="AL13" s="58" t="n">
        <f aca="false">'20_CASH_FLOW'!AL33+'16_REVENUE'!AL21</f>
        <v>0</v>
      </c>
      <c r="AM13" s="58" t="n">
        <f aca="false">'20_CASH_FLOW'!AM33+'16_REVENUE'!AM21</f>
        <v>0</v>
      </c>
      <c r="AN13" s="58" t="n">
        <f aca="false">'20_CASH_FLOW'!AN33+'16_REVENUE'!AN21</f>
        <v>0</v>
      </c>
      <c r="AO13" s="58" t="n">
        <f aca="false">'20_CASH_FLOW'!AO33+'16_REVENUE'!AO21</f>
        <v>0</v>
      </c>
      <c r="AP13" s="58" t="n">
        <f aca="false">'20_CASH_FLOW'!AP33+'16_REVENUE'!AP21</f>
        <v>0</v>
      </c>
      <c r="AQ13" s="58" t="n">
        <f aca="false">'20_CASH_FLOW'!AQ33+'16_REVENUE'!AQ21</f>
        <v>0</v>
      </c>
      <c r="AR13" s="58" t="n">
        <f aca="false">'20_CASH_FLOW'!AR33+'16_REVENUE'!AR21</f>
        <v>0</v>
      </c>
    </row>
    <row r="14" customFormat="false" ht="15" hidden="false" customHeight="true" outlineLevel="0" collapsed="false">
      <c r="A14" s="19" t="s">
        <v>1019</v>
      </c>
      <c r="B14" s="23" t="s">
        <v>121</v>
      </c>
      <c r="C14" s="58" t="n">
        <f aca="false">SUM('25_FISCAL_IMPACT'!$E$14:$AR$14)</f>
        <v>146.966669027163</v>
      </c>
      <c r="E14" s="72" t="n">
        <f aca="false">'25_FISCAL_IMPACT'!E7+'25_FISCAL_IMPACT'!E8+'25_FISCAL_IMPACT'!E10+'25_FISCAL_IMPACT'!E11+'25_FISCAL_IMPACT'!E12+'25_FISCAL_IMPACT'!E13</f>
        <v>0</v>
      </c>
      <c r="F14" s="72" t="n">
        <f aca="false">'25_FISCAL_IMPACT'!F7+'25_FISCAL_IMPACT'!F8+'25_FISCAL_IMPACT'!F10+'25_FISCAL_IMPACT'!F11+'25_FISCAL_IMPACT'!F12+'25_FISCAL_IMPACT'!F13</f>
        <v>0</v>
      </c>
      <c r="G14" s="72" t="n">
        <f aca="false">'25_FISCAL_IMPACT'!G7+'25_FISCAL_IMPACT'!G8+'25_FISCAL_IMPACT'!G10+'25_FISCAL_IMPACT'!G11+'25_FISCAL_IMPACT'!G12+'25_FISCAL_IMPACT'!G13</f>
        <v>0</v>
      </c>
      <c r="H14" s="72" t="n">
        <f aca="false">'25_FISCAL_IMPACT'!H7+'25_FISCAL_IMPACT'!H8+'25_FISCAL_IMPACT'!H10+'25_FISCAL_IMPACT'!H11+'25_FISCAL_IMPACT'!H12+'25_FISCAL_IMPACT'!H13</f>
        <v>0.672756405801438</v>
      </c>
      <c r="I14" s="72" t="n">
        <f aca="false">'25_FISCAL_IMPACT'!I7+'25_FISCAL_IMPACT'!I8+'25_FISCAL_IMPACT'!I10+'25_FISCAL_IMPACT'!I11+'25_FISCAL_IMPACT'!I12+'25_FISCAL_IMPACT'!I13</f>
        <v>0.807307686961726</v>
      </c>
      <c r="J14" s="72" t="n">
        <f aca="false">'25_FISCAL_IMPACT'!J7+'25_FISCAL_IMPACT'!J8+'25_FISCAL_IMPACT'!J10+'25_FISCAL_IMPACT'!J11+'25_FISCAL_IMPACT'!J12+'25_FISCAL_IMPACT'!J13</f>
        <v>0.82345384070096</v>
      </c>
      <c r="K14" s="72" t="n">
        <f aca="false">'25_FISCAL_IMPACT'!K7+'25_FISCAL_IMPACT'!K8+'25_FISCAL_IMPACT'!K10+'25_FISCAL_IMPACT'!K11+'25_FISCAL_IMPACT'!K12+'25_FISCAL_IMPACT'!K13</f>
        <v>0.839922917514979</v>
      </c>
      <c r="L14" s="72" t="n">
        <f aca="false">'25_FISCAL_IMPACT'!L7+'25_FISCAL_IMPACT'!L8+'25_FISCAL_IMPACT'!L10+'25_FISCAL_IMPACT'!L11+'25_FISCAL_IMPACT'!L12+'25_FISCAL_IMPACT'!L13</f>
        <v>0.856721375865279</v>
      </c>
      <c r="M14" s="72" t="n">
        <f aca="false">'25_FISCAL_IMPACT'!M7+'25_FISCAL_IMPACT'!M8+'25_FISCAL_IMPACT'!M10+'25_FISCAL_IMPACT'!M11+'25_FISCAL_IMPACT'!M12+'25_FISCAL_IMPACT'!M13</f>
        <v>3.64517661642607</v>
      </c>
      <c r="N14" s="72" t="n">
        <f aca="false">'25_FISCAL_IMPACT'!N7+'25_FISCAL_IMPACT'!N8+'25_FISCAL_IMPACT'!N10+'25_FISCAL_IMPACT'!N11+'25_FISCAL_IMPACT'!N12+'25_FISCAL_IMPACT'!N13</f>
        <v>3.88440803593161</v>
      </c>
      <c r="O14" s="72" t="n">
        <f aca="false">'25_FISCAL_IMPACT'!O7+'25_FISCAL_IMPACT'!O8+'25_FISCAL_IMPACT'!O10+'25_FISCAL_IMPACT'!O11+'25_FISCAL_IMPACT'!O12+'25_FISCAL_IMPACT'!O13</f>
        <v>4.13995009754117</v>
      </c>
      <c r="P14" s="72" t="n">
        <f aca="false">'25_FISCAL_IMPACT'!P7+'25_FISCAL_IMPACT'!P8+'25_FISCAL_IMPACT'!P10+'25_FISCAL_IMPACT'!P11+'25_FISCAL_IMPACT'!P12+'25_FISCAL_IMPACT'!P13</f>
        <v>4.41305109519395</v>
      </c>
      <c r="Q14" s="72" t="n">
        <f aca="false">'25_FISCAL_IMPACT'!Q7+'25_FISCAL_IMPACT'!Q8+'25_FISCAL_IMPACT'!Q10+'25_FISCAL_IMPACT'!Q11+'25_FISCAL_IMPACT'!Q12+'25_FISCAL_IMPACT'!Q13</f>
        <v>4.70505805519568</v>
      </c>
      <c r="R14" s="72" t="n">
        <f aca="false">'25_FISCAL_IMPACT'!R7+'25_FISCAL_IMPACT'!R8+'25_FISCAL_IMPACT'!R10+'25_FISCAL_IMPACT'!R11+'25_FISCAL_IMPACT'!R12+'25_FISCAL_IMPACT'!R13</f>
        <v>5.01742461218503</v>
      </c>
      <c r="S14" s="72" t="n">
        <f aca="false">'25_FISCAL_IMPACT'!S7+'25_FISCAL_IMPACT'!S8+'25_FISCAL_IMPACT'!S10+'25_FISCAL_IMPACT'!S11+'25_FISCAL_IMPACT'!S12+'25_FISCAL_IMPACT'!S13</f>
        <v>5.35171951472475</v>
      </c>
      <c r="T14" s="72" t="n">
        <f aca="false">'25_FISCAL_IMPACT'!T7+'25_FISCAL_IMPACT'!T8+'25_FISCAL_IMPACT'!T10+'25_FISCAL_IMPACT'!T11+'25_FISCAL_IMPACT'!T12+'25_FISCAL_IMPACT'!T13</f>
        <v>5.70963581087869</v>
      </c>
      <c r="U14" s="72" t="n">
        <f aca="false">'25_FISCAL_IMPACT'!U7+'25_FISCAL_IMPACT'!U8+'25_FISCAL_IMPACT'!U10+'25_FISCAL_IMPACT'!U11+'25_FISCAL_IMPACT'!U12+'25_FISCAL_IMPACT'!U13</f>
        <v>6.09300076816422</v>
      </c>
      <c r="V14" s="72" t="n">
        <f aca="false">'25_FISCAL_IMPACT'!V7+'25_FISCAL_IMPACT'!V8+'25_FISCAL_IMPACT'!V10+'25_FISCAL_IMPACT'!V11+'25_FISCAL_IMPACT'!V12+'25_FISCAL_IMPACT'!V13</f>
        <v>6.50378658662064</v>
      </c>
      <c r="W14" s="72" t="n">
        <f aca="false">'25_FISCAL_IMPACT'!W7+'25_FISCAL_IMPACT'!W8+'25_FISCAL_IMPACT'!W10+'25_FISCAL_IMPACT'!W11+'25_FISCAL_IMPACT'!W12+'25_FISCAL_IMPACT'!W13</f>
        <v>6.9441219684334</v>
      </c>
      <c r="X14" s="72" t="n">
        <f aca="false">'25_FISCAL_IMPACT'!X7+'25_FISCAL_IMPACT'!X8+'25_FISCAL_IMPACT'!X10+'25_FISCAL_IMPACT'!X11+'25_FISCAL_IMPACT'!X12+'25_FISCAL_IMPACT'!X13</f>
        <v>7.41630461262857</v>
      </c>
      <c r="Y14" s="72" t="n">
        <f aca="false">'25_FISCAL_IMPACT'!Y7+'25_FISCAL_IMPACT'!Y8+'25_FISCAL_IMPACT'!Y10+'25_FISCAL_IMPACT'!Y11+'25_FISCAL_IMPACT'!Y12+'25_FISCAL_IMPACT'!Y13</f>
        <v>7.52865076953619</v>
      </c>
      <c r="Z14" s="72" t="n">
        <f aca="false">'25_FISCAL_IMPACT'!Z7+'25_FISCAL_IMPACT'!Z8+'25_FISCAL_IMPACT'!Z10+'25_FISCAL_IMPACT'!Z11+'25_FISCAL_IMPACT'!Z12+'25_FISCAL_IMPACT'!Z13</f>
        <v>7.64324384958197</v>
      </c>
      <c r="AA14" s="72" t="n">
        <f aca="false">'25_FISCAL_IMPACT'!AA7+'25_FISCAL_IMPACT'!AA8+'25_FISCAL_IMPACT'!AA10+'25_FISCAL_IMPACT'!AA11+'25_FISCAL_IMPACT'!AA12+'25_FISCAL_IMPACT'!AA13</f>
        <v>7.76012879122865</v>
      </c>
      <c r="AB14" s="72" t="n">
        <f aca="false">'25_FISCAL_IMPACT'!AB7+'25_FISCAL_IMPACT'!AB8+'25_FISCAL_IMPACT'!AB10+'25_FISCAL_IMPACT'!AB11+'25_FISCAL_IMPACT'!AB12+'25_FISCAL_IMPACT'!AB13</f>
        <v>10.9940418154908</v>
      </c>
      <c r="AC14" s="72" t="n">
        <f aca="false">'25_FISCAL_IMPACT'!AC7+'25_FISCAL_IMPACT'!AC8+'25_FISCAL_IMPACT'!AC10+'25_FISCAL_IMPACT'!AC11+'25_FISCAL_IMPACT'!AC12+'25_FISCAL_IMPACT'!AC13</f>
        <v>11.1156489087801</v>
      </c>
      <c r="AD14" s="72" t="n">
        <f aca="false">'25_FISCAL_IMPACT'!AD7+'25_FISCAL_IMPACT'!AD8+'25_FISCAL_IMPACT'!AD10+'25_FISCAL_IMPACT'!AD11+'25_FISCAL_IMPACT'!AD12+'25_FISCAL_IMPACT'!AD13</f>
        <v>11.2396881439351</v>
      </c>
      <c r="AE14" s="72" t="n">
        <f aca="false">'25_FISCAL_IMPACT'!AE7+'25_FISCAL_IMPACT'!AE8+'25_FISCAL_IMPACT'!AE10+'25_FISCAL_IMPACT'!AE11+'25_FISCAL_IMPACT'!AE12+'25_FISCAL_IMPACT'!AE13</f>
        <v>11.3662081637932</v>
      </c>
      <c r="AF14" s="72" t="n">
        <f aca="false">'25_FISCAL_IMPACT'!AF7+'25_FISCAL_IMPACT'!AF8+'25_FISCAL_IMPACT'!AF10+'25_FISCAL_IMPACT'!AF11+'25_FISCAL_IMPACT'!AF12+'25_FISCAL_IMPACT'!AF13</f>
        <v>11.4952585840484</v>
      </c>
      <c r="AG14" s="72" t="n">
        <f aca="false">'25_FISCAL_IMPACT'!AG7+'25_FISCAL_IMPACT'!AG8+'25_FISCAL_IMPACT'!AG10+'25_FISCAL_IMPACT'!AG11+'25_FISCAL_IMPACT'!AG12+'25_FISCAL_IMPACT'!AG13</f>
        <v>0</v>
      </c>
      <c r="AH14" s="72" t="n">
        <f aca="false">'25_FISCAL_IMPACT'!AH7+'25_FISCAL_IMPACT'!AH8+'25_FISCAL_IMPACT'!AH10+'25_FISCAL_IMPACT'!AH11+'25_FISCAL_IMPACT'!AH12+'25_FISCAL_IMPACT'!AH13</f>
        <v>0</v>
      </c>
      <c r="AI14" s="72" t="n">
        <f aca="false">'25_FISCAL_IMPACT'!AI7+'25_FISCAL_IMPACT'!AI8+'25_FISCAL_IMPACT'!AI10+'25_FISCAL_IMPACT'!AI11+'25_FISCAL_IMPACT'!AI12+'25_FISCAL_IMPACT'!AI13</f>
        <v>0</v>
      </c>
      <c r="AJ14" s="72" t="n">
        <f aca="false">'25_FISCAL_IMPACT'!AJ7+'25_FISCAL_IMPACT'!AJ8+'25_FISCAL_IMPACT'!AJ10+'25_FISCAL_IMPACT'!AJ11+'25_FISCAL_IMPACT'!AJ12+'25_FISCAL_IMPACT'!AJ13</f>
        <v>0</v>
      </c>
      <c r="AK14" s="72" t="n">
        <f aca="false">'25_FISCAL_IMPACT'!AK7+'25_FISCAL_IMPACT'!AK8+'25_FISCAL_IMPACT'!AK10+'25_FISCAL_IMPACT'!AK11+'25_FISCAL_IMPACT'!AK12+'25_FISCAL_IMPACT'!AK13</f>
        <v>0</v>
      </c>
      <c r="AL14" s="72" t="n">
        <f aca="false">'25_FISCAL_IMPACT'!AL7+'25_FISCAL_IMPACT'!AL8+'25_FISCAL_IMPACT'!AL10+'25_FISCAL_IMPACT'!AL11+'25_FISCAL_IMPACT'!AL12+'25_FISCAL_IMPACT'!AL13</f>
        <v>0</v>
      </c>
      <c r="AM14" s="72" t="n">
        <f aca="false">'25_FISCAL_IMPACT'!AM7+'25_FISCAL_IMPACT'!AM8+'25_FISCAL_IMPACT'!AM10+'25_FISCAL_IMPACT'!AM11+'25_FISCAL_IMPACT'!AM12+'25_FISCAL_IMPACT'!AM13</f>
        <v>0</v>
      </c>
      <c r="AN14" s="72" t="n">
        <f aca="false">'25_FISCAL_IMPACT'!AN7+'25_FISCAL_IMPACT'!AN8+'25_FISCAL_IMPACT'!AN10+'25_FISCAL_IMPACT'!AN11+'25_FISCAL_IMPACT'!AN12+'25_FISCAL_IMPACT'!AN13</f>
        <v>0</v>
      </c>
      <c r="AO14" s="72" t="n">
        <f aca="false">'25_FISCAL_IMPACT'!AO7+'25_FISCAL_IMPACT'!AO8+'25_FISCAL_IMPACT'!AO10+'25_FISCAL_IMPACT'!AO11+'25_FISCAL_IMPACT'!AO12+'25_FISCAL_IMPACT'!AO13</f>
        <v>0</v>
      </c>
      <c r="AP14" s="72" t="n">
        <f aca="false">'25_FISCAL_IMPACT'!AP7+'25_FISCAL_IMPACT'!AP8+'25_FISCAL_IMPACT'!AP10+'25_FISCAL_IMPACT'!AP11+'25_FISCAL_IMPACT'!AP12+'25_FISCAL_IMPACT'!AP13</f>
        <v>0</v>
      </c>
      <c r="AQ14" s="72" t="n">
        <f aca="false">'25_FISCAL_IMPACT'!AQ7+'25_FISCAL_IMPACT'!AQ8+'25_FISCAL_IMPACT'!AQ10+'25_FISCAL_IMPACT'!AQ11+'25_FISCAL_IMPACT'!AQ12+'25_FISCAL_IMPACT'!AQ13</f>
        <v>0</v>
      </c>
      <c r="AR14" s="72" t="n">
        <f aca="false">'25_FISCAL_IMPACT'!AR7+'25_FISCAL_IMPACT'!AR8+'25_FISCAL_IMPACT'!AR10+'25_FISCAL_IMPACT'!AR11+'25_FISCAL_IMPACT'!AR12+'25_FISCAL_IMPACT'!AR13</f>
        <v>0</v>
      </c>
    </row>
    <row r="15" customFormat="false" ht="15" hidden="false" customHeight="true" outlineLevel="0" collapsed="false">
      <c r="A15" s="23" t="s">
        <v>1020</v>
      </c>
      <c r="B15" s="23" t="s">
        <v>121</v>
      </c>
      <c r="C15" s="58" t="n">
        <f aca="false">SUM('25_FISCAL_IMPACT'!$E$15:$AR$15)</f>
        <v>-171.388999556187</v>
      </c>
      <c r="E15" s="79" t="n">
        <f aca="false">'12_UTILITY'!E60</f>
        <v>0</v>
      </c>
      <c r="F15" s="79" t="n">
        <f aca="false">'12_UTILITY'!F60</f>
        <v>0</v>
      </c>
      <c r="G15" s="79" t="n">
        <f aca="false">'12_UTILITY'!G60</f>
        <v>0</v>
      </c>
      <c r="H15" s="79" t="n">
        <f aca="false">'12_UTILITY'!H60</f>
        <v>-7.32784853971236</v>
      </c>
      <c r="I15" s="79" t="n">
        <f aca="false">'12_UTILITY'!I60</f>
        <v>-8.49469238977315</v>
      </c>
      <c r="J15" s="79" t="n">
        <f aca="false">'12_UTILITY'!J60</f>
        <v>-8.36640478130045</v>
      </c>
      <c r="K15" s="79" t="n">
        <f aca="false">'12_UTILITY'!K60</f>
        <v>-8.23610609400075</v>
      </c>
      <c r="L15" s="79" t="n">
        <f aca="false">'12_UTILITY'!L60</f>
        <v>-8.10376657183139</v>
      </c>
      <c r="M15" s="79" t="n">
        <f aca="false">'12_UTILITY'!M60</f>
        <v>-7.96935606109395</v>
      </c>
      <c r="N15" s="79" t="n">
        <f aca="false">'12_UTILITY'!N60</f>
        <v>-7.83284400620249</v>
      </c>
      <c r="O15" s="79" t="n">
        <f aca="false">'12_UTILITY'!O60</f>
        <v>-7.69419944544433</v>
      </c>
      <c r="P15" s="79" t="n">
        <f aca="false">'12_UTILITY'!P60</f>
        <v>-7.55339100672649</v>
      </c>
      <c r="Q15" s="79" t="n">
        <f aca="false">'12_UTILITY'!Q60</f>
        <v>-7.41038690330572</v>
      </c>
      <c r="R15" s="79" t="n">
        <f aca="false">'12_UTILITY'!R60</f>
        <v>-7.26515492951194</v>
      </c>
      <c r="S15" s="79" t="n">
        <f aca="false">'12_UTILITY'!S60</f>
        <v>-7.11766245645987</v>
      </c>
      <c r="T15" s="79" t="n">
        <f aca="false">'12_UTILITY'!T60</f>
        <v>-6.96787642775303</v>
      </c>
      <c r="U15" s="79" t="n">
        <f aca="false">'12_UTILITY'!U60</f>
        <v>-6.81576335518105</v>
      </c>
      <c r="V15" s="79" t="n">
        <f aca="false">'12_UTILITY'!V60</f>
        <v>-6.66128931440869</v>
      </c>
      <c r="W15" s="79" t="n">
        <f aca="false">'12_UTILITY'!W60</f>
        <v>-6.50441994066091</v>
      </c>
      <c r="X15" s="79" t="n">
        <f aca="false">'12_UTILITY'!X60</f>
        <v>-6.34512042440679</v>
      </c>
      <c r="Y15" s="79" t="n">
        <f aca="false">'12_UTILITY'!Y60</f>
        <v>-6.1833555070416</v>
      </c>
      <c r="Z15" s="79" t="n">
        <f aca="false">'12_UTILITY'!Z60</f>
        <v>-6.01908947656602</v>
      </c>
      <c r="AA15" s="79" t="n">
        <f aca="false">'12_UTILITY'!AA60</f>
        <v>-5.85228616326981</v>
      </c>
      <c r="AB15" s="79" t="n">
        <f aca="false">'12_UTILITY'!AB60</f>
        <v>-5.68290893541564</v>
      </c>
      <c r="AC15" s="79" t="n">
        <f aca="false">'12_UTILITY'!AC60</f>
        <v>-5.51092069493552</v>
      </c>
      <c r="AD15" s="79" t="n">
        <f aca="false">'12_UTILITY'!AD60</f>
        <v>-5.33628387312001</v>
      </c>
      <c r="AE15" s="79" t="n">
        <f aca="false">'12_UTILITY'!AE60</f>
        <v>-5.15896042633494</v>
      </c>
      <c r="AF15" s="79" t="n">
        <f aca="false">'12_UTILITY'!AF60</f>
        <v>-4.9789118317301</v>
      </c>
      <c r="AG15" s="79" t="n">
        <f aca="false">'12_UTILITY'!AG60</f>
        <v>0</v>
      </c>
      <c r="AH15" s="79" t="n">
        <f aca="false">'12_UTILITY'!AH60</f>
        <v>0</v>
      </c>
      <c r="AI15" s="79" t="n">
        <f aca="false">'12_UTILITY'!AI60</f>
        <v>0</v>
      </c>
      <c r="AJ15" s="79" t="n">
        <f aca="false">'12_UTILITY'!AJ60</f>
        <v>0</v>
      </c>
      <c r="AK15" s="79" t="n">
        <f aca="false">'12_UTILITY'!AK60</f>
        <v>0</v>
      </c>
      <c r="AL15" s="79" t="n">
        <f aca="false">'12_UTILITY'!AL60</f>
        <v>0</v>
      </c>
      <c r="AM15" s="79" t="n">
        <f aca="false">'12_UTILITY'!AM60</f>
        <v>0</v>
      </c>
      <c r="AN15" s="79" t="n">
        <f aca="false">'12_UTILITY'!AN60</f>
        <v>0</v>
      </c>
      <c r="AO15" s="79" t="n">
        <f aca="false">'12_UTILITY'!AO60</f>
        <v>0</v>
      </c>
      <c r="AP15" s="79" t="n">
        <f aca="false">'12_UTILITY'!AP60</f>
        <v>0</v>
      </c>
      <c r="AQ15" s="79" t="n">
        <f aca="false">'12_UTILITY'!AQ60</f>
        <v>0</v>
      </c>
      <c r="AR15" s="79" t="n">
        <f aca="false">'12_UTILITY'!AR60</f>
        <v>0</v>
      </c>
    </row>
    <row r="16" customFormat="false" ht="15" hidden="false" customHeight="true" outlineLevel="0" collapsed="false">
      <c r="A16" s="19" t="s">
        <v>1021</v>
      </c>
      <c r="B16" s="23" t="s">
        <v>121</v>
      </c>
      <c r="C16" s="58" t="n">
        <f aca="false">SUM('25_FISCAL_IMPACT'!$E$16:$AR$16)</f>
        <v>-24.4223305290245</v>
      </c>
      <c r="E16" s="72" t="n">
        <f aca="false">'25_FISCAL_IMPACT'!E14+'25_FISCAL_IMPACT'!E15</f>
        <v>0</v>
      </c>
      <c r="F16" s="72" t="n">
        <f aca="false">'25_FISCAL_IMPACT'!F14+'25_FISCAL_IMPACT'!F15</f>
        <v>0</v>
      </c>
      <c r="G16" s="72" t="n">
        <f aca="false">'25_FISCAL_IMPACT'!G14+'25_FISCAL_IMPACT'!G15</f>
        <v>0</v>
      </c>
      <c r="H16" s="72" t="n">
        <f aca="false">'25_FISCAL_IMPACT'!H14+'25_FISCAL_IMPACT'!H15</f>
        <v>-6.65509213391093</v>
      </c>
      <c r="I16" s="72" t="n">
        <f aca="false">'25_FISCAL_IMPACT'!I14+'25_FISCAL_IMPACT'!I15</f>
        <v>-7.68738470281142</v>
      </c>
      <c r="J16" s="72" t="n">
        <f aca="false">'25_FISCAL_IMPACT'!J14+'25_FISCAL_IMPACT'!J15</f>
        <v>-7.54295094059949</v>
      </c>
      <c r="K16" s="72" t="n">
        <f aca="false">'25_FISCAL_IMPACT'!K14+'25_FISCAL_IMPACT'!K15</f>
        <v>-7.39618317648577</v>
      </c>
      <c r="L16" s="72" t="n">
        <f aca="false">'25_FISCAL_IMPACT'!L14+'25_FISCAL_IMPACT'!L15</f>
        <v>-7.24704519596611</v>
      </c>
      <c r="M16" s="72" t="n">
        <f aca="false">'25_FISCAL_IMPACT'!M14+'25_FISCAL_IMPACT'!M15</f>
        <v>-4.32417944466788</v>
      </c>
      <c r="N16" s="72" t="n">
        <f aca="false">'25_FISCAL_IMPACT'!N14+'25_FISCAL_IMPACT'!N15</f>
        <v>-3.94843597027088</v>
      </c>
      <c r="O16" s="72" t="n">
        <f aca="false">'25_FISCAL_IMPACT'!O14+'25_FISCAL_IMPACT'!O15</f>
        <v>-3.55424934790316</v>
      </c>
      <c r="P16" s="72" t="n">
        <f aca="false">'25_FISCAL_IMPACT'!P14+'25_FISCAL_IMPACT'!P15</f>
        <v>-3.14033991153254</v>
      </c>
      <c r="Q16" s="72" t="n">
        <f aca="false">'25_FISCAL_IMPACT'!Q14+'25_FISCAL_IMPACT'!Q15</f>
        <v>-2.70532884811004</v>
      </c>
      <c r="R16" s="72" t="n">
        <f aca="false">'25_FISCAL_IMPACT'!R14+'25_FISCAL_IMPACT'!R15</f>
        <v>-2.24773031732691</v>
      </c>
      <c r="S16" s="72" t="n">
        <f aca="false">'25_FISCAL_IMPACT'!S14+'25_FISCAL_IMPACT'!S15</f>
        <v>-1.76594294173512</v>
      </c>
      <c r="T16" s="72" t="n">
        <f aca="false">'25_FISCAL_IMPACT'!T14+'25_FISCAL_IMPACT'!T15</f>
        <v>-1.25824061687434</v>
      </c>
      <c r="U16" s="72" t="n">
        <f aca="false">'25_FISCAL_IMPACT'!U14+'25_FISCAL_IMPACT'!U15</f>
        <v>-0.722762587016828</v>
      </c>
      <c r="V16" s="72" t="n">
        <f aca="false">'25_FISCAL_IMPACT'!V14+'25_FISCAL_IMPACT'!V15</f>
        <v>-0.157502727788048</v>
      </c>
      <c r="W16" s="72" t="n">
        <f aca="false">'25_FISCAL_IMPACT'!W14+'25_FISCAL_IMPACT'!W15</f>
        <v>0.439702027772485</v>
      </c>
      <c r="X16" s="72" t="n">
        <f aca="false">'25_FISCAL_IMPACT'!X14+'25_FISCAL_IMPACT'!X15</f>
        <v>1.07118418822178</v>
      </c>
      <c r="Y16" s="72" t="n">
        <f aca="false">'25_FISCAL_IMPACT'!Y14+'25_FISCAL_IMPACT'!Y15</f>
        <v>1.34529526249459</v>
      </c>
      <c r="Z16" s="72" t="n">
        <f aca="false">'25_FISCAL_IMPACT'!Z14+'25_FISCAL_IMPACT'!Z15</f>
        <v>1.62415437301594</v>
      </c>
      <c r="AA16" s="72" t="n">
        <f aca="false">'25_FISCAL_IMPACT'!AA14+'25_FISCAL_IMPACT'!AA15</f>
        <v>1.90784262795884</v>
      </c>
      <c r="AB16" s="72" t="n">
        <f aca="false">'25_FISCAL_IMPACT'!AB14+'25_FISCAL_IMPACT'!AB15</f>
        <v>5.3111328800752</v>
      </c>
      <c r="AC16" s="72" t="n">
        <f aca="false">'25_FISCAL_IMPACT'!AC14+'25_FISCAL_IMPACT'!AC15</f>
        <v>5.60472821384454</v>
      </c>
      <c r="AD16" s="72" t="n">
        <f aca="false">'25_FISCAL_IMPACT'!AD14+'25_FISCAL_IMPACT'!AD15</f>
        <v>5.90340427081505</v>
      </c>
      <c r="AE16" s="72" t="n">
        <f aca="false">'25_FISCAL_IMPACT'!AE14+'25_FISCAL_IMPACT'!AE15</f>
        <v>6.20724773745822</v>
      </c>
      <c r="AF16" s="72" t="n">
        <f aca="false">'25_FISCAL_IMPACT'!AF14+'25_FISCAL_IMPACT'!AF15</f>
        <v>6.51634675231832</v>
      </c>
      <c r="AG16" s="72" t="n">
        <f aca="false">'25_FISCAL_IMPACT'!AG14+'25_FISCAL_IMPACT'!AG15</f>
        <v>0</v>
      </c>
      <c r="AH16" s="72" t="n">
        <f aca="false">'25_FISCAL_IMPACT'!AH14+'25_FISCAL_IMPACT'!AH15</f>
        <v>0</v>
      </c>
      <c r="AI16" s="72" t="n">
        <f aca="false">'25_FISCAL_IMPACT'!AI14+'25_FISCAL_IMPACT'!AI15</f>
        <v>0</v>
      </c>
      <c r="AJ16" s="72" t="n">
        <f aca="false">'25_FISCAL_IMPACT'!AJ14+'25_FISCAL_IMPACT'!AJ15</f>
        <v>0</v>
      </c>
      <c r="AK16" s="72" t="n">
        <f aca="false">'25_FISCAL_IMPACT'!AK14+'25_FISCAL_IMPACT'!AK15</f>
        <v>0</v>
      </c>
      <c r="AL16" s="72" t="n">
        <f aca="false">'25_FISCAL_IMPACT'!AL14+'25_FISCAL_IMPACT'!AL15</f>
        <v>0</v>
      </c>
      <c r="AM16" s="72" t="n">
        <f aca="false">'25_FISCAL_IMPACT'!AM14+'25_FISCAL_IMPACT'!AM15</f>
        <v>0</v>
      </c>
      <c r="AN16" s="72" t="n">
        <f aca="false">'25_FISCAL_IMPACT'!AN14+'25_FISCAL_IMPACT'!AN15</f>
        <v>0</v>
      </c>
      <c r="AO16" s="72" t="n">
        <f aca="false">'25_FISCAL_IMPACT'!AO14+'25_FISCAL_IMPACT'!AO15</f>
        <v>0</v>
      </c>
      <c r="AP16" s="72" t="n">
        <f aca="false">'25_FISCAL_IMPACT'!AP14+'25_FISCAL_IMPACT'!AP15</f>
        <v>0</v>
      </c>
      <c r="AQ16" s="72" t="n">
        <f aca="false">'25_FISCAL_IMPACT'!AQ14+'25_FISCAL_IMPACT'!AQ15</f>
        <v>0</v>
      </c>
      <c r="AR16" s="72" t="n">
        <f aca="false">'25_FISCAL_IMPACT'!AR14+'25_FISCAL_IMPACT'!AR15</f>
        <v>0</v>
      </c>
    </row>
    <row r="17" customFormat="false" ht="15" hidden="false" customHeight="true" outlineLevel="0" collapsed="false">
      <c r="A17" s="23" t="s">
        <v>1022</v>
      </c>
      <c r="B17" s="23" t="s">
        <v>121</v>
      </c>
      <c r="E17" s="58" t="n">
        <f aca="false">'25_FISCAL_IMPACT'!D17+'25_FISCAL_IMPACT'!E14</f>
        <v>0</v>
      </c>
      <c r="F17" s="58" t="n">
        <f aca="false">'25_FISCAL_IMPACT'!E17+'25_FISCAL_IMPACT'!F14</f>
        <v>0</v>
      </c>
      <c r="G17" s="58" t="n">
        <f aca="false">'25_FISCAL_IMPACT'!F17+'25_FISCAL_IMPACT'!G14</f>
        <v>0</v>
      </c>
      <c r="H17" s="58" t="n">
        <f aca="false">'25_FISCAL_IMPACT'!G17+'25_FISCAL_IMPACT'!H14</f>
        <v>0.672756405801438</v>
      </c>
      <c r="I17" s="58" t="n">
        <f aca="false">'25_FISCAL_IMPACT'!H17+'25_FISCAL_IMPACT'!I14</f>
        <v>1.48006409276316</v>
      </c>
      <c r="J17" s="58" t="n">
        <f aca="false">'25_FISCAL_IMPACT'!I17+'25_FISCAL_IMPACT'!J14</f>
        <v>2.30351793346412</v>
      </c>
      <c r="K17" s="58" t="n">
        <f aca="false">'25_FISCAL_IMPACT'!J17+'25_FISCAL_IMPACT'!K14</f>
        <v>3.1434408509791</v>
      </c>
      <c r="L17" s="58" t="n">
        <f aca="false">'25_FISCAL_IMPACT'!K17+'25_FISCAL_IMPACT'!L14</f>
        <v>4.00016222684438</v>
      </c>
      <c r="M17" s="58" t="n">
        <f aca="false">'25_FISCAL_IMPACT'!L17+'25_FISCAL_IMPACT'!M14</f>
        <v>7.64533884327045</v>
      </c>
      <c r="N17" s="58" t="n">
        <f aca="false">'25_FISCAL_IMPACT'!M17+'25_FISCAL_IMPACT'!N14</f>
        <v>11.5297468792021</v>
      </c>
      <c r="O17" s="58" t="n">
        <f aca="false">'25_FISCAL_IMPACT'!N17+'25_FISCAL_IMPACT'!O14</f>
        <v>15.6696969767432</v>
      </c>
      <c r="P17" s="58" t="n">
        <f aca="false">'25_FISCAL_IMPACT'!O17+'25_FISCAL_IMPACT'!P14</f>
        <v>20.0827480719372</v>
      </c>
      <c r="Q17" s="58" t="n">
        <f aca="false">'25_FISCAL_IMPACT'!P17+'25_FISCAL_IMPACT'!Q14</f>
        <v>24.7878061271329</v>
      </c>
      <c r="R17" s="58" t="n">
        <f aca="false">'25_FISCAL_IMPACT'!Q17+'25_FISCAL_IMPACT'!R14</f>
        <v>29.8052307393179</v>
      </c>
      <c r="S17" s="58" t="n">
        <f aca="false">'25_FISCAL_IMPACT'!R17+'25_FISCAL_IMPACT'!S14</f>
        <v>35.1569502540426</v>
      </c>
      <c r="T17" s="58" t="n">
        <f aca="false">'25_FISCAL_IMPACT'!S17+'25_FISCAL_IMPACT'!T14</f>
        <v>40.8665860649213</v>
      </c>
      <c r="U17" s="58" t="n">
        <f aca="false">'25_FISCAL_IMPACT'!T17+'25_FISCAL_IMPACT'!U14</f>
        <v>46.9595868330856</v>
      </c>
      <c r="V17" s="58" t="n">
        <f aca="false">'25_FISCAL_IMPACT'!U17+'25_FISCAL_IMPACT'!V14</f>
        <v>53.4633734197062</v>
      </c>
      <c r="W17" s="58" t="n">
        <f aca="false">'25_FISCAL_IMPACT'!V17+'25_FISCAL_IMPACT'!W14</f>
        <v>60.4074953881396</v>
      </c>
      <c r="X17" s="58" t="n">
        <f aca="false">'25_FISCAL_IMPACT'!W17+'25_FISCAL_IMPACT'!X14</f>
        <v>67.8238000007682</v>
      </c>
      <c r="Y17" s="58" t="n">
        <f aca="false">'25_FISCAL_IMPACT'!X17+'25_FISCAL_IMPACT'!Y14</f>
        <v>75.3524507703043</v>
      </c>
      <c r="Z17" s="58" t="n">
        <f aca="false">'25_FISCAL_IMPACT'!Y17+'25_FISCAL_IMPACT'!Z14</f>
        <v>82.9956946198863</v>
      </c>
      <c r="AA17" s="58" t="n">
        <f aca="false">'25_FISCAL_IMPACT'!Z17+'25_FISCAL_IMPACT'!AA14</f>
        <v>90.755823411115</v>
      </c>
      <c r="AB17" s="58" t="n">
        <f aca="false">'25_FISCAL_IMPACT'!AA17+'25_FISCAL_IMPACT'!AB14</f>
        <v>101.749865226606</v>
      </c>
      <c r="AC17" s="58" t="n">
        <f aca="false">'25_FISCAL_IMPACT'!AB17+'25_FISCAL_IMPACT'!AC14</f>
        <v>112.865514135386</v>
      </c>
      <c r="AD17" s="58" t="n">
        <f aca="false">'25_FISCAL_IMPACT'!AC17+'25_FISCAL_IMPACT'!AD14</f>
        <v>124.105202279321</v>
      </c>
      <c r="AE17" s="58" t="n">
        <f aca="false">'25_FISCAL_IMPACT'!AD17+'25_FISCAL_IMPACT'!AE14</f>
        <v>135.471410443114</v>
      </c>
      <c r="AF17" s="58" t="n">
        <f aca="false">'25_FISCAL_IMPACT'!AE17+'25_FISCAL_IMPACT'!AF14</f>
        <v>146.966669027163</v>
      </c>
      <c r="AG17" s="58" t="n">
        <f aca="false">'25_FISCAL_IMPACT'!AF17+'25_FISCAL_IMPACT'!AG14</f>
        <v>146.966669027163</v>
      </c>
      <c r="AH17" s="58" t="n">
        <f aca="false">'25_FISCAL_IMPACT'!AG17+'25_FISCAL_IMPACT'!AH14</f>
        <v>146.966669027163</v>
      </c>
      <c r="AI17" s="58" t="n">
        <f aca="false">'25_FISCAL_IMPACT'!AH17+'25_FISCAL_IMPACT'!AI14</f>
        <v>146.966669027163</v>
      </c>
      <c r="AJ17" s="58" t="n">
        <f aca="false">'25_FISCAL_IMPACT'!AI17+'25_FISCAL_IMPACT'!AJ14</f>
        <v>146.966669027163</v>
      </c>
      <c r="AK17" s="58" t="n">
        <f aca="false">'25_FISCAL_IMPACT'!AJ17+'25_FISCAL_IMPACT'!AK14</f>
        <v>146.966669027163</v>
      </c>
      <c r="AL17" s="58" t="n">
        <f aca="false">'25_FISCAL_IMPACT'!AK17+'25_FISCAL_IMPACT'!AL14</f>
        <v>146.966669027163</v>
      </c>
      <c r="AM17" s="58" t="n">
        <f aca="false">'25_FISCAL_IMPACT'!AL17+'25_FISCAL_IMPACT'!AM14</f>
        <v>146.966669027163</v>
      </c>
      <c r="AN17" s="58" t="n">
        <f aca="false">'25_FISCAL_IMPACT'!AM17+'25_FISCAL_IMPACT'!AN14</f>
        <v>146.966669027163</v>
      </c>
      <c r="AO17" s="58" t="n">
        <f aca="false">'25_FISCAL_IMPACT'!AN17+'25_FISCAL_IMPACT'!AO14</f>
        <v>146.966669027163</v>
      </c>
      <c r="AP17" s="58" t="n">
        <f aca="false">'25_FISCAL_IMPACT'!AO17+'25_FISCAL_IMPACT'!AP14</f>
        <v>146.966669027163</v>
      </c>
      <c r="AQ17" s="58" t="n">
        <f aca="false">'25_FISCAL_IMPACT'!AP17+'25_FISCAL_IMPACT'!AQ14</f>
        <v>146.966669027163</v>
      </c>
      <c r="AR17" s="58" t="n">
        <f aca="false">'25_FISCAL_IMPACT'!AQ17+'25_FISCAL_IMPACT'!AR14</f>
        <v>146.966669027163</v>
      </c>
    </row>
    <row r="18" customFormat="false" ht="15" hidden="false" customHeight="true" outlineLevel="0" collapsed="false">
      <c r="A18" s="23" t="s">
        <v>1023</v>
      </c>
      <c r="B18" s="23" t="s">
        <v>121</v>
      </c>
      <c r="C18" s="58" t="n">
        <f aca="false">MAX('25_FISCAL_IMPACT'!$E$18:$AR$18)</f>
        <v>0</v>
      </c>
      <c r="E18" s="58" t="n">
        <f aca="false">-('25_FISCAL_IMPACT'!E7+'25_FISCAL_IMPACT'!E8)</f>
        <v>0</v>
      </c>
      <c r="F18" s="58" t="n">
        <f aca="false">-('25_FISCAL_IMPACT'!F7+'25_FISCAL_IMPACT'!F8)</f>
        <v>0</v>
      </c>
      <c r="G18" s="58" t="n">
        <f aca="false">-('25_FISCAL_IMPACT'!G7+'25_FISCAL_IMPACT'!G8)</f>
        <v>0</v>
      </c>
      <c r="H18" s="58" t="n">
        <f aca="false">-('25_FISCAL_IMPACT'!H7+'25_FISCAL_IMPACT'!H8)</f>
        <v>0</v>
      </c>
      <c r="I18" s="58" t="n">
        <f aca="false">-('25_FISCAL_IMPACT'!I7+'25_FISCAL_IMPACT'!I8)</f>
        <v>0</v>
      </c>
      <c r="J18" s="58" t="n">
        <f aca="false">-('25_FISCAL_IMPACT'!J7+'25_FISCAL_IMPACT'!J8)</f>
        <v>0</v>
      </c>
      <c r="K18" s="58" t="n">
        <f aca="false">-('25_FISCAL_IMPACT'!K7+'25_FISCAL_IMPACT'!K8)</f>
        <v>0</v>
      </c>
      <c r="L18" s="58" t="n">
        <f aca="false">-('25_FISCAL_IMPACT'!L7+'25_FISCAL_IMPACT'!L8)</f>
        <v>0</v>
      </c>
      <c r="M18" s="58" t="n">
        <f aca="false">-('25_FISCAL_IMPACT'!M7+'25_FISCAL_IMPACT'!M8)</f>
        <v>0</v>
      </c>
      <c r="N18" s="58" t="n">
        <f aca="false">-('25_FISCAL_IMPACT'!N7+'25_FISCAL_IMPACT'!N8)</f>
        <v>0</v>
      </c>
      <c r="O18" s="58" t="n">
        <f aca="false">-('25_FISCAL_IMPACT'!O7+'25_FISCAL_IMPACT'!O8)</f>
        <v>0</v>
      </c>
      <c r="P18" s="58" t="n">
        <f aca="false">-('25_FISCAL_IMPACT'!P7+'25_FISCAL_IMPACT'!P8)</f>
        <v>0</v>
      </c>
      <c r="Q18" s="58" t="n">
        <f aca="false">-('25_FISCAL_IMPACT'!Q7+'25_FISCAL_IMPACT'!Q8)</f>
        <v>0</v>
      </c>
      <c r="R18" s="58" t="n">
        <f aca="false">-('25_FISCAL_IMPACT'!R7+'25_FISCAL_IMPACT'!R8)</f>
        <v>0</v>
      </c>
      <c r="S18" s="58" t="n">
        <f aca="false">-('25_FISCAL_IMPACT'!S7+'25_FISCAL_IMPACT'!S8)</f>
        <v>0</v>
      </c>
      <c r="T18" s="58" t="n">
        <f aca="false">-('25_FISCAL_IMPACT'!T7+'25_FISCAL_IMPACT'!T8)</f>
        <v>0</v>
      </c>
      <c r="U18" s="58" t="n">
        <f aca="false">-('25_FISCAL_IMPACT'!U7+'25_FISCAL_IMPACT'!U8)</f>
        <v>0</v>
      </c>
      <c r="V18" s="58" t="n">
        <f aca="false">-('25_FISCAL_IMPACT'!V7+'25_FISCAL_IMPACT'!V8)</f>
        <v>0</v>
      </c>
      <c r="W18" s="58" t="n">
        <f aca="false">-('25_FISCAL_IMPACT'!W7+'25_FISCAL_IMPACT'!W8)</f>
        <v>0</v>
      </c>
      <c r="X18" s="58" t="n">
        <f aca="false">-('25_FISCAL_IMPACT'!X7+'25_FISCAL_IMPACT'!X8)</f>
        <v>0</v>
      </c>
      <c r="Y18" s="58" t="n">
        <f aca="false">-('25_FISCAL_IMPACT'!Y7+'25_FISCAL_IMPACT'!Y8)</f>
        <v>0</v>
      </c>
      <c r="Z18" s="58" t="n">
        <f aca="false">-('25_FISCAL_IMPACT'!Z7+'25_FISCAL_IMPACT'!Z8)</f>
        <v>0</v>
      </c>
      <c r="AA18" s="58" t="n">
        <f aca="false">-('25_FISCAL_IMPACT'!AA7+'25_FISCAL_IMPACT'!AA8)</f>
        <v>0</v>
      </c>
      <c r="AB18" s="58" t="n">
        <f aca="false">-('25_FISCAL_IMPACT'!AB7+'25_FISCAL_IMPACT'!AB8)</f>
        <v>0</v>
      </c>
      <c r="AC18" s="58" t="n">
        <f aca="false">-('25_FISCAL_IMPACT'!AC7+'25_FISCAL_IMPACT'!AC8)</f>
        <v>0</v>
      </c>
      <c r="AD18" s="58" t="n">
        <f aca="false">-('25_FISCAL_IMPACT'!AD7+'25_FISCAL_IMPACT'!AD8)</f>
        <v>0</v>
      </c>
      <c r="AE18" s="58" t="n">
        <f aca="false">-('25_FISCAL_IMPACT'!AE7+'25_FISCAL_IMPACT'!AE8)</f>
        <v>0</v>
      </c>
      <c r="AF18" s="58" t="n">
        <f aca="false">-('25_FISCAL_IMPACT'!AF7+'25_FISCAL_IMPACT'!AF8)</f>
        <v>0</v>
      </c>
      <c r="AG18" s="58" t="n">
        <f aca="false">-('25_FISCAL_IMPACT'!AG7+'25_FISCAL_IMPACT'!AG8)</f>
        <v>0</v>
      </c>
      <c r="AH18" s="58" t="n">
        <f aca="false">-('25_FISCAL_IMPACT'!AH7+'25_FISCAL_IMPACT'!AH8)</f>
        <v>0</v>
      </c>
      <c r="AI18" s="58" t="n">
        <f aca="false">-('25_FISCAL_IMPACT'!AI7+'25_FISCAL_IMPACT'!AI8)</f>
        <v>0</v>
      </c>
      <c r="AJ18" s="58" t="n">
        <f aca="false">-('25_FISCAL_IMPACT'!AJ7+'25_FISCAL_IMPACT'!AJ8)</f>
        <v>0</v>
      </c>
      <c r="AK18" s="58" t="n">
        <f aca="false">-('25_FISCAL_IMPACT'!AK7+'25_FISCAL_IMPACT'!AK8)</f>
        <v>0</v>
      </c>
      <c r="AL18" s="58" t="n">
        <f aca="false">-('25_FISCAL_IMPACT'!AL7+'25_FISCAL_IMPACT'!AL8)</f>
        <v>0</v>
      </c>
      <c r="AM18" s="58" t="n">
        <f aca="false">-('25_FISCAL_IMPACT'!AM7+'25_FISCAL_IMPACT'!AM8)</f>
        <v>0</v>
      </c>
      <c r="AN18" s="58" t="n">
        <f aca="false">-('25_FISCAL_IMPACT'!AN7+'25_FISCAL_IMPACT'!AN8)</f>
        <v>0</v>
      </c>
      <c r="AO18" s="58" t="n">
        <f aca="false">-('25_FISCAL_IMPACT'!AO7+'25_FISCAL_IMPACT'!AO8)</f>
        <v>0</v>
      </c>
      <c r="AP18" s="58" t="n">
        <f aca="false">-('25_FISCAL_IMPACT'!AP7+'25_FISCAL_IMPACT'!AP8)</f>
        <v>0</v>
      </c>
      <c r="AQ18" s="58" t="n">
        <f aca="false">-('25_FISCAL_IMPACT'!AQ7+'25_FISCAL_IMPACT'!AQ8)</f>
        <v>0</v>
      </c>
      <c r="AR18" s="58" t="n">
        <f aca="false">-('25_FISCAL_IMPACT'!AR7+'25_FISCAL_IMPACT'!AR8)</f>
        <v>0</v>
      </c>
    </row>
    <row r="19" customFormat="false" ht="15" hidden="false" customHeight="true" outlineLevel="0" collapsed="false">
      <c r="A19" s="23" t="s">
        <v>1024</v>
      </c>
      <c r="B19" s="23" t="s">
        <v>93</v>
      </c>
      <c r="C19" s="89" t="n">
        <f aca="false">MAX('25_FISCAL_IMPACT'!$E$19:$AR$19)</f>
        <v>0</v>
      </c>
      <c r="E19" s="89" t="n">
        <f aca="false">'25_FISCAL_IMPACT'!E18/'26_DEBT_SUSTAINABILITY'!E22</f>
        <v>0</v>
      </c>
      <c r="F19" s="89" t="n">
        <f aca="false">'25_FISCAL_IMPACT'!F18/'26_DEBT_SUSTAINABILITY'!F22</f>
        <v>0</v>
      </c>
      <c r="G19" s="89" t="n">
        <f aca="false">'25_FISCAL_IMPACT'!G18/'26_DEBT_SUSTAINABILITY'!G22</f>
        <v>0</v>
      </c>
      <c r="H19" s="89" t="n">
        <f aca="false">'25_FISCAL_IMPACT'!H18/'26_DEBT_SUSTAINABILITY'!H22</f>
        <v>0</v>
      </c>
      <c r="I19" s="89" t="n">
        <f aca="false">'25_FISCAL_IMPACT'!I18/'26_DEBT_SUSTAINABILITY'!I22</f>
        <v>0</v>
      </c>
      <c r="J19" s="89" t="n">
        <f aca="false">'25_FISCAL_IMPACT'!J18/'26_DEBT_SUSTAINABILITY'!J22</f>
        <v>0</v>
      </c>
      <c r="K19" s="89" t="n">
        <f aca="false">'25_FISCAL_IMPACT'!K18/'26_DEBT_SUSTAINABILITY'!K22</f>
        <v>0</v>
      </c>
      <c r="L19" s="89" t="n">
        <f aca="false">'25_FISCAL_IMPACT'!L18/'26_DEBT_SUSTAINABILITY'!L22</f>
        <v>0</v>
      </c>
      <c r="M19" s="89" t="n">
        <f aca="false">'25_FISCAL_IMPACT'!M18/'26_DEBT_SUSTAINABILITY'!M22</f>
        <v>0</v>
      </c>
      <c r="N19" s="89" t="n">
        <f aca="false">'25_FISCAL_IMPACT'!N18/'26_DEBT_SUSTAINABILITY'!N22</f>
        <v>0</v>
      </c>
      <c r="O19" s="89" t="n">
        <f aca="false">'25_FISCAL_IMPACT'!O18/'26_DEBT_SUSTAINABILITY'!O22</f>
        <v>0</v>
      </c>
      <c r="P19" s="89" t="n">
        <f aca="false">'25_FISCAL_IMPACT'!P18/'26_DEBT_SUSTAINABILITY'!P22</f>
        <v>0</v>
      </c>
      <c r="Q19" s="89" t="n">
        <f aca="false">'25_FISCAL_IMPACT'!Q18/'26_DEBT_SUSTAINABILITY'!Q22</f>
        <v>0</v>
      </c>
      <c r="R19" s="89" t="n">
        <f aca="false">'25_FISCAL_IMPACT'!R18/'26_DEBT_SUSTAINABILITY'!R22</f>
        <v>0</v>
      </c>
      <c r="S19" s="89" t="n">
        <f aca="false">'25_FISCAL_IMPACT'!S18/'26_DEBT_SUSTAINABILITY'!S22</f>
        <v>0</v>
      </c>
      <c r="T19" s="89" t="n">
        <f aca="false">'25_FISCAL_IMPACT'!T18/'26_DEBT_SUSTAINABILITY'!T22</f>
        <v>0</v>
      </c>
      <c r="U19" s="89" t="n">
        <f aca="false">'25_FISCAL_IMPACT'!U18/'26_DEBT_SUSTAINABILITY'!U22</f>
        <v>0</v>
      </c>
      <c r="V19" s="89" t="n">
        <f aca="false">'25_FISCAL_IMPACT'!V18/'26_DEBT_SUSTAINABILITY'!V22</f>
        <v>0</v>
      </c>
      <c r="W19" s="89" t="n">
        <f aca="false">'25_FISCAL_IMPACT'!W18/'26_DEBT_SUSTAINABILITY'!W22</f>
        <v>0</v>
      </c>
      <c r="X19" s="89" t="n">
        <f aca="false">'25_FISCAL_IMPACT'!X18/'26_DEBT_SUSTAINABILITY'!X22</f>
        <v>0</v>
      </c>
      <c r="Y19" s="89" t="n">
        <f aca="false">'25_FISCAL_IMPACT'!Y18/'26_DEBT_SUSTAINABILITY'!Y22</f>
        <v>0</v>
      </c>
      <c r="Z19" s="89" t="n">
        <f aca="false">'25_FISCAL_IMPACT'!Z18/'26_DEBT_SUSTAINABILITY'!Z22</f>
        <v>0</v>
      </c>
      <c r="AA19" s="89" t="n">
        <f aca="false">'25_FISCAL_IMPACT'!AA18/'26_DEBT_SUSTAINABILITY'!AA22</f>
        <v>0</v>
      </c>
      <c r="AB19" s="89" t="n">
        <f aca="false">'25_FISCAL_IMPACT'!AB18/'26_DEBT_SUSTAINABILITY'!AB22</f>
        <v>0</v>
      </c>
      <c r="AC19" s="89" t="n">
        <f aca="false">'25_FISCAL_IMPACT'!AC18/'26_DEBT_SUSTAINABILITY'!AC22</f>
        <v>0</v>
      </c>
      <c r="AD19" s="89" t="n">
        <f aca="false">'25_FISCAL_IMPACT'!AD18/'26_DEBT_SUSTAINABILITY'!AD22</f>
        <v>0</v>
      </c>
      <c r="AE19" s="89" t="n">
        <f aca="false">'25_FISCAL_IMPACT'!AE18/'26_DEBT_SUSTAINABILITY'!AE22</f>
        <v>0</v>
      </c>
      <c r="AF19" s="89" t="n">
        <f aca="false">'25_FISCAL_IMPACT'!AF18/'26_DEBT_SUSTAINABILITY'!AF22</f>
        <v>0</v>
      </c>
      <c r="AG19" s="89" t="n">
        <f aca="false">'25_FISCAL_IMPACT'!AG18/'26_DEBT_SUSTAINABILITY'!AG22</f>
        <v>0</v>
      </c>
      <c r="AH19" s="89" t="n">
        <f aca="false">'25_FISCAL_IMPACT'!AH18/'26_DEBT_SUSTAINABILITY'!AH22</f>
        <v>0</v>
      </c>
      <c r="AI19" s="89" t="n">
        <f aca="false">'25_FISCAL_IMPACT'!AI18/'26_DEBT_SUSTAINABILITY'!AI22</f>
        <v>0</v>
      </c>
      <c r="AJ19" s="89" t="n">
        <f aca="false">'25_FISCAL_IMPACT'!AJ18/'26_DEBT_SUSTAINABILITY'!AJ22</f>
        <v>0</v>
      </c>
      <c r="AK19" s="89" t="n">
        <f aca="false">'25_FISCAL_IMPACT'!AK18/'26_DEBT_SUSTAINABILITY'!AK22</f>
        <v>0</v>
      </c>
      <c r="AL19" s="89" t="n">
        <f aca="false">'25_FISCAL_IMPACT'!AL18/'26_DEBT_SUSTAINABILITY'!AL22</f>
        <v>0</v>
      </c>
      <c r="AM19" s="89" t="n">
        <f aca="false">'25_FISCAL_IMPACT'!AM18/'26_DEBT_SUSTAINABILITY'!AM22</f>
        <v>0</v>
      </c>
      <c r="AN19" s="89" t="n">
        <f aca="false">'25_FISCAL_IMPACT'!AN18/'26_DEBT_SUSTAINABILITY'!AN22</f>
        <v>0</v>
      </c>
      <c r="AO19" s="89" t="n">
        <f aca="false">'25_FISCAL_IMPACT'!AO18/'26_DEBT_SUSTAINABILITY'!AO22</f>
        <v>0</v>
      </c>
      <c r="AP19" s="89" t="n">
        <f aca="false">'25_FISCAL_IMPACT'!AP18/'26_DEBT_SUSTAINABILITY'!AP22</f>
        <v>0</v>
      </c>
      <c r="AQ19" s="89" t="n">
        <f aca="false">'25_FISCAL_IMPACT'!AQ18/'26_DEBT_SUSTAINABILITY'!AQ22</f>
        <v>0</v>
      </c>
      <c r="AR19" s="89" t="n">
        <f aca="false">'25_FISCAL_IMPACT'!AR18/'26_DEBT_SUSTAINABILITY'!AR22</f>
        <v>0</v>
      </c>
    </row>
    <row r="20" customFormat="false" ht="15" hidden="false" customHeight="true" outlineLevel="0" collapsed="false">
      <c r="A20" s="19" t="s">
        <v>1025</v>
      </c>
      <c r="B20" s="23" t="s">
        <v>121</v>
      </c>
      <c r="C20" s="67" t="n">
        <f aca="false">SUMPRODUCT('25_FISCAL_IMPACT'!$E$14:$AR$14,'24_CONTINGENT_LIABILITIES'!$E$19:$AR$19)</f>
        <v>34.7880224785295</v>
      </c>
    </row>
    <row r="21" customFormat="false" ht="15" hidden="false" customHeight="true" outlineLevel="0" collapsed="false">
      <c r="A21" s="19" t="s">
        <v>1026</v>
      </c>
      <c r="B21" s="23" t="s">
        <v>121</v>
      </c>
      <c r="C21" s="67" t="n">
        <f aca="false">SUMPRODUCT('25_FISCAL_IMPACT'!$E$16:$AR$16,'24_CONTINGENT_LIABILITIES'!$E$19:$AR$19)</f>
        <v>-27.5809643867341</v>
      </c>
    </row>
    <row r="22" customFormat="false" ht="15" hidden="false" customHeight="true" outlineLevel="0" collapsed="false">
      <c r="A22" s="19" t="s">
        <v>1027</v>
      </c>
      <c r="B22" s="23" t="s">
        <v>121</v>
      </c>
      <c r="C22" s="67" t="n">
        <f aca="false">'25_FISCAL_IMPACT'!$C$20-'24_CONTINGENT_LIABILITIES'!$C$21</f>
        <v>14.3998612724177</v>
      </c>
    </row>
    <row r="23" customFormat="false" ht="15" hidden="false" customHeight="true" outlineLevel="0" collapsed="false">
      <c r="A23" s="19" t="s">
        <v>1028</v>
      </c>
      <c r="B23" s="23" t="s">
        <v>121</v>
      </c>
      <c r="C23" s="67" t="n">
        <f aca="false">'25_FISCAL_IMPACT'!$C$18</f>
        <v>0</v>
      </c>
    </row>
    <row r="24" customFormat="false" ht="15" hidden="false" customHeight="true" outlineLevel="0" collapsed="false">
      <c r="A24" s="19" t="s">
        <v>1029</v>
      </c>
      <c r="B24" s="23" t="s">
        <v>93</v>
      </c>
      <c r="C24" s="102" t="n">
        <f aca="false">'25_FISCAL_IMPACT'!$C$19</f>
        <v>0</v>
      </c>
    </row>
    <row r="25" customFormat="false" ht="15" hidden="false" customHeight="true" outlineLevel="0" collapsed="false">
      <c r="A25" s="19" t="s">
        <v>1030</v>
      </c>
      <c r="B25" s="23" t="s">
        <v>121</v>
      </c>
      <c r="C25" s="67" t="n">
        <f aca="false">-MIN(0,MIN('25_FISCAL_IMPACT'!$E$17:$AR$17))</f>
        <v>-0</v>
      </c>
    </row>
    <row r="26" customFormat="false" ht="15" hidden="false" customHeight="true" outlineLevel="0" collapsed="false">
      <c r="A26" s="23" t="s">
        <v>1031</v>
      </c>
      <c r="B26" s="23" t="s">
        <v>121</v>
      </c>
      <c r="C26" s="66" t="n">
        <f aca="false">'21_TAX'!$C$19</f>
        <v>8.56026992556398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R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4"/>
    <col collapsed="false" customWidth="true" hidden="false" outlineLevel="0" max="44" min="5" style="1" width="10.5"/>
  </cols>
  <sheetData>
    <row r="1" customFormat="false" ht="17.25" hidden="false" customHeight="true" outlineLevel="0" collapsed="false">
      <c r="A1" s="16" t="s">
        <v>1032</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row>
    <row r="2" customFormat="false" ht="15" hidden="false" customHeight="true" outlineLevel="0" collapsed="false">
      <c r="A2" s="18" t="s">
        <v>1033</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row>
    <row r="6" customFormat="false" ht="15" hidden="false" customHeight="true" outlineLevel="0" collapsed="false">
      <c r="A6" s="21" t="s">
        <v>1034</v>
      </c>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row>
    <row r="7" customFormat="false" ht="15" hidden="false" customHeight="true" outlineLevel="0" collapsed="false">
      <c r="A7" s="23" t="s">
        <v>1035</v>
      </c>
      <c r="B7" s="23" t="s">
        <v>1036</v>
      </c>
      <c r="C7" s="73" t="n">
        <v>35</v>
      </c>
      <c r="D7" s="25" t="s">
        <v>241</v>
      </c>
    </row>
    <row r="8" customFormat="false" ht="15" hidden="false" customHeight="true" outlineLevel="0" collapsed="false">
      <c r="A8" s="23" t="s">
        <v>1037</v>
      </c>
      <c r="B8" s="23" t="s">
        <v>237</v>
      </c>
      <c r="C8" s="27" t="n">
        <v>0.05</v>
      </c>
    </row>
    <row r="9" customFormat="false" ht="15" hidden="false" customHeight="true" outlineLevel="0" collapsed="false">
      <c r="A9" s="23" t="s">
        <v>1038</v>
      </c>
      <c r="B9" s="23" t="s">
        <v>1039</v>
      </c>
      <c r="C9" s="27" t="n">
        <v>0.16</v>
      </c>
    </row>
    <row r="10" customFormat="false" ht="15" hidden="false" customHeight="true" outlineLevel="0" collapsed="false">
      <c r="A10" s="23" t="s">
        <v>1040</v>
      </c>
      <c r="B10" s="23" t="s">
        <v>1039</v>
      </c>
      <c r="C10" s="39" t="n">
        <v>0.48</v>
      </c>
    </row>
    <row r="11" customFormat="false" ht="15" hidden="false" customHeight="true" outlineLevel="0" collapsed="false">
      <c r="A11" s="23" t="s">
        <v>1041</v>
      </c>
      <c r="B11" s="23" t="s">
        <v>93</v>
      </c>
      <c r="C11" s="27" t="n">
        <v>0.55</v>
      </c>
    </row>
    <row r="12" customFormat="false" ht="15" hidden="false" customHeight="true" outlineLevel="0" collapsed="false">
      <c r="A12" s="23" t="s">
        <v>1042</v>
      </c>
      <c r="B12" s="23" t="s">
        <v>93</v>
      </c>
      <c r="C12" s="27" t="n">
        <v>0.22</v>
      </c>
    </row>
    <row r="13" customFormat="false" ht="15" hidden="false" customHeight="true" outlineLevel="0" collapsed="false">
      <c r="A13" s="23" t="s">
        <v>1043</v>
      </c>
      <c r="B13" s="23" t="s">
        <v>1039</v>
      </c>
      <c r="C13" s="27" t="n">
        <v>-0.045</v>
      </c>
    </row>
    <row r="14" customFormat="false" ht="15" hidden="false" customHeight="true" outlineLevel="0" collapsed="false">
      <c r="A14" s="23" t="s">
        <v>1044</v>
      </c>
      <c r="B14" s="23" t="s">
        <v>79</v>
      </c>
      <c r="C14" s="24" t="n">
        <v>2</v>
      </c>
      <c r="D14" s="25" t="s">
        <v>1045</v>
      </c>
    </row>
    <row r="15" customFormat="false" ht="15" hidden="false" customHeight="true" outlineLevel="0" collapsed="false">
      <c r="A15" s="21" t="s">
        <v>1046</v>
      </c>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row>
    <row r="16" customFormat="false" ht="15" hidden="false" customHeight="true" outlineLevel="0" collapsed="false">
      <c r="A16" s="23" t="s">
        <v>1047</v>
      </c>
      <c r="B16" s="23" t="s">
        <v>1039</v>
      </c>
      <c r="C16" s="27" t="n">
        <v>0.55</v>
      </c>
      <c r="D16" s="25" t="s">
        <v>1048</v>
      </c>
    </row>
    <row r="17" customFormat="false" ht="15" hidden="false" customHeight="true" outlineLevel="0" collapsed="false">
      <c r="A17" s="23" t="s">
        <v>1049</v>
      </c>
      <c r="B17" s="23" t="s">
        <v>1039</v>
      </c>
      <c r="C17" s="27" t="n">
        <v>0.01</v>
      </c>
      <c r="D17" s="25" t="s">
        <v>1050</v>
      </c>
    </row>
    <row r="18" customFormat="false" ht="15" hidden="false" customHeight="true" outlineLevel="0" collapsed="false">
      <c r="A18" s="23" t="s">
        <v>1051</v>
      </c>
      <c r="B18" s="23" t="s">
        <v>1039</v>
      </c>
      <c r="C18" s="27" t="n">
        <v>0.02</v>
      </c>
      <c r="D18" s="25" t="s">
        <v>1050</v>
      </c>
    </row>
    <row r="19" customFormat="false" ht="15" hidden="false" customHeight="true" outlineLevel="0" collapsed="false">
      <c r="A19" s="23" t="s">
        <v>1052</v>
      </c>
      <c r="B19" s="23" t="s">
        <v>1053</v>
      </c>
      <c r="C19" s="27" t="n">
        <v>0.01</v>
      </c>
      <c r="D19" s="25" t="s">
        <v>1050</v>
      </c>
    </row>
    <row r="20" customFormat="false" ht="15" hidden="false" customHeight="true" outlineLevel="0" collapsed="false">
      <c r="A20" s="21" t="s">
        <v>1054</v>
      </c>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row>
    <row r="21" customFormat="false" ht="15" hidden="false" customHeight="true" outlineLevel="0" collapsed="false">
      <c r="A21" s="23" t="s">
        <v>1035</v>
      </c>
      <c r="B21" s="23" t="s">
        <v>121</v>
      </c>
      <c r="E21" s="56" t="n">
        <f aca="false">'26_DEBT_SUSTAINABILITY'!$C$7*1000*(1+'26_DEBT_SUSTAINABILITY'!$C$8)^('06_CONSTRUCTION'!E4-'02_PROJECT_INPUTS'!$C$11)</f>
        <v>36750</v>
      </c>
      <c r="F21" s="56" t="n">
        <f aca="false">'26_DEBT_SUSTAINABILITY'!$C$7*1000*(1+'26_DEBT_SUSTAINABILITY'!$C$8)^('06_CONSTRUCTION'!F4-'02_PROJECT_INPUTS'!$C$11)</f>
        <v>38587.5</v>
      </c>
      <c r="G21" s="56" t="n">
        <f aca="false">'26_DEBT_SUSTAINABILITY'!$C$7*1000*(1+'26_DEBT_SUSTAINABILITY'!$C$8)^('06_CONSTRUCTION'!G4-'02_PROJECT_INPUTS'!$C$11)</f>
        <v>40516.875</v>
      </c>
      <c r="H21" s="56" t="n">
        <f aca="false">'26_DEBT_SUSTAINABILITY'!$C$7*1000*(1+'26_DEBT_SUSTAINABILITY'!$C$8)^('06_CONSTRUCTION'!H4-'02_PROJECT_INPUTS'!$C$11)</f>
        <v>42542.71875</v>
      </c>
      <c r="I21" s="56" t="n">
        <f aca="false">'26_DEBT_SUSTAINABILITY'!$C$7*1000*(1+'26_DEBT_SUSTAINABILITY'!$C$8)^('06_CONSTRUCTION'!I4-'02_PROJECT_INPUTS'!$C$11)</f>
        <v>44669.8546875</v>
      </c>
      <c r="J21" s="56" t="n">
        <f aca="false">'26_DEBT_SUSTAINABILITY'!$C$7*1000*(1+'26_DEBT_SUSTAINABILITY'!$C$8)^('06_CONSTRUCTION'!J4-'02_PROJECT_INPUTS'!$C$11)</f>
        <v>46903.347421875</v>
      </c>
      <c r="K21" s="56" t="n">
        <f aca="false">'26_DEBT_SUSTAINABILITY'!$C$7*1000*(1+'26_DEBT_SUSTAINABILITY'!$C$8)^('06_CONSTRUCTION'!K4-'02_PROJECT_INPUTS'!$C$11)</f>
        <v>49248.5147929688</v>
      </c>
      <c r="L21" s="56" t="n">
        <f aca="false">'26_DEBT_SUSTAINABILITY'!$C$7*1000*(1+'26_DEBT_SUSTAINABILITY'!$C$8)^('06_CONSTRUCTION'!L4-'02_PROJECT_INPUTS'!$C$11)</f>
        <v>51710.9405326172</v>
      </c>
      <c r="M21" s="56" t="n">
        <f aca="false">'26_DEBT_SUSTAINABILITY'!$C$7*1000*(1+'26_DEBT_SUSTAINABILITY'!$C$8)^('06_CONSTRUCTION'!M4-'02_PROJECT_INPUTS'!$C$11)</f>
        <v>54296.4875592481</v>
      </c>
      <c r="N21" s="56" t="n">
        <f aca="false">'26_DEBT_SUSTAINABILITY'!$C$7*1000*(1+'26_DEBT_SUSTAINABILITY'!$C$8)^('06_CONSTRUCTION'!N4-'02_PROJECT_INPUTS'!$C$11)</f>
        <v>57011.3119372105</v>
      </c>
      <c r="O21" s="56" t="n">
        <f aca="false">'26_DEBT_SUSTAINABILITY'!$C$7*1000*(1+'26_DEBT_SUSTAINABILITY'!$C$8)^('06_CONSTRUCTION'!O4-'02_PROJECT_INPUTS'!$C$11)</f>
        <v>59861.877534071</v>
      </c>
      <c r="P21" s="56" t="n">
        <f aca="false">'26_DEBT_SUSTAINABILITY'!$C$7*1000*(1+'26_DEBT_SUSTAINABILITY'!$C$8)^('06_CONSTRUCTION'!P4-'02_PROJECT_INPUTS'!$C$11)</f>
        <v>62854.9714107746</v>
      </c>
      <c r="Q21" s="56" t="n">
        <f aca="false">'26_DEBT_SUSTAINABILITY'!$C$7*1000*(1+'26_DEBT_SUSTAINABILITY'!$C$8)^('06_CONSTRUCTION'!Q4-'02_PROJECT_INPUTS'!$C$11)</f>
        <v>65997.7199813133</v>
      </c>
      <c r="R21" s="56" t="n">
        <f aca="false">'26_DEBT_SUSTAINABILITY'!$C$7*1000*(1+'26_DEBT_SUSTAINABILITY'!$C$8)^('06_CONSTRUCTION'!R4-'02_PROJECT_INPUTS'!$C$11)</f>
        <v>69297.605980379</v>
      </c>
      <c r="S21" s="56" t="n">
        <f aca="false">'26_DEBT_SUSTAINABILITY'!$C$7*1000*(1+'26_DEBT_SUSTAINABILITY'!$C$8)^('06_CONSTRUCTION'!S4-'02_PROJECT_INPUTS'!$C$11)</f>
        <v>72762.4862793979</v>
      </c>
      <c r="T21" s="56" t="n">
        <f aca="false">'26_DEBT_SUSTAINABILITY'!$C$7*1000*(1+'26_DEBT_SUSTAINABILITY'!$C$8)^('06_CONSTRUCTION'!T4-'02_PROJECT_INPUTS'!$C$11)</f>
        <v>76400.6105933678</v>
      </c>
      <c r="U21" s="56" t="n">
        <f aca="false">'26_DEBT_SUSTAINABILITY'!$C$7*1000*(1+'26_DEBT_SUSTAINABILITY'!$C$8)^('06_CONSTRUCTION'!U4-'02_PROJECT_INPUTS'!$C$11)</f>
        <v>80220.6411230362</v>
      </c>
      <c r="V21" s="56" t="n">
        <f aca="false">'26_DEBT_SUSTAINABILITY'!$C$7*1000*(1+'26_DEBT_SUSTAINABILITY'!$C$8)^('06_CONSTRUCTION'!V4-'02_PROJECT_INPUTS'!$C$11)</f>
        <v>84231.673179188</v>
      </c>
      <c r="W21" s="56" t="n">
        <f aca="false">'26_DEBT_SUSTAINABILITY'!$C$7*1000*(1+'26_DEBT_SUSTAINABILITY'!$C$8)^('06_CONSTRUCTION'!W4-'02_PROJECT_INPUTS'!$C$11)</f>
        <v>88443.2568381474</v>
      </c>
      <c r="X21" s="56" t="n">
        <f aca="false">'26_DEBT_SUSTAINABILITY'!$C$7*1000*(1+'26_DEBT_SUSTAINABILITY'!$C$8)^('06_CONSTRUCTION'!X4-'02_PROJECT_INPUTS'!$C$11)</f>
        <v>92865.4196800548</v>
      </c>
      <c r="Y21" s="56" t="n">
        <f aca="false">'26_DEBT_SUSTAINABILITY'!$C$7*1000*(1+'26_DEBT_SUSTAINABILITY'!$C$8)^('06_CONSTRUCTION'!Y4-'02_PROJECT_INPUTS'!$C$11)</f>
        <v>97508.6906640575</v>
      </c>
      <c r="Z21" s="56" t="n">
        <f aca="false">'26_DEBT_SUSTAINABILITY'!$C$7*1000*(1+'26_DEBT_SUSTAINABILITY'!$C$8)^('06_CONSTRUCTION'!Z4-'02_PROJECT_INPUTS'!$C$11)</f>
        <v>102384.12519726</v>
      </c>
      <c r="AA21" s="56" t="n">
        <f aca="false">'26_DEBT_SUSTAINABILITY'!$C$7*1000*(1+'26_DEBT_SUSTAINABILITY'!$C$8)^('06_CONSTRUCTION'!AA4-'02_PROJECT_INPUTS'!$C$11)</f>
        <v>107503.331457123</v>
      </c>
      <c r="AB21" s="56" t="n">
        <f aca="false">'26_DEBT_SUSTAINABILITY'!$C$7*1000*(1+'26_DEBT_SUSTAINABILITY'!$C$8)^('06_CONSTRUCTION'!AB4-'02_PROJECT_INPUTS'!$C$11)</f>
        <v>112878.49802998</v>
      </c>
      <c r="AC21" s="56" t="n">
        <f aca="false">'26_DEBT_SUSTAINABILITY'!$C$7*1000*(1+'26_DEBT_SUSTAINABILITY'!$C$8)^('06_CONSTRUCTION'!AC4-'02_PROJECT_INPUTS'!$C$11)</f>
        <v>118522.422931479</v>
      </c>
      <c r="AD21" s="56" t="n">
        <f aca="false">'26_DEBT_SUSTAINABILITY'!$C$7*1000*(1+'26_DEBT_SUSTAINABILITY'!$C$8)^('06_CONSTRUCTION'!AD4-'02_PROJECT_INPUTS'!$C$11)</f>
        <v>124448.544078053</v>
      </c>
      <c r="AE21" s="56" t="n">
        <f aca="false">'26_DEBT_SUSTAINABILITY'!$C$7*1000*(1+'26_DEBT_SUSTAINABILITY'!$C$8)^('06_CONSTRUCTION'!AE4-'02_PROJECT_INPUTS'!$C$11)</f>
        <v>130670.971281955</v>
      </c>
      <c r="AF21" s="56" t="n">
        <f aca="false">'26_DEBT_SUSTAINABILITY'!$C$7*1000*(1+'26_DEBT_SUSTAINABILITY'!$C$8)^('06_CONSTRUCTION'!AF4-'02_PROJECT_INPUTS'!$C$11)</f>
        <v>137204.519846053</v>
      </c>
      <c r="AG21" s="56" t="n">
        <f aca="false">'26_DEBT_SUSTAINABILITY'!$C$7*1000*(1+'26_DEBT_SUSTAINABILITY'!$C$8)^('06_CONSTRUCTION'!AG4-'02_PROJECT_INPUTS'!$C$11)</f>
        <v>144064.745838356</v>
      </c>
      <c r="AH21" s="56" t="n">
        <f aca="false">'26_DEBT_SUSTAINABILITY'!$C$7*1000*(1+'26_DEBT_SUSTAINABILITY'!$C$8)^('06_CONSTRUCTION'!AH4-'02_PROJECT_INPUTS'!$C$11)</f>
        <v>151267.983130273</v>
      </c>
      <c r="AI21" s="56" t="n">
        <f aca="false">'26_DEBT_SUSTAINABILITY'!$C$7*1000*(1+'26_DEBT_SUSTAINABILITY'!$C$8)^('06_CONSTRUCTION'!AI4-'02_PROJECT_INPUTS'!$C$11)</f>
        <v>158831.382286787</v>
      </c>
      <c r="AJ21" s="56" t="n">
        <f aca="false">'26_DEBT_SUSTAINABILITY'!$C$7*1000*(1+'26_DEBT_SUSTAINABILITY'!$C$8)^('06_CONSTRUCTION'!AJ4-'02_PROJECT_INPUTS'!$C$11)</f>
        <v>166772.951401126</v>
      </c>
      <c r="AK21" s="56" t="n">
        <f aca="false">'26_DEBT_SUSTAINABILITY'!$C$7*1000*(1+'26_DEBT_SUSTAINABILITY'!$C$8)^('06_CONSTRUCTION'!AK4-'02_PROJECT_INPUTS'!$C$11)</f>
        <v>175111.598971183</v>
      </c>
      <c r="AL21" s="56" t="n">
        <f aca="false">'26_DEBT_SUSTAINABILITY'!$C$7*1000*(1+'26_DEBT_SUSTAINABILITY'!$C$8)^('06_CONSTRUCTION'!AL4-'02_PROJECT_INPUTS'!$C$11)</f>
        <v>183867.178919742</v>
      </c>
      <c r="AM21" s="56" t="n">
        <f aca="false">'26_DEBT_SUSTAINABILITY'!$C$7*1000*(1+'26_DEBT_SUSTAINABILITY'!$C$8)^('06_CONSTRUCTION'!AM4-'02_PROJECT_INPUTS'!$C$11)</f>
        <v>193060.537865729</v>
      </c>
      <c r="AN21" s="56" t="n">
        <f aca="false">'26_DEBT_SUSTAINABILITY'!$C$7*1000*(1+'26_DEBT_SUSTAINABILITY'!$C$8)^('06_CONSTRUCTION'!AN4-'02_PROJECT_INPUTS'!$C$11)</f>
        <v>202713.564759015</v>
      </c>
      <c r="AO21" s="56" t="n">
        <f aca="false">'26_DEBT_SUSTAINABILITY'!$C$7*1000*(1+'26_DEBT_SUSTAINABILITY'!$C$8)^('06_CONSTRUCTION'!AO4-'02_PROJECT_INPUTS'!$C$11)</f>
        <v>212849.242996966</v>
      </c>
      <c r="AP21" s="56" t="n">
        <f aca="false">'26_DEBT_SUSTAINABILITY'!$C$7*1000*(1+'26_DEBT_SUSTAINABILITY'!$C$8)^('06_CONSTRUCTION'!AP4-'02_PROJECT_INPUTS'!$C$11)</f>
        <v>223491.705146815</v>
      </c>
      <c r="AQ21" s="56" t="n">
        <f aca="false">'26_DEBT_SUSTAINABILITY'!$C$7*1000*(1+'26_DEBT_SUSTAINABILITY'!$C$8)^('06_CONSTRUCTION'!AQ4-'02_PROJECT_INPUTS'!$C$11)</f>
        <v>234666.290404155</v>
      </c>
      <c r="AR21" s="56" t="n">
        <f aca="false">'26_DEBT_SUSTAINABILITY'!$C$7*1000*(1+'26_DEBT_SUSTAINABILITY'!$C$8)^('06_CONSTRUCTION'!AR4-'02_PROJECT_INPUTS'!$C$11)</f>
        <v>246399.604924363</v>
      </c>
    </row>
    <row r="22" customFormat="false" ht="15" hidden="false" customHeight="true" outlineLevel="0" collapsed="false">
      <c r="A22" s="23" t="s">
        <v>1055</v>
      </c>
      <c r="B22" s="23" t="s">
        <v>121</v>
      </c>
      <c r="E22" s="56" t="n">
        <f aca="false">'26_DEBT_SUSTAINABILITY'!E21*'26_DEBT_SUSTAINABILITY'!$C$9</f>
        <v>5880</v>
      </c>
      <c r="F22" s="56" t="n">
        <f aca="false">'26_DEBT_SUSTAINABILITY'!F21*'26_DEBT_SUSTAINABILITY'!$C$9</f>
        <v>6174</v>
      </c>
      <c r="G22" s="56" t="n">
        <f aca="false">'26_DEBT_SUSTAINABILITY'!G21*'26_DEBT_SUSTAINABILITY'!$C$9</f>
        <v>6482.7</v>
      </c>
      <c r="H22" s="56" t="n">
        <f aca="false">'26_DEBT_SUSTAINABILITY'!H21*'26_DEBT_SUSTAINABILITY'!$C$9</f>
        <v>6806.835</v>
      </c>
      <c r="I22" s="56" t="n">
        <f aca="false">'26_DEBT_SUSTAINABILITY'!I21*'26_DEBT_SUSTAINABILITY'!$C$9</f>
        <v>7147.17675</v>
      </c>
      <c r="J22" s="56" t="n">
        <f aca="false">'26_DEBT_SUSTAINABILITY'!J21*'26_DEBT_SUSTAINABILITY'!$C$9</f>
        <v>7504.5355875</v>
      </c>
      <c r="K22" s="56" t="n">
        <f aca="false">'26_DEBT_SUSTAINABILITY'!K21*'26_DEBT_SUSTAINABILITY'!$C$9</f>
        <v>7879.762366875</v>
      </c>
      <c r="L22" s="56" t="n">
        <f aca="false">'26_DEBT_SUSTAINABILITY'!L21*'26_DEBT_SUSTAINABILITY'!$C$9</f>
        <v>8273.75048521875</v>
      </c>
      <c r="M22" s="56" t="n">
        <f aca="false">'26_DEBT_SUSTAINABILITY'!M21*'26_DEBT_SUSTAINABILITY'!$C$9</f>
        <v>8687.43800947969</v>
      </c>
      <c r="N22" s="56" t="n">
        <f aca="false">'26_DEBT_SUSTAINABILITY'!N21*'26_DEBT_SUSTAINABILITY'!$C$9</f>
        <v>9121.80990995368</v>
      </c>
      <c r="O22" s="56" t="n">
        <f aca="false">'26_DEBT_SUSTAINABILITY'!O21*'26_DEBT_SUSTAINABILITY'!$C$9</f>
        <v>9577.90040545136</v>
      </c>
      <c r="P22" s="56" t="n">
        <f aca="false">'26_DEBT_SUSTAINABILITY'!P21*'26_DEBT_SUSTAINABILITY'!$C$9</f>
        <v>10056.7954257239</v>
      </c>
      <c r="Q22" s="56" t="n">
        <f aca="false">'26_DEBT_SUSTAINABILITY'!Q21*'26_DEBT_SUSTAINABILITY'!$C$9</f>
        <v>10559.6351970101</v>
      </c>
      <c r="R22" s="56" t="n">
        <f aca="false">'26_DEBT_SUSTAINABILITY'!R21*'26_DEBT_SUSTAINABILITY'!$C$9</f>
        <v>11087.6169568606</v>
      </c>
      <c r="S22" s="56" t="n">
        <f aca="false">'26_DEBT_SUSTAINABILITY'!S21*'26_DEBT_SUSTAINABILITY'!$C$9</f>
        <v>11641.9978047037</v>
      </c>
      <c r="T22" s="56" t="n">
        <f aca="false">'26_DEBT_SUSTAINABILITY'!T21*'26_DEBT_SUSTAINABILITY'!$C$9</f>
        <v>12224.0976949388</v>
      </c>
      <c r="U22" s="56" t="n">
        <f aca="false">'26_DEBT_SUSTAINABILITY'!U21*'26_DEBT_SUSTAINABILITY'!$C$9</f>
        <v>12835.3025796858</v>
      </c>
      <c r="V22" s="56" t="n">
        <f aca="false">'26_DEBT_SUSTAINABILITY'!V21*'26_DEBT_SUSTAINABILITY'!$C$9</f>
        <v>13477.0677086701</v>
      </c>
      <c r="W22" s="56" t="n">
        <f aca="false">'26_DEBT_SUSTAINABILITY'!W21*'26_DEBT_SUSTAINABILITY'!$C$9</f>
        <v>14150.9210941036</v>
      </c>
      <c r="X22" s="56" t="n">
        <f aca="false">'26_DEBT_SUSTAINABILITY'!X21*'26_DEBT_SUSTAINABILITY'!$C$9</f>
        <v>14858.4671488088</v>
      </c>
      <c r="Y22" s="56" t="n">
        <f aca="false">'26_DEBT_SUSTAINABILITY'!Y21*'26_DEBT_SUSTAINABILITY'!$C$9</f>
        <v>15601.3905062492</v>
      </c>
      <c r="Z22" s="56" t="n">
        <f aca="false">'26_DEBT_SUSTAINABILITY'!Z21*'26_DEBT_SUSTAINABILITY'!$C$9</f>
        <v>16381.4600315617</v>
      </c>
      <c r="AA22" s="56" t="n">
        <f aca="false">'26_DEBT_SUSTAINABILITY'!AA21*'26_DEBT_SUSTAINABILITY'!$C$9</f>
        <v>17200.5330331398</v>
      </c>
      <c r="AB22" s="56" t="n">
        <f aca="false">'26_DEBT_SUSTAINABILITY'!AB21*'26_DEBT_SUSTAINABILITY'!$C$9</f>
        <v>18060.5596847967</v>
      </c>
      <c r="AC22" s="56" t="n">
        <f aca="false">'26_DEBT_SUSTAINABILITY'!AC21*'26_DEBT_SUSTAINABILITY'!$C$9</f>
        <v>18963.5876690366</v>
      </c>
      <c r="AD22" s="56" t="n">
        <f aca="false">'26_DEBT_SUSTAINABILITY'!AD21*'26_DEBT_SUSTAINABILITY'!$C$9</f>
        <v>19911.7670524884</v>
      </c>
      <c r="AE22" s="56" t="n">
        <f aca="false">'26_DEBT_SUSTAINABILITY'!AE21*'26_DEBT_SUSTAINABILITY'!$C$9</f>
        <v>20907.3554051128</v>
      </c>
      <c r="AF22" s="56" t="n">
        <f aca="false">'26_DEBT_SUSTAINABILITY'!AF21*'26_DEBT_SUSTAINABILITY'!$C$9</f>
        <v>21952.7231753685</v>
      </c>
      <c r="AG22" s="56" t="n">
        <f aca="false">'26_DEBT_SUSTAINABILITY'!AG21*'26_DEBT_SUSTAINABILITY'!$C$9</f>
        <v>23050.3593341369</v>
      </c>
      <c r="AH22" s="56" t="n">
        <f aca="false">'26_DEBT_SUSTAINABILITY'!AH21*'26_DEBT_SUSTAINABILITY'!$C$9</f>
        <v>24202.8773008437</v>
      </c>
      <c r="AI22" s="56" t="n">
        <f aca="false">'26_DEBT_SUSTAINABILITY'!AI21*'26_DEBT_SUSTAINABILITY'!$C$9</f>
        <v>25413.0211658859</v>
      </c>
      <c r="AJ22" s="56" t="n">
        <f aca="false">'26_DEBT_SUSTAINABILITY'!AJ21*'26_DEBT_SUSTAINABILITY'!$C$9</f>
        <v>26683.6722241802</v>
      </c>
      <c r="AK22" s="56" t="n">
        <f aca="false">'26_DEBT_SUSTAINABILITY'!AK21*'26_DEBT_SUSTAINABILITY'!$C$9</f>
        <v>28017.8558353892</v>
      </c>
      <c r="AL22" s="56" t="n">
        <f aca="false">'26_DEBT_SUSTAINABILITY'!AL21*'26_DEBT_SUSTAINABILITY'!$C$9</f>
        <v>29418.7486271587</v>
      </c>
      <c r="AM22" s="56" t="n">
        <f aca="false">'26_DEBT_SUSTAINABILITY'!AM21*'26_DEBT_SUSTAINABILITY'!$C$9</f>
        <v>30889.6860585166</v>
      </c>
      <c r="AN22" s="56" t="n">
        <f aca="false">'26_DEBT_SUSTAINABILITY'!AN21*'26_DEBT_SUSTAINABILITY'!$C$9</f>
        <v>32434.1703614425</v>
      </c>
      <c r="AO22" s="56" t="n">
        <f aca="false">'26_DEBT_SUSTAINABILITY'!AO21*'26_DEBT_SUSTAINABILITY'!$C$9</f>
        <v>34055.8788795146</v>
      </c>
      <c r="AP22" s="56" t="n">
        <f aca="false">'26_DEBT_SUSTAINABILITY'!AP21*'26_DEBT_SUSTAINABILITY'!$C$9</f>
        <v>35758.6728234903</v>
      </c>
      <c r="AQ22" s="56" t="n">
        <f aca="false">'26_DEBT_SUSTAINABILITY'!AQ21*'26_DEBT_SUSTAINABILITY'!$C$9</f>
        <v>37546.6064646648</v>
      </c>
      <c r="AR22" s="56" t="n">
        <f aca="false">'26_DEBT_SUSTAINABILITY'!AR21*'26_DEBT_SUSTAINABILITY'!$C$9</f>
        <v>39423.9367878981</v>
      </c>
    </row>
    <row r="23" customFormat="false" ht="15" hidden="false" customHeight="true" outlineLevel="0" collapsed="false">
      <c r="A23" s="23" t="s">
        <v>1056</v>
      </c>
      <c r="B23" s="23" t="s">
        <v>93</v>
      </c>
      <c r="C23" s="89" t="n">
        <f aca="false">MAX('26_DEBT_SUSTAINABILITY'!$E$23:$AR$23)</f>
        <v>0</v>
      </c>
      <c r="E23" s="89" t="n">
        <f aca="false">'23_GUARANTEES'!E13/'26_DEBT_SUSTAINABILITY'!E21</f>
        <v>0</v>
      </c>
      <c r="F23" s="89" t="n">
        <f aca="false">'23_GUARANTEES'!F13/'26_DEBT_SUSTAINABILITY'!F21</f>
        <v>0</v>
      </c>
      <c r="G23" s="89" t="n">
        <f aca="false">'23_GUARANTEES'!G13/'26_DEBT_SUSTAINABILITY'!G21</f>
        <v>0</v>
      </c>
      <c r="H23" s="89" t="n">
        <f aca="false">'23_GUARANTEES'!H13/'26_DEBT_SUSTAINABILITY'!H21</f>
        <v>0</v>
      </c>
      <c r="I23" s="89" t="n">
        <f aca="false">'23_GUARANTEES'!I13/'26_DEBT_SUSTAINABILITY'!I21</f>
        <v>0</v>
      </c>
      <c r="J23" s="89" t="n">
        <f aca="false">'23_GUARANTEES'!J13/'26_DEBT_SUSTAINABILITY'!J21</f>
        <v>0</v>
      </c>
      <c r="K23" s="89" t="n">
        <f aca="false">'23_GUARANTEES'!K13/'26_DEBT_SUSTAINABILITY'!K21</f>
        <v>0</v>
      </c>
      <c r="L23" s="89" t="n">
        <f aca="false">'23_GUARANTEES'!L13/'26_DEBT_SUSTAINABILITY'!L21</f>
        <v>0</v>
      </c>
      <c r="M23" s="89" t="n">
        <f aca="false">'23_GUARANTEES'!M13/'26_DEBT_SUSTAINABILITY'!M21</f>
        <v>0</v>
      </c>
      <c r="N23" s="89" t="n">
        <f aca="false">'23_GUARANTEES'!N13/'26_DEBT_SUSTAINABILITY'!N21</f>
        <v>0</v>
      </c>
      <c r="O23" s="89" t="n">
        <f aca="false">'23_GUARANTEES'!O13/'26_DEBT_SUSTAINABILITY'!O21</f>
        <v>0</v>
      </c>
      <c r="P23" s="89" t="n">
        <f aca="false">'23_GUARANTEES'!P13/'26_DEBT_SUSTAINABILITY'!P21</f>
        <v>0</v>
      </c>
      <c r="Q23" s="89" t="n">
        <f aca="false">'23_GUARANTEES'!Q13/'26_DEBT_SUSTAINABILITY'!Q21</f>
        <v>0</v>
      </c>
      <c r="R23" s="89" t="n">
        <f aca="false">'23_GUARANTEES'!R13/'26_DEBT_SUSTAINABILITY'!R21</f>
        <v>0</v>
      </c>
      <c r="S23" s="89" t="n">
        <f aca="false">'23_GUARANTEES'!S13/'26_DEBT_SUSTAINABILITY'!S21</f>
        <v>0</v>
      </c>
      <c r="T23" s="89" t="n">
        <f aca="false">'23_GUARANTEES'!T13/'26_DEBT_SUSTAINABILITY'!T21</f>
        <v>0</v>
      </c>
      <c r="U23" s="89" t="n">
        <f aca="false">'23_GUARANTEES'!U13/'26_DEBT_SUSTAINABILITY'!U21</f>
        <v>0</v>
      </c>
      <c r="V23" s="89" t="n">
        <f aca="false">'23_GUARANTEES'!V13/'26_DEBT_SUSTAINABILITY'!V21</f>
        <v>0</v>
      </c>
      <c r="W23" s="89" t="n">
        <f aca="false">'23_GUARANTEES'!W13/'26_DEBT_SUSTAINABILITY'!W21</f>
        <v>0</v>
      </c>
      <c r="X23" s="89" t="n">
        <f aca="false">'23_GUARANTEES'!X13/'26_DEBT_SUSTAINABILITY'!X21</f>
        <v>0</v>
      </c>
      <c r="Y23" s="89" t="n">
        <f aca="false">'23_GUARANTEES'!Y13/'26_DEBT_SUSTAINABILITY'!Y21</f>
        <v>0</v>
      </c>
      <c r="Z23" s="89" t="n">
        <f aca="false">'23_GUARANTEES'!Z13/'26_DEBT_SUSTAINABILITY'!Z21</f>
        <v>0</v>
      </c>
      <c r="AA23" s="89" t="n">
        <f aca="false">'23_GUARANTEES'!AA13/'26_DEBT_SUSTAINABILITY'!AA21</f>
        <v>0</v>
      </c>
      <c r="AB23" s="89" t="n">
        <f aca="false">'23_GUARANTEES'!AB13/'26_DEBT_SUSTAINABILITY'!AB21</f>
        <v>0</v>
      </c>
      <c r="AC23" s="89" t="n">
        <f aca="false">'23_GUARANTEES'!AC13/'26_DEBT_SUSTAINABILITY'!AC21</f>
        <v>0</v>
      </c>
      <c r="AD23" s="89" t="n">
        <f aca="false">'23_GUARANTEES'!AD13/'26_DEBT_SUSTAINABILITY'!AD21</f>
        <v>0</v>
      </c>
      <c r="AE23" s="89" t="n">
        <f aca="false">'23_GUARANTEES'!AE13/'26_DEBT_SUSTAINABILITY'!AE21</f>
        <v>0</v>
      </c>
      <c r="AF23" s="89" t="n">
        <f aca="false">'23_GUARANTEES'!AF13/'26_DEBT_SUSTAINABILITY'!AF21</f>
        <v>0</v>
      </c>
      <c r="AG23" s="89" t="n">
        <f aca="false">'23_GUARANTEES'!AG13/'26_DEBT_SUSTAINABILITY'!AG21</f>
        <v>0</v>
      </c>
      <c r="AH23" s="89" t="n">
        <f aca="false">'23_GUARANTEES'!AH13/'26_DEBT_SUSTAINABILITY'!AH21</f>
        <v>0</v>
      </c>
      <c r="AI23" s="89" t="n">
        <f aca="false">'23_GUARANTEES'!AI13/'26_DEBT_SUSTAINABILITY'!AI21</f>
        <v>0</v>
      </c>
      <c r="AJ23" s="89" t="n">
        <f aca="false">'23_GUARANTEES'!AJ13/'26_DEBT_SUSTAINABILITY'!AJ21</f>
        <v>0</v>
      </c>
      <c r="AK23" s="89" t="n">
        <f aca="false">'23_GUARANTEES'!AK13/'26_DEBT_SUSTAINABILITY'!AK21</f>
        <v>0</v>
      </c>
      <c r="AL23" s="89" t="n">
        <f aca="false">'23_GUARANTEES'!AL13/'26_DEBT_SUSTAINABILITY'!AL21</f>
        <v>0</v>
      </c>
      <c r="AM23" s="89" t="n">
        <f aca="false">'23_GUARANTEES'!AM13/'26_DEBT_SUSTAINABILITY'!AM21</f>
        <v>0</v>
      </c>
      <c r="AN23" s="89" t="n">
        <f aca="false">'23_GUARANTEES'!AN13/'26_DEBT_SUSTAINABILITY'!AN21</f>
        <v>0</v>
      </c>
      <c r="AO23" s="89" t="n">
        <f aca="false">'23_GUARANTEES'!AO13/'26_DEBT_SUSTAINABILITY'!AO21</f>
        <v>0</v>
      </c>
      <c r="AP23" s="89" t="n">
        <f aca="false">'23_GUARANTEES'!AP13/'26_DEBT_SUSTAINABILITY'!AP21</f>
        <v>0</v>
      </c>
      <c r="AQ23" s="89" t="n">
        <f aca="false">'23_GUARANTEES'!AQ13/'26_DEBT_SUSTAINABILITY'!AQ21</f>
        <v>0</v>
      </c>
      <c r="AR23" s="89" t="n">
        <f aca="false">'23_GUARANTEES'!AR13/'26_DEBT_SUSTAINABILITY'!AR21</f>
        <v>0</v>
      </c>
    </row>
    <row r="24" customFormat="false" ht="15" hidden="false" customHeight="true" outlineLevel="0" collapsed="false">
      <c r="A24" s="23" t="s">
        <v>1057</v>
      </c>
      <c r="B24" s="23" t="s">
        <v>93</v>
      </c>
      <c r="C24" s="89" t="n">
        <f aca="false">MAX('26_DEBT_SUSTAINABILITY'!$E$24:$AR$24)</f>
        <v>0.00556315483524079</v>
      </c>
      <c r="E24" s="89" t="n">
        <f aca="false">'24_CONTINGENT_LIABILITIES'!E11/'26_DEBT_SUSTAINABILITY'!E21</f>
        <v>0.00242227918232179</v>
      </c>
      <c r="F24" s="89" t="n">
        <f aca="false">'24_CONTINGENT_LIABILITIES'!F11/'26_DEBT_SUSTAINABILITY'!F21</f>
        <v>0.00439512730097004</v>
      </c>
      <c r="G24" s="89" t="n">
        <f aca="false">'24_CONTINGENT_LIABILITIES'!G11/'26_DEBT_SUSTAINABILITY'!G21</f>
        <v>0.00556315483524079</v>
      </c>
      <c r="H24" s="89" t="n">
        <f aca="false">'24_CONTINGENT_LIABILITIES'!H11/'26_DEBT_SUSTAINABILITY'!H21</f>
        <v>0.00508647868482342</v>
      </c>
      <c r="I24" s="89" t="n">
        <f aca="false">'24_CONTINGENT_LIABILITIES'!I11/'26_DEBT_SUSTAINABILITY'!I21</f>
        <v>0.00473155370946141</v>
      </c>
      <c r="J24" s="89" t="n">
        <f aca="false">'24_CONTINGENT_LIABILITIES'!J11/'26_DEBT_SUSTAINABILITY'!J21</f>
        <v>0.00438801689064582</v>
      </c>
      <c r="K24" s="89" t="n">
        <f aca="false">'24_CONTINGENT_LIABILITIES'!K11/'26_DEBT_SUSTAINABILITY'!K21</f>
        <v>0.00405542446576869</v>
      </c>
      <c r="L24" s="89" t="n">
        <f aca="false">'24_CONTINGENT_LIABILITIES'!L11/'26_DEBT_SUSTAINABILITY'!L21</f>
        <v>0.00369902492025079</v>
      </c>
      <c r="M24" s="89" t="n">
        <f aca="false">'24_CONTINGENT_LIABILITIES'!M11/'26_DEBT_SUSTAINABILITY'!M21</f>
        <v>0.00343447258478539</v>
      </c>
      <c r="N24" s="89" t="n">
        <f aca="false">'24_CONTINGENT_LIABILITIES'!N11/'26_DEBT_SUSTAINABILITY'!N21</f>
        <v>0.00318136207169546</v>
      </c>
      <c r="O24" s="89" t="n">
        <f aca="false">'24_CONTINGENT_LIABILITIES'!O11/'26_DEBT_SUSTAINABILITY'!O21</f>
        <v>0.00293958503358773</v>
      </c>
      <c r="P24" s="89" t="n">
        <f aca="false">'24_CONTINGENT_LIABILITIES'!P11/'26_DEBT_SUSTAINABILITY'!P21</f>
        <v>0.00270908578375844</v>
      </c>
      <c r="Q24" s="89" t="n">
        <f aca="false">'24_CONTINGENT_LIABILITIES'!Q11/'26_DEBT_SUSTAINABILITY'!Q21</f>
        <v>0.00248986375866795</v>
      </c>
      <c r="R24" s="89" t="n">
        <f aca="false">'24_CONTINGENT_LIABILITIES'!R11/'26_DEBT_SUSTAINABILITY'!R21</f>
        <v>0.00228197634134055</v>
      </c>
      <c r="S24" s="89" t="n">
        <f aca="false">'24_CONTINGENT_LIABILITIES'!S11/'26_DEBT_SUSTAINABILITY'!S21</f>
        <v>0.00208554207440849</v>
      </c>
      <c r="T24" s="89" t="n">
        <f aca="false">'24_CONTINGENT_LIABILITIES'!T11/'26_DEBT_SUSTAINABILITY'!T21</f>
        <v>0.00190074429452727</v>
      </c>
      <c r="U24" s="89" t="n">
        <f aca="false">'24_CONTINGENT_LIABILITIES'!U11/'26_DEBT_SUSTAINABILITY'!U21</f>
        <v>0.00172783522317168</v>
      </c>
      <c r="V24" s="89" t="n">
        <f aca="false">'24_CONTINGENT_LIABILITIES'!V11/'26_DEBT_SUSTAINABILITY'!V21</f>
        <v>0.00156714055240456</v>
      </c>
      <c r="W24" s="89" t="n">
        <f aca="false">'24_CONTINGENT_LIABILITIES'!W11/'26_DEBT_SUSTAINABILITY'!W21</f>
        <v>0.00132621691609202</v>
      </c>
      <c r="X24" s="89" t="n">
        <f aca="false">'24_CONTINGENT_LIABILITIES'!X11/'26_DEBT_SUSTAINABILITY'!X21</f>
        <v>0.00118168215356909</v>
      </c>
      <c r="Y24" s="89" t="n">
        <f aca="false">'24_CONTINGENT_LIABILITIES'!Y11/'26_DEBT_SUSTAINABILITY'!Y21</f>
        <v>0.00103411098827497</v>
      </c>
      <c r="Z24" s="89" t="n">
        <f aca="false">'24_CONTINGENT_LIABILITIES'!Z11/'26_DEBT_SUSTAINABILITY'!Z21</f>
        <v>0.000882765296985037</v>
      </c>
      <c r="AA24" s="89" t="n">
        <f aca="false">'24_CONTINGENT_LIABILITIES'!AA11/'26_DEBT_SUSTAINABILITY'!AA21</f>
        <v>0.000726856267105998</v>
      </c>
      <c r="AB24" s="89" t="n">
        <f aca="false">'24_CONTINGENT_LIABILITIES'!AB11/'26_DEBT_SUSTAINABILITY'!AB21</f>
        <v>0.00059313198707273</v>
      </c>
      <c r="AC24" s="89" t="n">
        <f aca="false">'24_CONTINGENT_LIABILITIES'!AC11/'26_DEBT_SUSTAINABILITY'!AC21</f>
        <v>0.000560128448295356</v>
      </c>
      <c r="AD24" s="89" t="n">
        <f aca="false">'24_CONTINGENT_LIABILITIES'!AD11/'26_DEBT_SUSTAINABILITY'!AD21</f>
        <v>0.000539649960676172</v>
      </c>
      <c r="AE24" s="89" t="n">
        <f aca="false">'24_CONTINGENT_LIABILITIES'!AE11/'26_DEBT_SUSTAINABILITY'!AE21</f>
        <v>0.000519969659258864</v>
      </c>
      <c r="AF24" s="89" t="n">
        <f aca="false">'24_CONTINGENT_LIABILITIES'!AF11/'26_DEBT_SUSTAINABILITY'!AF21</f>
        <v>0.00050105459174454</v>
      </c>
      <c r="AG24" s="89" t="n">
        <f aca="false">'24_CONTINGENT_LIABILITIES'!AG11/'26_DEBT_SUSTAINABILITY'!AG21</f>
        <v>0</v>
      </c>
      <c r="AH24" s="89" t="n">
        <f aca="false">'24_CONTINGENT_LIABILITIES'!AH11/'26_DEBT_SUSTAINABILITY'!AH21</f>
        <v>0</v>
      </c>
      <c r="AI24" s="89" t="n">
        <f aca="false">'24_CONTINGENT_LIABILITIES'!AI11/'26_DEBT_SUSTAINABILITY'!AI21</f>
        <v>0</v>
      </c>
      <c r="AJ24" s="89" t="n">
        <f aca="false">'24_CONTINGENT_LIABILITIES'!AJ11/'26_DEBT_SUSTAINABILITY'!AJ21</f>
        <v>0</v>
      </c>
      <c r="AK24" s="89" t="n">
        <f aca="false">'24_CONTINGENT_LIABILITIES'!AK11/'26_DEBT_SUSTAINABILITY'!AK21</f>
        <v>0</v>
      </c>
      <c r="AL24" s="89" t="n">
        <f aca="false">'24_CONTINGENT_LIABILITIES'!AL11/'26_DEBT_SUSTAINABILITY'!AL21</f>
        <v>0</v>
      </c>
      <c r="AM24" s="89" t="n">
        <f aca="false">'24_CONTINGENT_LIABILITIES'!AM11/'26_DEBT_SUSTAINABILITY'!AM21</f>
        <v>0</v>
      </c>
      <c r="AN24" s="89" t="n">
        <f aca="false">'24_CONTINGENT_LIABILITIES'!AN11/'26_DEBT_SUSTAINABILITY'!AN21</f>
        <v>0</v>
      </c>
      <c r="AO24" s="89" t="n">
        <f aca="false">'24_CONTINGENT_LIABILITIES'!AO11/'26_DEBT_SUSTAINABILITY'!AO21</f>
        <v>0</v>
      </c>
      <c r="AP24" s="89" t="n">
        <f aca="false">'24_CONTINGENT_LIABILITIES'!AP11/'26_DEBT_SUSTAINABILITY'!AP21</f>
        <v>0</v>
      </c>
      <c r="AQ24" s="89" t="n">
        <f aca="false">'24_CONTINGENT_LIABILITIES'!AQ11/'26_DEBT_SUSTAINABILITY'!AQ21</f>
        <v>0</v>
      </c>
      <c r="AR24" s="89" t="n">
        <f aca="false">'24_CONTINGENT_LIABILITIES'!AR11/'26_DEBT_SUSTAINABILITY'!AR21</f>
        <v>0</v>
      </c>
    </row>
    <row r="25" customFormat="false" ht="15" hidden="false" customHeight="true" outlineLevel="0" collapsed="false">
      <c r="A25" s="23" t="s">
        <v>1058</v>
      </c>
      <c r="B25" s="23" t="s">
        <v>93</v>
      </c>
      <c r="C25" s="89" t="n">
        <f aca="false">MAX('26_DEBT_SUSTAINABILITY'!$E$25:$AR$25)</f>
        <v>0</v>
      </c>
      <c r="E25" s="89" t="n">
        <f aca="false">'25_FISCAL_IMPACT'!E18/'26_DEBT_SUSTAINABILITY'!E22</f>
        <v>0</v>
      </c>
      <c r="F25" s="89" t="n">
        <f aca="false">'25_FISCAL_IMPACT'!F18/'26_DEBT_SUSTAINABILITY'!F22</f>
        <v>0</v>
      </c>
      <c r="G25" s="89" t="n">
        <f aca="false">'25_FISCAL_IMPACT'!G18/'26_DEBT_SUSTAINABILITY'!G22</f>
        <v>0</v>
      </c>
      <c r="H25" s="89" t="n">
        <f aca="false">'25_FISCAL_IMPACT'!H18/'26_DEBT_SUSTAINABILITY'!H22</f>
        <v>0</v>
      </c>
      <c r="I25" s="89" t="n">
        <f aca="false">'25_FISCAL_IMPACT'!I18/'26_DEBT_SUSTAINABILITY'!I22</f>
        <v>0</v>
      </c>
      <c r="J25" s="89" t="n">
        <f aca="false">'25_FISCAL_IMPACT'!J18/'26_DEBT_SUSTAINABILITY'!J22</f>
        <v>0</v>
      </c>
      <c r="K25" s="89" t="n">
        <f aca="false">'25_FISCAL_IMPACT'!K18/'26_DEBT_SUSTAINABILITY'!K22</f>
        <v>0</v>
      </c>
      <c r="L25" s="89" t="n">
        <f aca="false">'25_FISCAL_IMPACT'!L18/'26_DEBT_SUSTAINABILITY'!L22</f>
        <v>0</v>
      </c>
      <c r="M25" s="89" t="n">
        <f aca="false">'25_FISCAL_IMPACT'!M18/'26_DEBT_SUSTAINABILITY'!M22</f>
        <v>0</v>
      </c>
      <c r="N25" s="89" t="n">
        <f aca="false">'25_FISCAL_IMPACT'!N18/'26_DEBT_SUSTAINABILITY'!N22</f>
        <v>0</v>
      </c>
      <c r="O25" s="89" t="n">
        <f aca="false">'25_FISCAL_IMPACT'!O18/'26_DEBT_SUSTAINABILITY'!O22</f>
        <v>0</v>
      </c>
      <c r="P25" s="89" t="n">
        <f aca="false">'25_FISCAL_IMPACT'!P18/'26_DEBT_SUSTAINABILITY'!P22</f>
        <v>0</v>
      </c>
      <c r="Q25" s="89" t="n">
        <f aca="false">'25_FISCAL_IMPACT'!Q18/'26_DEBT_SUSTAINABILITY'!Q22</f>
        <v>0</v>
      </c>
      <c r="R25" s="89" t="n">
        <f aca="false">'25_FISCAL_IMPACT'!R18/'26_DEBT_SUSTAINABILITY'!R22</f>
        <v>0</v>
      </c>
      <c r="S25" s="89" t="n">
        <f aca="false">'25_FISCAL_IMPACT'!S18/'26_DEBT_SUSTAINABILITY'!S22</f>
        <v>0</v>
      </c>
      <c r="T25" s="89" t="n">
        <f aca="false">'25_FISCAL_IMPACT'!T18/'26_DEBT_SUSTAINABILITY'!T22</f>
        <v>0</v>
      </c>
      <c r="U25" s="89" t="n">
        <f aca="false">'25_FISCAL_IMPACT'!U18/'26_DEBT_SUSTAINABILITY'!U22</f>
        <v>0</v>
      </c>
      <c r="V25" s="89" t="n">
        <f aca="false">'25_FISCAL_IMPACT'!V18/'26_DEBT_SUSTAINABILITY'!V22</f>
        <v>0</v>
      </c>
      <c r="W25" s="89" t="n">
        <f aca="false">'25_FISCAL_IMPACT'!W18/'26_DEBT_SUSTAINABILITY'!W22</f>
        <v>0</v>
      </c>
      <c r="X25" s="89" t="n">
        <f aca="false">'25_FISCAL_IMPACT'!X18/'26_DEBT_SUSTAINABILITY'!X22</f>
        <v>0</v>
      </c>
      <c r="Y25" s="89" t="n">
        <f aca="false">'25_FISCAL_IMPACT'!Y18/'26_DEBT_SUSTAINABILITY'!Y22</f>
        <v>0</v>
      </c>
      <c r="Z25" s="89" t="n">
        <f aca="false">'25_FISCAL_IMPACT'!Z18/'26_DEBT_SUSTAINABILITY'!Z22</f>
        <v>0</v>
      </c>
      <c r="AA25" s="89" t="n">
        <f aca="false">'25_FISCAL_IMPACT'!AA18/'26_DEBT_SUSTAINABILITY'!AA22</f>
        <v>0</v>
      </c>
      <c r="AB25" s="89" t="n">
        <f aca="false">'25_FISCAL_IMPACT'!AB18/'26_DEBT_SUSTAINABILITY'!AB22</f>
        <v>0</v>
      </c>
      <c r="AC25" s="89" t="n">
        <f aca="false">'25_FISCAL_IMPACT'!AC18/'26_DEBT_SUSTAINABILITY'!AC22</f>
        <v>0</v>
      </c>
      <c r="AD25" s="89" t="n">
        <f aca="false">'25_FISCAL_IMPACT'!AD18/'26_DEBT_SUSTAINABILITY'!AD22</f>
        <v>0</v>
      </c>
      <c r="AE25" s="89" t="n">
        <f aca="false">'25_FISCAL_IMPACT'!AE18/'26_DEBT_SUSTAINABILITY'!AE22</f>
        <v>0</v>
      </c>
      <c r="AF25" s="89" t="n">
        <f aca="false">'25_FISCAL_IMPACT'!AF18/'26_DEBT_SUSTAINABILITY'!AF22</f>
        <v>0</v>
      </c>
      <c r="AG25" s="89" t="n">
        <f aca="false">'25_FISCAL_IMPACT'!AG18/'26_DEBT_SUSTAINABILITY'!AG22</f>
        <v>0</v>
      </c>
      <c r="AH25" s="89" t="n">
        <f aca="false">'25_FISCAL_IMPACT'!AH18/'26_DEBT_SUSTAINABILITY'!AH22</f>
        <v>0</v>
      </c>
      <c r="AI25" s="89" t="n">
        <f aca="false">'25_FISCAL_IMPACT'!AI18/'26_DEBT_SUSTAINABILITY'!AI22</f>
        <v>0</v>
      </c>
      <c r="AJ25" s="89" t="n">
        <f aca="false">'25_FISCAL_IMPACT'!AJ18/'26_DEBT_SUSTAINABILITY'!AJ22</f>
        <v>0</v>
      </c>
      <c r="AK25" s="89" t="n">
        <f aca="false">'25_FISCAL_IMPACT'!AK18/'26_DEBT_SUSTAINABILITY'!AK22</f>
        <v>0</v>
      </c>
      <c r="AL25" s="89" t="n">
        <f aca="false">'25_FISCAL_IMPACT'!AL18/'26_DEBT_SUSTAINABILITY'!AL22</f>
        <v>0</v>
      </c>
      <c r="AM25" s="89" t="n">
        <f aca="false">'25_FISCAL_IMPACT'!AM18/'26_DEBT_SUSTAINABILITY'!AM22</f>
        <v>0</v>
      </c>
      <c r="AN25" s="89" t="n">
        <f aca="false">'25_FISCAL_IMPACT'!AN18/'26_DEBT_SUSTAINABILITY'!AN22</f>
        <v>0</v>
      </c>
      <c r="AO25" s="89" t="n">
        <f aca="false">'25_FISCAL_IMPACT'!AO18/'26_DEBT_SUSTAINABILITY'!AO22</f>
        <v>0</v>
      </c>
      <c r="AP25" s="89" t="n">
        <f aca="false">'25_FISCAL_IMPACT'!AP18/'26_DEBT_SUSTAINABILITY'!AP22</f>
        <v>0</v>
      </c>
      <c r="AQ25" s="89" t="n">
        <f aca="false">'25_FISCAL_IMPACT'!AQ18/'26_DEBT_SUSTAINABILITY'!AQ22</f>
        <v>0</v>
      </c>
      <c r="AR25" s="89" t="n">
        <f aca="false">'25_FISCAL_IMPACT'!AR18/'26_DEBT_SUSTAINABILITY'!AR22</f>
        <v>0</v>
      </c>
    </row>
    <row r="26" customFormat="false" ht="15" hidden="false" customHeight="true" outlineLevel="0" collapsed="false">
      <c r="A26" s="23" t="s">
        <v>1059</v>
      </c>
      <c r="B26" s="23" t="s">
        <v>93</v>
      </c>
      <c r="C26" s="89" t="n">
        <f aca="false">MAX('26_DEBT_SUSTAINABILITY'!$E$26:$AR$26)</f>
        <v>-0</v>
      </c>
      <c r="E26" s="89" t="n">
        <f aca="false">MAX(0,-'25_FISCAL_IMPACT'!E17)/'26_DEBT_SUSTAINABILITY'!E21</f>
        <v>-0</v>
      </c>
      <c r="F26" s="89" t="n">
        <f aca="false">MAX(0,-'25_FISCAL_IMPACT'!F17)/'26_DEBT_SUSTAINABILITY'!F21</f>
        <v>-0</v>
      </c>
      <c r="G26" s="89" t="n">
        <f aca="false">MAX(0,-'25_FISCAL_IMPACT'!G17)/'26_DEBT_SUSTAINABILITY'!G21</f>
        <v>-0</v>
      </c>
      <c r="H26" s="89" t="n">
        <f aca="false">MAX(0,-'25_FISCAL_IMPACT'!H17)/'26_DEBT_SUSTAINABILITY'!H21</f>
        <v>0</v>
      </c>
      <c r="I26" s="89" t="n">
        <f aca="false">MAX(0,-'25_FISCAL_IMPACT'!I17)/'26_DEBT_SUSTAINABILITY'!I21</f>
        <v>0</v>
      </c>
      <c r="J26" s="89" t="n">
        <f aca="false">MAX(0,-'25_FISCAL_IMPACT'!J17)/'26_DEBT_SUSTAINABILITY'!J21</f>
        <v>0</v>
      </c>
      <c r="K26" s="89" t="n">
        <f aca="false">MAX(0,-'25_FISCAL_IMPACT'!K17)/'26_DEBT_SUSTAINABILITY'!K21</f>
        <v>0</v>
      </c>
      <c r="L26" s="89" t="n">
        <f aca="false">MAX(0,-'25_FISCAL_IMPACT'!L17)/'26_DEBT_SUSTAINABILITY'!L21</f>
        <v>0</v>
      </c>
      <c r="M26" s="89" t="n">
        <f aca="false">MAX(0,-'25_FISCAL_IMPACT'!M17)/'26_DEBT_SUSTAINABILITY'!M21</f>
        <v>0</v>
      </c>
      <c r="N26" s="89" t="n">
        <f aca="false">MAX(0,-'25_FISCAL_IMPACT'!N17)/'26_DEBT_SUSTAINABILITY'!N21</f>
        <v>0</v>
      </c>
      <c r="O26" s="89" t="n">
        <f aca="false">MAX(0,-'25_FISCAL_IMPACT'!O17)/'26_DEBT_SUSTAINABILITY'!O21</f>
        <v>0</v>
      </c>
      <c r="P26" s="89" t="n">
        <f aca="false">MAX(0,-'25_FISCAL_IMPACT'!P17)/'26_DEBT_SUSTAINABILITY'!P21</f>
        <v>0</v>
      </c>
      <c r="Q26" s="89" t="n">
        <f aca="false">MAX(0,-'25_FISCAL_IMPACT'!Q17)/'26_DEBT_SUSTAINABILITY'!Q21</f>
        <v>0</v>
      </c>
      <c r="R26" s="89" t="n">
        <f aca="false">MAX(0,-'25_FISCAL_IMPACT'!R17)/'26_DEBT_SUSTAINABILITY'!R21</f>
        <v>0</v>
      </c>
      <c r="S26" s="89" t="n">
        <f aca="false">MAX(0,-'25_FISCAL_IMPACT'!S17)/'26_DEBT_SUSTAINABILITY'!S21</f>
        <v>0</v>
      </c>
      <c r="T26" s="89" t="n">
        <f aca="false">MAX(0,-'25_FISCAL_IMPACT'!T17)/'26_DEBT_SUSTAINABILITY'!T21</f>
        <v>0</v>
      </c>
      <c r="U26" s="89" t="n">
        <f aca="false">MAX(0,-'25_FISCAL_IMPACT'!U17)/'26_DEBT_SUSTAINABILITY'!U21</f>
        <v>0</v>
      </c>
      <c r="V26" s="89" t="n">
        <f aca="false">MAX(0,-'25_FISCAL_IMPACT'!V17)/'26_DEBT_SUSTAINABILITY'!V21</f>
        <v>0</v>
      </c>
      <c r="W26" s="89" t="n">
        <f aca="false">MAX(0,-'25_FISCAL_IMPACT'!W17)/'26_DEBT_SUSTAINABILITY'!W21</f>
        <v>0</v>
      </c>
      <c r="X26" s="89" t="n">
        <f aca="false">MAX(0,-'25_FISCAL_IMPACT'!X17)/'26_DEBT_SUSTAINABILITY'!X21</f>
        <v>0</v>
      </c>
      <c r="Y26" s="89" t="n">
        <f aca="false">MAX(0,-'25_FISCAL_IMPACT'!Y17)/'26_DEBT_SUSTAINABILITY'!Y21</f>
        <v>0</v>
      </c>
      <c r="Z26" s="89" t="n">
        <f aca="false">MAX(0,-'25_FISCAL_IMPACT'!Z17)/'26_DEBT_SUSTAINABILITY'!Z21</f>
        <v>0</v>
      </c>
      <c r="AA26" s="89" t="n">
        <f aca="false">MAX(0,-'25_FISCAL_IMPACT'!AA17)/'26_DEBT_SUSTAINABILITY'!AA21</f>
        <v>0</v>
      </c>
      <c r="AB26" s="89" t="n">
        <f aca="false">MAX(0,-'25_FISCAL_IMPACT'!AB17)/'26_DEBT_SUSTAINABILITY'!AB21</f>
        <v>0</v>
      </c>
      <c r="AC26" s="89" t="n">
        <f aca="false">MAX(0,-'25_FISCAL_IMPACT'!AC17)/'26_DEBT_SUSTAINABILITY'!AC21</f>
        <v>0</v>
      </c>
      <c r="AD26" s="89" t="n">
        <f aca="false">MAX(0,-'25_FISCAL_IMPACT'!AD17)/'26_DEBT_SUSTAINABILITY'!AD21</f>
        <v>0</v>
      </c>
      <c r="AE26" s="89" t="n">
        <f aca="false">MAX(0,-'25_FISCAL_IMPACT'!AE17)/'26_DEBT_SUSTAINABILITY'!AE21</f>
        <v>0</v>
      </c>
      <c r="AF26" s="89" t="n">
        <f aca="false">MAX(0,-'25_FISCAL_IMPACT'!AF17)/'26_DEBT_SUSTAINABILITY'!AF21</f>
        <v>0</v>
      </c>
      <c r="AG26" s="89" t="n">
        <f aca="false">MAX(0,-'25_FISCAL_IMPACT'!AG17)/'26_DEBT_SUSTAINABILITY'!AG21</f>
        <v>0</v>
      </c>
      <c r="AH26" s="89" t="n">
        <f aca="false">MAX(0,-'25_FISCAL_IMPACT'!AH17)/'26_DEBT_SUSTAINABILITY'!AH21</f>
        <v>0</v>
      </c>
      <c r="AI26" s="89" t="n">
        <f aca="false">MAX(0,-'25_FISCAL_IMPACT'!AI17)/'26_DEBT_SUSTAINABILITY'!AI21</f>
        <v>0</v>
      </c>
      <c r="AJ26" s="89" t="n">
        <f aca="false">MAX(0,-'25_FISCAL_IMPACT'!AJ17)/'26_DEBT_SUSTAINABILITY'!AJ21</f>
        <v>0</v>
      </c>
      <c r="AK26" s="89" t="n">
        <f aca="false">MAX(0,-'25_FISCAL_IMPACT'!AK17)/'26_DEBT_SUSTAINABILITY'!AK21</f>
        <v>0</v>
      </c>
      <c r="AL26" s="89" t="n">
        <f aca="false">MAX(0,-'25_FISCAL_IMPACT'!AL17)/'26_DEBT_SUSTAINABILITY'!AL21</f>
        <v>0</v>
      </c>
      <c r="AM26" s="89" t="n">
        <f aca="false">MAX(0,-'25_FISCAL_IMPACT'!AM17)/'26_DEBT_SUSTAINABILITY'!AM21</f>
        <v>0</v>
      </c>
      <c r="AN26" s="89" t="n">
        <f aca="false">MAX(0,-'25_FISCAL_IMPACT'!AN17)/'26_DEBT_SUSTAINABILITY'!AN21</f>
        <v>0</v>
      </c>
      <c r="AO26" s="89" t="n">
        <f aca="false">MAX(0,-'25_FISCAL_IMPACT'!AO17)/'26_DEBT_SUSTAINABILITY'!AO21</f>
        <v>0</v>
      </c>
      <c r="AP26" s="89" t="n">
        <f aca="false">MAX(0,-'25_FISCAL_IMPACT'!AP17)/'26_DEBT_SUSTAINABILITY'!AP21</f>
        <v>0</v>
      </c>
      <c r="AQ26" s="89" t="n">
        <f aca="false">MAX(0,-'25_FISCAL_IMPACT'!AQ17)/'26_DEBT_SUSTAINABILITY'!AQ21</f>
        <v>0</v>
      </c>
      <c r="AR26" s="89" t="n">
        <f aca="false">MAX(0,-'25_FISCAL_IMPACT'!AR17)/'26_DEBT_SUSTAINABILITY'!AR21</f>
        <v>0</v>
      </c>
    </row>
    <row r="27" customFormat="false" ht="15" hidden="false" customHeight="true" outlineLevel="0" collapsed="false">
      <c r="A27" s="23" t="s">
        <v>1060</v>
      </c>
      <c r="B27" s="23" t="s">
        <v>93</v>
      </c>
      <c r="C27" s="89" t="n">
        <f aca="false">MAX('26_DEBT_SUSTAINABILITY'!$E$27:$AR$27)</f>
        <v>0</v>
      </c>
      <c r="E27" s="89" t="n">
        <f aca="false">'12_UTILITY'!E56/'26_DEBT_SUSTAINABILITY'!E21</f>
        <v>0</v>
      </c>
      <c r="F27" s="89" t="n">
        <f aca="false">'12_UTILITY'!F56/'26_DEBT_SUSTAINABILITY'!F21</f>
        <v>0</v>
      </c>
      <c r="G27" s="89" t="n">
        <f aca="false">'12_UTILITY'!G56/'26_DEBT_SUSTAINABILITY'!G21</f>
        <v>0</v>
      </c>
      <c r="H27" s="89" t="n">
        <f aca="false">'12_UTILITY'!H56/'26_DEBT_SUSTAINABILITY'!H21</f>
        <v>0</v>
      </c>
      <c r="I27" s="89" t="n">
        <f aca="false">'12_UTILITY'!I56/'26_DEBT_SUSTAINABILITY'!I21</f>
        <v>0</v>
      </c>
      <c r="J27" s="89" t="n">
        <f aca="false">'12_UTILITY'!J56/'26_DEBT_SUSTAINABILITY'!J21</f>
        <v>0</v>
      </c>
      <c r="K27" s="89" t="n">
        <f aca="false">'12_UTILITY'!K56/'26_DEBT_SUSTAINABILITY'!K21</f>
        <v>0</v>
      </c>
      <c r="L27" s="89" t="n">
        <f aca="false">'12_UTILITY'!L56/'26_DEBT_SUSTAINABILITY'!L21</f>
        <v>0</v>
      </c>
      <c r="M27" s="89" t="n">
        <f aca="false">'12_UTILITY'!M56/'26_DEBT_SUSTAINABILITY'!M21</f>
        <v>0</v>
      </c>
      <c r="N27" s="89" t="n">
        <f aca="false">'12_UTILITY'!N56/'26_DEBT_SUSTAINABILITY'!N21</f>
        <v>0</v>
      </c>
      <c r="O27" s="89" t="n">
        <f aca="false">'12_UTILITY'!O56/'26_DEBT_SUSTAINABILITY'!O21</f>
        <v>0</v>
      </c>
      <c r="P27" s="89" t="n">
        <f aca="false">'12_UTILITY'!P56/'26_DEBT_SUSTAINABILITY'!P21</f>
        <v>0</v>
      </c>
      <c r="Q27" s="89" t="n">
        <f aca="false">'12_UTILITY'!Q56/'26_DEBT_SUSTAINABILITY'!Q21</f>
        <v>0</v>
      </c>
      <c r="R27" s="89" t="n">
        <f aca="false">'12_UTILITY'!R56/'26_DEBT_SUSTAINABILITY'!R21</f>
        <v>0</v>
      </c>
      <c r="S27" s="89" t="n">
        <f aca="false">'12_UTILITY'!S56/'26_DEBT_SUSTAINABILITY'!S21</f>
        <v>0</v>
      </c>
      <c r="T27" s="89" t="n">
        <f aca="false">'12_UTILITY'!T56/'26_DEBT_SUSTAINABILITY'!T21</f>
        <v>0</v>
      </c>
      <c r="U27" s="89" t="n">
        <f aca="false">'12_UTILITY'!U56/'26_DEBT_SUSTAINABILITY'!U21</f>
        <v>0</v>
      </c>
      <c r="V27" s="89" t="n">
        <f aca="false">'12_UTILITY'!V56/'26_DEBT_SUSTAINABILITY'!V21</f>
        <v>0</v>
      </c>
      <c r="W27" s="89" t="n">
        <f aca="false">'12_UTILITY'!W56/'26_DEBT_SUSTAINABILITY'!W21</f>
        <v>0</v>
      </c>
      <c r="X27" s="89" t="n">
        <f aca="false">'12_UTILITY'!X56/'26_DEBT_SUSTAINABILITY'!X21</f>
        <v>0</v>
      </c>
      <c r="Y27" s="89" t="n">
        <f aca="false">'12_UTILITY'!Y56/'26_DEBT_SUSTAINABILITY'!Y21</f>
        <v>0</v>
      </c>
      <c r="Z27" s="89" t="n">
        <f aca="false">'12_UTILITY'!Z56/'26_DEBT_SUSTAINABILITY'!Z21</f>
        <v>0</v>
      </c>
      <c r="AA27" s="89" t="n">
        <f aca="false">'12_UTILITY'!AA56/'26_DEBT_SUSTAINABILITY'!AA21</f>
        <v>0</v>
      </c>
      <c r="AB27" s="89" t="n">
        <f aca="false">'12_UTILITY'!AB56/'26_DEBT_SUSTAINABILITY'!AB21</f>
        <v>0</v>
      </c>
      <c r="AC27" s="89" t="n">
        <f aca="false">'12_UTILITY'!AC56/'26_DEBT_SUSTAINABILITY'!AC21</f>
        <v>0</v>
      </c>
      <c r="AD27" s="89" t="n">
        <f aca="false">'12_UTILITY'!AD56/'26_DEBT_SUSTAINABILITY'!AD21</f>
        <v>0</v>
      </c>
      <c r="AE27" s="89" t="n">
        <f aca="false">'12_UTILITY'!AE56/'26_DEBT_SUSTAINABILITY'!AE21</f>
        <v>0</v>
      </c>
      <c r="AF27" s="89" t="n">
        <f aca="false">'12_UTILITY'!AF56/'26_DEBT_SUSTAINABILITY'!AF21</f>
        <v>0</v>
      </c>
      <c r="AG27" s="89" t="n">
        <f aca="false">'12_UTILITY'!AG56/'26_DEBT_SUSTAINABILITY'!AG21</f>
        <v>0</v>
      </c>
      <c r="AH27" s="89" t="n">
        <f aca="false">'12_UTILITY'!AH56/'26_DEBT_SUSTAINABILITY'!AH21</f>
        <v>0</v>
      </c>
      <c r="AI27" s="89" t="n">
        <f aca="false">'12_UTILITY'!AI56/'26_DEBT_SUSTAINABILITY'!AI21</f>
        <v>0</v>
      </c>
      <c r="AJ27" s="89" t="n">
        <f aca="false">'12_UTILITY'!AJ56/'26_DEBT_SUSTAINABILITY'!AJ21</f>
        <v>0</v>
      </c>
      <c r="AK27" s="89" t="n">
        <f aca="false">'12_UTILITY'!AK56/'26_DEBT_SUSTAINABILITY'!AK21</f>
        <v>0</v>
      </c>
      <c r="AL27" s="89" t="n">
        <f aca="false">'12_UTILITY'!AL56/'26_DEBT_SUSTAINABILITY'!AL21</f>
        <v>0</v>
      </c>
      <c r="AM27" s="89" t="n">
        <f aca="false">'12_UTILITY'!AM56/'26_DEBT_SUSTAINABILITY'!AM21</f>
        <v>0</v>
      </c>
      <c r="AN27" s="89" t="n">
        <f aca="false">'12_UTILITY'!AN56/'26_DEBT_SUSTAINABILITY'!AN21</f>
        <v>0</v>
      </c>
      <c r="AO27" s="89" t="n">
        <f aca="false">'12_UTILITY'!AO56/'26_DEBT_SUSTAINABILITY'!AO21</f>
        <v>0</v>
      </c>
      <c r="AP27" s="89" t="n">
        <f aca="false">'12_UTILITY'!AP56/'26_DEBT_SUSTAINABILITY'!AP21</f>
        <v>0</v>
      </c>
      <c r="AQ27" s="89" t="n">
        <f aca="false">'12_UTILITY'!AQ56/'26_DEBT_SUSTAINABILITY'!AQ21</f>
        <v>0</v>
      </c>
      <c r="AR27" s="89" t="n">
        <f aca="false">'12_UTILITY'!AR56/'26_DEBT_SUSTAINABILITY'!AR21</f>
        <v>0</v>
      </c>
    </row>
    <row r="28" customFormat="false" ht="15" hidden="false" customHeight="true" outlineLevel="0" collapsed="false">
      <c r="A28" s="23" t="s">
        <v>1061</v>
      </c>
      <c r="B28" s="23" t="s">
        <v>93</v>
      </c>
      <c r="C28" s="89" t="n">
        <f aca="false">MAX('26_DEBT_SUSTAINABILITY'!$E$28:$AR$28)</f>
        <v>0</v>
      </c>
      <c r="E28" s="89" t="n">
        <f aca="false">'26_DEBT_SUSTAINABILITY'!E23+'26_DEBT_SUSTAINABILITY'!E26+'26_DEBT_SUSTAINABILITY'!E27</f>
        <v>0</v>
      </c>
      <c r="F28" s="89" t="n">
        <f aca="false">'26_DEBT_SUSTAINABILITY'!F23+'26_DEBT_SUSTAINABILITY'!F26+'26_DEBT_SUSTAINABILITY'!F27</f>
        <v>0</v>
      </c>
      <c r="G28" s="89" t="n">
        <f aca="false">'26_DEBT_SUSTAINABILITY'!G23+'26_DEBT_SUSTAINABILITY'!G26+'26_DEBT_SUSTAINABILITY'!G27</f>
        <v>0</v>
      </c>
      <c r="H28" s="89" t="n">
        <f aca="false">'26_DEBT_SUSTAINABILITY'!H23+'26_DEBT_SUSTAINABILITY'!H26+'26_DEBT_SUSTAINABILITY'!H27</f>
        <v>0</v>
      </c>
      <c r="I28" s="89" t="n">
        <f aca="false">'26_DEBT_SUSTAINABILITY'!I23+'26_DEBT_SUSTAINABILITY'!I26+'26_DEBT_SUSTAINABILITY'!I27</f>
        <v>0</v>
      </c>
      <c r="J28" s="89" t="n">
        <f aca="false">'26_DEBT_SUSTAINABILITY'!J23+'26_DEBT_SUSTAINABILITY'!J26+'26_DEBT_SUSTAINABILITY'!J27</f>
        <v>0</v>
      </c>
      <c r="K28" s="89" t="n">
        <f aca="false">'26_DEBT_SUSTAINABILITY'!K23+'26_DEBT_SUSTAINABILITY'!K26+'26_DEBT_SUSTAINABILITY'!K27</f>
        <v>0</v>
      </c>
      <c r="L28" s="89" t="n">
        <f aca="false">'26_DEBT_SUSTAINABILITY'!L23+'26_DEBT_SUSTAINABILITY'!L26+'26_DEBT_SUSTAINABILITY'!L27</f>
        <v>0</v>
      </c>
      <c r="M28" s="89" t="n">
        <f aca="false">'26_DEBT_SUSTAINABILITY'!M23+'26_DEBT_SUSTAINABILITY'!M26+'26_DEBT_SUSTAINABILITY'!M27</f>
        <v>0</v>
      </c>
      <c r="N28" s="89" t="n">
        <f aca="false">'26_DEBT_SUSTAINABILITY'!N23+'26_DEBT_SUSTAINABILITY'!N26+'26_DEBT_SUSTAINABILITY'!N27</f>
        <v>0</v>
      </c>
      <c r="O28" s="89" t="n">
        <f aca="false">'26_DEBT_SUSTAINABILITY'!O23+'26_DEBT_SUSTAINABILITY'!O26+'26_DEBT_SUSTAINABILITY'!O27</f>
        <v>0</v>
      </c>
      <c r="P28" s="89" t="n">
        <f aca="false">'26_DEBT_SUSTAINABILITY'!P23+'26_DEBT_SUSTAINABILITY'!P26+'26_DEBT_SUSTAINABILITY'!P27</f>
        <v>0</v>
      </c>
      <c r="Q28" s="89" t="n">
        <f aca="false">'26_DEBT_SUSTAINABILITY'!Q23+'26_DEBT_SUSTAINABILITY'!Q26+'26_DEBT_SUSTAINABILITY'!Q27</f>
        <v>0</v>
      </c>
      <c r="R28" s="89" t="n">
        <f aca="false">'26_DEBT_SUSTAINABILITY'!R23+'26_DEBT_SUSTAINABILITY'!R26+'26_DEBT_SUSTAINABILITY'!R27</f>
        <v>0</v>
      </c>
      <c r="S28" s="89" t="n">
        <f aca="false">'26_DEBT_SUSTAINABILITY'!S23+'26_DEBT_SUSTAINABILITY'!S26+'26_DEBT_SUSTAINABILITY'!S27</f>
        <v>0</v>
      </c>
      <c r="T28" s="89" t="n">
        <f aca="false">'26_DEBT_SUSTAINABILITY'!T23+'26_DEBT_SUSTAINABILITY'!T26+'26_DEBT_SUSTAINABILITY'!T27</f>
        <v>0</v>
      </c>
      <c r="U28" s="89" t="n">
        <f aca="false">'26_DEBT_SUSTAINABILITY'!U23+'26_DEBT_SUSTAINABILITY'!U26+'26_DEBT_SUSTAINABILITY'!U27</f>
        <v>0</v>
      </c>
      <c r="V28" s="89" t="n">
        <f aca="false">'26_DEBT_SUSTAINABILITY'!V23+'26_DEBT_SUSTAINABILITY'!V26+'26_DEBT_SUSTAINABILITY'!V27</f>
        <v>0</v>
      </c>
      <c r="W28" s="89" t="n">
        <f aca="false">'26_DEBT_SUSTAINABILITY'!W23+'26_DEBT_SUSTAINABILITY'!W26+'26_DEBT_SUSTAINABILITY'!W27</f>
        <v>0</v>
      </c>
      <c r="X28" s="89" t="n">
        <f aca="false">'26_DEBT_SUSTAINABILITY'!X23+'26_DEBT_SUSTAINABILITY'!X26+'26_DEBT_SUSTAINABILITY'!X27</f>
        <v>0</v>
      </c>
      <c r="Y28" s="89" t="n">
        <f aca="false">'26_DEBT_SUSTAINABILITY'!Y23+'26_DEBT_SUSTAINABILITY'!Y26+'26_DEBT_SUSTAINABILITY'!Y27</f>
        <v>0</v>
      </c>
      <c r="Z28" s="89" t="n">
        <f aca="false">'26_DEBT_SUSTAINABILITY'!Z23+'26_DEBT_SUSTAINABILITY'!Z26+'26_DEBT_SUSTAINABILITY'!Z27</f>
        <v>0</v>
      </c>
      <c r="AA28" s="89" t="n">
        <f aca="false">'26_DEBT_SUSTAINABILITY'!AA23+'26_DEBT_SUSTAINABILITY'!AA26+'26_DEBT_SUSTAINABILITY'!AA27</f>
        <v>0</v>
      </c>
      <c r="AB28" s="89" t="n">
        <f aca="false">'26_DEBT_SUSTAINABILITY'!AB23+'26_DEBT_SUSTAINABILITY'!AB26+'26_DEBT_SUSTAINABILITY'!AB27</f>
        <v>0</v>
      </c>
      <c r="AC28" s="89" t="n">
        <f aca="false">'26_DEBT_SUSTAINABILITY'!AC23+'26_DEBT_SUSTAINABILITY'!AC26+'26_DEBT_SUSTAINABILITY'!AC27</f>
        <v>0</v>
      </c>
      <c r="AD28" s="89" t="n">
        <f aca="false">'26_DEBT_SUSTAINABILITY'!AD23+'26_DEBT_SUSTAINABILITY'!AD26+'26_DEBT_SUSTAINABILITY'!AD27</f>
        <v>0</v>
      </c>
      <c r="AE28" s="89" t="n">
        <f aca="false">'26_DEBT_SUSTAINABILITY'!AE23+'26_DEBT_SUSTAINABILITY'!AE26+'26_DEBT_SUSTAINABILITY'!AE27</f>
        <v>0</v>
      </c>
      <c r="AF28" s="89" t="n">
        <f aca="false">'26_DEBT_SUSTAINABILITY'!AF23+'26_DEBT_SUSTAINABILITY'!AF26+'26_DEBT_SUSTAINABILITY'!AF27</f>
        <v>0</v>
      </c>
      <c r="AG28" s="89" t="n">
        <f aca="false">'26_DEBT_SUSTAINABILITY'!AG23+'26_DEBT_SUSTAINABILITY'!AG26+'26_DEBT_SUSTAINABILITY'!AG27</f>
        <v>0</v>
      </c>
      <c r="AH28" s="89" t="n">
        <f aca="false">'26_DEBT_SUSTAINABILITY'!AH23+'26_DEBT_SUSTAINABILITY'!AH26+'26_DEBT_SUSTAINABILITY'!AH27</f>
        <v>0</v>
      </c>
      <c r="AI28" s="89" t="n">
        <f aca="false">'26_DEBT_SUSTAINABILITY'!AI23+'26_DEBT_SUSTAINABILITY'!AI26+'26_DEBT_SUSTAINABILITY'!AI27</f>
        <v>0</v>
      </c>
      <c r="AJ28" s="89" t="n">
        <f aca="false">'26_DEBT_SUSTAINABILITY'!AJ23+'26_DEBT_SUSTAINABILITY'!AJ26+'26_DEBT_SUSTAINABILITY'!AJ27</f>
        <v>0</v>
      </c>
      <c r="AK28" s="89" t="n">
        <f aca="false">'26_DEBT_SUSTAINABILITY'!AK23+'26_DEBT_SUSTAINABILITY'!AK26+'26_DEBT_SUSTAINABILITY'!AK27</f>
        <v>0</v>
      </c>
      <c r="AL28" s="89" t="n">
        <f aca="false">'26_DEBT_SUSTAINABILITY'!AL23+'26_DEBT_SUSTAINABILITY'!AL26+'26_DEBT_SUSTAINABILITY'!AL27</f>
        <v>0</v>
      </c>
      <c r="AM28" s="89" t="n">
        <f aca="false">'26_DEBT_SUSTAINABILITY'!AM23+'26_DEBT_SUSTAINABILITY'!AM26+'26_DEBT_SUSTAINABILITY'!AM27</f>
        <v>0</v>
      </c>
      <c r="AN28" s="89" t="n">
        <f aca="false">'26_DEBT_SUSTAINABILITY'!AN23+'26_DEBT_SUSTAINABILITY'!AN26+'26_DEBT_SUSTAINABILITY'!AN27</f>
        <v>0</v>
      </c>
      <c r="AO28" s="89" t="n">
        <f aca="false">'26_DEBT_SUSTAINABILITY'!AO23+'26_DEBT_SUSTAINABILITY'!AO26+'26_DEBT_SUSTAINABILITY'!AO27</f>
        <v>0</v>
      </c>
      <c r="AP28" s="89" t="n">
        <f aca="false">'26_DEBT_SUSTAINABILITY'!AP23+'26_DEBT_SUSTAINABILITY'!AP26+'26_DEBT_SUSTAINABILITY'!AP27</f>
        <v>0</v>
      </c>
      <c r="AQ28" s="89" t="n">
        <f aca="false">'26_DEBT_SUSTAINABILITY'!AQ23+'26_DEBT_SUSTAINABILITY'!AQ26+'26_DEBT_SUSTAINABILITY'!AQ27</f>
        <v>0</v>
      </c>
      <c r="AR28" s="89" t="n">
        <f aca="false">'26_DEBT_SUSTAINABILITY'!AR23+'26_DEBT_SUSTAINABILITY'!AR26+'26_DEBT_SUSTAINABILITY'!AR27</f>
        <v>0</v>
      </c>
    </row>
    <row r="29" customFormat="false" ht="15" hidden="false" customHeight="true" outlineLevel="0" collapsed="false">
      <c r="A29" s="21" t="s">
        <v>1062</v>
      </c>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row>
    <row r="30" customFormat="false" ht="15" hidden="false" customHeight="true" outlineLevel="0" collapsed="false">
      <c r="A30" s="19" t="s">
        <v>1063</v>
      </c>
      <c r="B30" s="23" t="s">
        <v>1039</v>
      </c>
      <c r="C30" s="102" t="n">
        <f aca="false">'26_DEBT_SUSTAINABILITY'!$C$28</f>
        <v>0</v>
      </c>
    </row>
    <row r="31" customFormat="false" ht="15" hidden="false" customHeight="true" outlineLevel="0" collapsed="false">
      <c r="A31" s="19" t="s">
        <v>1064</v>
      </c>
      <c r="B31" s="23" t="s">
        <v>1039</v>
      </c>
      <c r="C31" s="102" t="n">
        <f aca="false">'26_DEBT_SUSTAINABILITY'!$C$24</f>
        <v>0.00556315483524079</v>
      </c>
    </row>
    <row r="32" customFormat="false" ht="15" hidden="false" customHeight="true" outlineLevel="0" collapsed="false">
      <c r="A32" s="19" t="s">
        <v>1065</v>
      </c>
      <c r="B32" s="23" t="s">
        <v>1066</v>
      </c>
      <c r="C32" s="102" t="n">
        <f aca="false">'26_DEBT_SUSTAINABILITY'!$C$25</f>
        <v>0</v>
      </c>
    </row>
    <row r="33" customFormat="false" ht="15" hidden="false" customHeight="true" outlineLevel="0" collapsed="false">
      <c r="A33" s="19" t="s">
        <v>1067</v>
      </c>
      <c r="B33" s="23" t="s">
        <v>1039</v>
      </c>
      <c r="C33" s="38" t="n">
        <f aca="false">'26_DEBT_SUSTAINABILITY'!$C$10+'26_DEBT_SUSTAINABILITY'!$C$30</f>
        <v>0.48</v>
      </c>
    </row>
    <row r="34" customFormat="false" ht="15" hidden="false" customHeight="true" outlineLevel="0" collapsed="false">
      <c r="A34" s="19" t="s">
        <v>1068</v>
      </c>
      <c r="B34" s="23" t="s">
        <v>115</v>
      </c>
      <c r="C34" s="75" t="n">
        <f aca="false">('26_DEBT_SUSTAINABILITY'!$C$30&gt;'26_DEBT_SUSTAINABILITY'!$C$17)+('26_DEBT_SUSTAINABILITY'!$C$31&gt;'26_DEBT_SUSTAINABILITY'!$C$18)+('26_DEBT_SUSTAINABILITY'!$C$32&gt;'26_DEBT_SUSTAINABILITY'!$C$19)+AND('26_DEBT_SUSTAINABILITY'!$C$33&gt;'26_DEBT_SUSTAINABILITY'!$C$16,'26_DEBT_SUSTAINABILITY'!$C$10&lt;='26_DEBT_SUSTAINABILITY'!$C$16)</f>
        <v>0</v>
      </c>
    </row>
    <row r="35" customFormat="false" ht="15" hidden="false" customHeight="true" outlineLevel="0" collapsed="false">
      <c r="A35" s="19" t="s">
        <v>1069</v>
      </c>
      <c r="B35" s="23"/>
      <c r="C35" s="103" t="str">
        <f aca="false">IF(AND('26_DEBT_SUSTAINABILITY'!$C$34=0,'26_DEBT_SUSTAINABILITY'!$C$14&lt;=2),"LOW : faible pression budgétaire supplémentaire",IF(OR('26_DEBT_SUSTAINABILITY'!$C$34&gt;=3,AND('26_DEBT_SUSTAINABILITY'!$C$34&gt;=1,OR('26_DEBT_SUSTAINABILITY'!$C$14&gt;=3,'26_DEBT_SUSTAINABILITY'!$C$10&gt;'26_DEBT_SUSTAINABILITY'!$C$16))),"HIGH : forte pression budgétaire supplémentaire, à remonter au ministère des Finances","MODERATE : pression budgétaire supplémentaire modérée"))</f>
        <v>LOW : faible pression budgétaire supplémentaire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S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16" t="s">
        <v>1070</v>
      </c>
      <c r="B1" s="17"/>
      <c r="C1" s="17"/>
      <c r="D1" s="17"/>
      <c r="E1" s="17"/>
      <c r="F1" s="17"/>
      <c r="G1" s="17"/>
      <c r="H1" s="17"/>
      <c r="I1" s="17"/>
      <c r="J1" s="17"/>
    </row>
    <row r="2" customFormat="false" ht="15" hidden="false" customHeight="true" outlineLevel="0" collapsed="false">
      <c r="A2" s="18" t="s">
        <v>1071</v>
      </c>
      <c r="B2" s="17"/>
      <c r="C2" s="17"/>
      <c r="D2" s="17"/>
      <c r="E2" s="17"/>
      <c r="F2" s="17"/>
      <c r="G2" s="17"/>
      <c r="H2" s="17"/>
      <c r="I2" s="17"/>
      <c r="J2" s="17"/>
    </row>
    <row r="4" customFormat="false" ht="15" hidden="false" customHeight="true" outlineLevel="0" collapsed="false">
      <c r="A4" s="34" t="s">
        <v>1072</v>
      </c>
      <c r="B4" s="34" t="s">
        <v>366</v>
      </c>
      <c r="C4" s="34" t="s">
        <v>1073</v>
      </c>
      <c r="D4" s="34" t="s">
        <v>1074</v>
      </c>
      <c r="E4" s="34" t="s">
        <v>1075</v>
      </c>
      <c r="F4" s="34" t="s">
        <v>1076</v>
      </c>
    </row>
    <row r="5" customFormat="false" ht="15" hidden="false" customHeight="true" outlineLevel="0" collapsed="false">
      <c r="A5" s="23" t="s">
        <v>1077</v>
      </c>
      <c r="B5" s="23" t="s">
        <v>119</v>
      </c>
      <c r="C5" s="36" t="n">
        <v>1</v>
      </c>
      <c r="D5" s="36" t="n">
        <v>0.93</v>
      </c>
      <c r="E5" s="36" t="n">
        <v>1.04</v>
      </c>
      <c r="F5" s="23" t="s">
        <v>1078</v>
      </c>
    </row>
    <row r="6" customFormat="false" ht="15" hidden="false" customHeight="true" outlineLevel="0" collapsed="false">
      <c r="A6" s="23" t="s">
        <v>1079</v>
      </c>
      <c r="B6" s="23" t="s">
        <v>119</v>
      </c>
      <c r="C6" s="36" t="n">
        <v>1</v>
      </c>
      <c r="D6" s="36" t="n">
        <v>1.1</v>
      </c>
      <c r="E6" s="36" t="n">
        <v>0.95</v>
      </c>
      <c r="F6" s="23"/>
    </row>
    <row r="7" customFormat="false" ht="15" hidden="false" customHeight="true" outlineLevel="0" collapsed="false">
      <c r="A7" s="23" t="s">
        <v>1080</v>
      </c>
      <c r="B7" s="23" t="s">
        <v>1081</v>
      </c>
      <c r="C7" s="27" t="n">
        <v>0</v>
      </c>
      <c r="D7" s="27" t="n">
        <v>-0.015</v>
      </c>
      <c r="E7" s="27" t="n">
        <v>0.01</v>
      </c>
      <c r="F7" s="23"/>
    </row>
    <row r="8" customFormat="false" ht="15" hidden="false" customHeight="true" outlineLevel="0" collapsed="false">
      <c r="A8" s="23" t="s">
        <v>1082</v>
      </c>
      <c r="B8" s="23" t="s">
        <v>119</v>
      </c>
      <c r="C8" s="36" t="n">
        <v>1</v>
      </c>
      <c r="D8" s="36" t="n">
        <v>1.1</v>
      </c>
      <c r="E8" s="36" t="n">
        <v>0.95</v>
      </c>
      <c r="F8" s="23"/>
    </row>
    <row r="10" customFormat="false" ht="15" hidden="false" customHeight="true" outlineLevel="0" collapsed="false">
      <c r="A10" s="21" t="s">
        <v>1083</v>
      </c>
      <c r="B10" s="22"/>
      <c r="C10" s="22"/>
      <c r="D10" s="22"/>
      <c r="E10" s="22"/>
      <c r="F10" s="22"/>
      <c r="G10" s="22"/>
      <c r="H10" s="22"/>
      <c r="I10" s="22"/>
      <c r="J10" s="22"/>
    </row>
    <row r="11" customFormat="false" ht="15" hidden="false" customHeight="true" outlineLevel="0" collapsed="false">
      <c r="A11" s="23" t="s">
        <v>1084</v>
      </c>
      <c r="B11" s="23" t="s">
        <v>119</v>
      </c>
      <c r="C11" s="36" t="n">
        <v>0.55</v>
      </c>
      <c r="D11" s="25" t="s">
        <v>1085</v>
      </c>
    </row>
    <row r="12" customFormat="false" ht="15" hidden="false" customHeight="true" outlineLevel="0" collapsed="false">
      <c r="A12" s="23" t="s">
        <v>1086</v>
      </c>
      <c r="B12" s="23" t="s">
        <v>1087</v>
      </c>
      <c r="C12" s="35" t="n">
        <v>4</v>
      </c>
    </row>
    <row r="13" customFormat="false" ht="15" hidden="false" customHeight="true" outlineLevel="0" collapsed="false">
      <c r="A13" s="23" t="s">
        <v>1088</v>
      </c>
      <c r="B13" s="23" t="s">
        <v>147</v>
      </c>
      <c r="C13" s="35" t="n">
        <v>3</v>
      </c>
      <c r="D13" s="25" t="s">
        <v>1089</v>
      </c>
    </row>
    <row r="14" customFormat="false" ht="15" hidden="false" customHeight="true" outlineLevel="0" collapsed="false">
      <c r="A14" s="23" t="s">
        <v>97</v>
      </c>
      <c r="B14" s="23" t="s">
        <v>93</v>
      </c>
      <c r="C14" s="27" t="n">
        <v>0.27</v>
      </c>
      <c r="D14" s="25" t="s">
        <v>1090</v>
      </c>
    </row>
    <row r="15" customFormat="false" ht="15" hidden="false" customHeight="true" outlineLevel="0" collapsed="false">
      <c r="A15" s="23" t="s">
        <v>98</v>
      </c>
      <c r="B15" s="23" t="s">
        <v>147</v>
      </c>
      <c r="C15" s="35" t="n">
        <v>2</v>
      </c>
      <c r="D15" s="25" t="s">
        <v>1091</v>
      </c>
    </row>
    <row r="16" customFormat="false" ht="15" hidden="false" customHeight="true" outlineLevel="0" collapsed="false">
      <c r="A16" s="23" t="s">
        <v>1092</v>
      </c>
      <c r="B16" s="23" t="s">
        <v>119</v>
      </c>
      <c r="C16" s="36" t="n">
        <v>0.8</v>
      </c>
    </row>
    <row r="17" customFormat="false" ht="15" hidden="false" customHeight="true" outlineLevel="0" collapsed="false">
      <c r="A17" s="23" t="s">
        <v>1093</v>
      </c>
      <c r="B17" s="23" t="s">
        <v>1081</v>
      </c>
      <c r="C17" s="27" t="n">
        <v>0.08</v>
      </c>
    </row>
    <row r="18" customFormat="false" ht="15" hidden="false" customHeight="true" outlineLevel="0" collapsed="false">
      <c r="A18" s="23" t="s">
        <v>1094</v>
      </c>
      <c r="B18" s="23" t="s">
        <v>93</v>
      </c>
      <c r="C18" s="27" t="n">
        <v>0.3</v>
      </c>
    </row>
    <row r="19" customFormat="false" ht="15" hidden="false" customHeight="true" outlineLevel="0" collapsed="false">
      <c r="A19" s="23" t="s">
        <v>1095</v>
      </c>
      <c r="B19" s="23" t="s">
        <v>147</v>
      </c>
      <c r="C19" s="35" t="n">
        <v>5</v>
      </c>
      <c r="D19" s="25" t="s">
        <v>1096</v>
      </c>
    </row>
    <row r="20" customFormat="false" ht="15" hidden="false" customHeight="true" outlineLevel="0" collapsed="false">
      <c r="A20" s="23" t="s">
        <v>1097</v>
      </c>
      <c r="B20" s="23" t="s">
        <v>93</v>
      </c>
      <c r="C20" s="27" t="n">
        <v>0.5</v>
      </c>
      <c r="D20" s="25" t="s">
        <v>1098</v>
      </c>
    </row>
    <row r="21" customFormat="false" ht="15" hidden="false" customHeight="true" outlineLevel="0" collapsed="false">
      <c r="A21" s="23" t="s">
        <v>1099</v>
      </c>
      <c r="B21" s="23" t="s">
        <v>1100</v>
      </c>
      <c r="C21" s="27" t="n">
        <v>0.03</v>
      </c>
      <c r="D21" s="25" t="s">
        <v>1101</v>
      </c>
    </row>
    <row r="22" customFormat="false" ht="15" hidden="false" customHeight="true" outlineLevel="0" collapsed="false">
      <c r="A22" s="23" t="s">
        <v>103</v>
      </c>
      <c r="B22" s="23" t="s">
        <v>147</v>
      </c>
      <c r="C22" s="35" t="n">
        <v>2</v>
      </c>
    </row>
    <row r="23" customFormat="false" ht="15" hidden="false" customHeight="true" outlineLevel="0" collapsed="false">
      <c r="A23" s="23" t="s">
        <v>1102</v>
      </c>
      <c r="B23" s="23" t="s">
        <v>1103</v>
      </c>
      <c r="C23" s="27" t="n">
        <v>-0.03</v>
      </c>
      <c r="D23" s="25" t="s">
        <v>1104</v>
      </c>
    </row>
    <row r="25" customFormat="false" ht="15" hidden="false" customHeight="true" outlineLevel="0" collapsed="false">
      <c r="A25" s="21" t="s">
        <v>1105</v>
      </c>
      <c r="B25" s="22"/>
      <c r="C25" s="22"/>
      <c r="D25" s="22"/>
      <c r="E25" s="22"/>
      <c r="F25" s="22"/>
      <c r="G25" s="22"/>
      <c r="H25" s="22"/>
      <c r="I25" s="22"/>
      <c r="J25" s="22"/>
    </row>
    <row r="26" customFormat="false" ht="15" hidden="false" customHeight="true" outlineLevel="0" collapsed="false">
      <c r="A26" s="23" t="s">
        <v>1106</v>
      </c>
      <c r="B26" s="23" t="s">
        <v>119</v>
      </c>
      <c r="C26" s="61" t="n">
        <f aca="false">CHOOSE('01_CONTROL_PANEL'!$C$5,'27_SCENARIOS'!$C$5,'27_SCENARIOS'!$D$5,'27_SCENARIOS'!$E$5)*(1+'01_CONTROL_PANEL'!$C$26)</f>
        <v>1</v>
      </c>
    </row>
    <row r="27" customFormat="false" ht="15" hidden="false" customHeight="true" outlineLevel="0" collapsed="false">
      <c r="A27" s="23" t="s">
        <v>1107</v>
      </c>
      <c r="B27" s="23" t="s">
        <v>119</v>
      </c>
      <c r="C27" s="61" t="n">
        <f aca="false">CHOOSE('01_CONTROL_PANEL'!$C$5,'27_SCENARIOS'!$C$6,'27_SCENARIOS'!$D$6,'27_SCENARIOS'!$E$6)*(1+'01_CONTROL_PANEL'!$C$16*'27_SCENARIOS'!$C$14*'05A_CONTRACTING'!$C$8)*(1+'01_CONTROL_PANEL'!$C$25)</f>
        <v>1</v>
      </c>
    </row>
    <row r="28" customFormat="false" ht="15" hidden="false" customHeight="true" outlineLevel="0" collapsed="false">
      <c r="A28" s="23" t="s">
        <v>1108</v>
      </c>
      <c r="B28" s="23" t="s">
        <v>147</v>
      </c>
      <c r="C28" s="29" t="n">
        <f aca="false">'01_CONTROL_PANEL'!$C$17*'27_SCENARIOS'!$C$15</f>
        <v>0</v>
      </c>
    </row>
    <row r="29" customFormat="false" ht="15" hidden="false" customHeight="true" outlineLevel="0" collapsed="false">
      <c r="A29" s="23" t="s">
        <v>1109</v>
      </c>
      <c r="B29" s="23" t="s">
        <v>1081</v>
      </c>
      <c r="C29" s="77" t="n">
        <f aca="false">CHOOSE('01_CONTROL_PANEL'!$C$5,'27_SCENARIOS'!$C$7,'27_SCENARIOS'!$D$7,'27_SCENARIOS'!$E$7)</f>
        <v>0</v>
      </c>
    </row>
    <row r="30" customFormat="false" ht="15" hidden="false" customHeight="true" outlineLevel="0" collapsed="false">
      <c r="A30" s="23" t="s">
        <v>1110</v>
      </c>
      <c r="B30" s="23" t="s">
        <v>119</v>
      </c>
      <c r="C30" s="61" t="n">
        <f aca="false">IF('01_CONTROL_PANEL'!$C$18=1,'27_SCENARIOS'!$C$16,1)</f>
        <v>1</v>
      </c>
    </row>
    <row r="31" customFormat="false" ht="15" hidden="false" customHeight="true" outlineLevel="0" collapsed="false">
      <c r="A31" s="23" t="s">
        <v>1111</v>
      </c>
      <c r="B31" s="23" t="s">
        <v>1081</v>
      </c>
      <c r="C31" s="77" t="n">
        <f aca="false">-'01_CONTROL_PANEL'!$C$19*'27_SCENARIOS'!$C$17</f>
        <v>-0</v>
      </c>
    </row>
    <row r="32" customFormat="false" ht="15" hidden="false" customHeight="true" outlineLevel="0" collapsed="false">
      <c r="A32" s="23" t="s">
        <v>1112</v>
      </c>
      <c r="B32" s="23" t="s">
        <v>119</v>
      </c>
      <c r="C32" s="61" t="n">
        <f aca="false">1-'01_CONTROL_PANEL'!$C$19*'27_SCENARIOS'!$C$18</f>
        <v>1</v>
      </c>
    </row>
    <row r="33" customFormat="false" ht="15" hidden="false" customHeight="true" outlineLevel="0" collapsed="false">
      <c r="A33" s="23" t="s">
        <v>1113</v>
      </c>
      <c r="B33" s="23" t="s">
        <v>147</v>
      </c>
      <c r="C33" s="29" t="n">
        <f aca="false">'01_CONTROL_PANEL'!$C$19*'27_SCENARIOS'!$C$19</f>
        <v>0</v>
      </c>
    </row>
    <row r="34" customFormat="false" ht="15" hidden="false" customHeight="true" outlineLevel="0" collapsed="false">
      <c r="A34" s="23" t="s">
        <v>1114</v>
      </c>
      <c r="B34" s="23" t="s">
        <v>237</v>
      </c>
      <c r="C34" s="101" t="n">
        <f aca="false">'02_PROJECT_INPUTS'!$C$21</f>
        <v>0.06</v>
      </c>
    </row>
    <row r="35" customFormat="false" ht="15" hidden="false" customHeight="true" outlineLevel="0" collapsed="false">
      <c r="A35" s="23" t="s">
        <v>1115</v>
      </c>
      <c r="B35" s="23" t="s">
        <v>93</v>
      </c>
      <c r="C35" s="77" t="n">
        <f aca="false">'01_CONTROL_PANEL'!$C$20*'27_SCENARIOS'!$C$20</f>
        <v>0</v>
      </c>
    </row>
    <row r="36" customFormat="false" ht="15" hidden="false" customHeight="true" outlineLevel="0" collapsed="false">
      <c r="A36" s="23" t="s">
        <v>1116</v>
      </c>
      <c r="B36" s="23" t="s">
        <v>1100</v>
      </c>
      <c r="C36" s="99" t="n">
        <f aca="false">'01_CONTROL_PANEL'!$C$21*'27_SCENARIOS'!$C$21+'01_CONTROL_PANEL'!$C$29</f>
        <v>0</v>
      </c>
    </row>
    <row r="37" customFormat="false" ht="15" hidden="false" customHeight="true" outlineLevel="0" collapsed="false">
      <c r="A37" s="23" t="s">
        <v>103</v>
      </c>
      <c r="B37" s="23" t="s">
        <v>147</v>
      </c>
      <c r="C37" s="29" t="n">
        <f aca="false">'01_CONTROL_PANEL'!$C$22*'27_SCENARIOS'!$C$22</f>
        <v>0</v>
      </c>
    </row>
    <row r="38" customFormat="false" ht="15" hidden="false" customHeight="true" outlineLevel="0" collapsed="false">
      <c r="A38" s="23" t="s">
        <v>1117</v>
      </c>
      <c r="B38" s="23" t="s">
        <v>1118</v>
      </c>
      <c r="C38" s="77" t="n">
        <f aca="false">'01_CONTROL_PANEL'!$C$23*'27_SCENARIOS'!$C$23</f>
        <v>-0</v>
      </c>
    </row>
    <row r="39" customFormat="false" ht="15" hidden="false" customHeight="true" outlineLevel="0" collapsed="false">
      <c r="A39" s="23" t="s">
        <v>1082</v>
      </c>
      <c r="B39" s="23" t="s">
        <v>119</v>
      </c>
      <c r="C39" s="61" t="n">
        <f aca="false">CHOOSE('01_CONTROL_PANEL'!$C$5,'27_SCENARIOS'!$C$8,'27_SCENARIOS'!$D$8,'27_SCENARIOS'!$E$8)*(1+'01_CONTROL_PANEL'!$C$28)</f>
        <v>1</v>
      </c>
    </row>
    <row r="40" customFormat="false" ht="15" hidden="false" customHeight="true" outlineLevel="0" collapsed="false">
      <c r="A40" s="23" t="s">
        <v>1119</v>
      </c>
      <c r="B40" s="23" t="s">
        <v>119</v>
      </c>
      <c r="C40" s="61" t="n">
        <f aca="false">1+'01_CONTROL_PANEL'!$C$27</f>
        <v>1</v>
      </c>
    </row>
    <row r="43" customFormat="false" ht="15" hidden="false" customHeight="true" outlineLevel="0" collapsed="false">
      <c r="A43" s="90" t="s">
        <v>1120</v>
      </c>
    </row>
    <row r="44" customFormat="false" ht="15" hidden="false" customHeight="true" outlineLevel="0" collapsed="false">
      <c r="A44" s="34" t="s">
        <v>830</v>
      </c>
      <c r="B44" s="34" t="s">
        <v>831</v>
      </c>
      <c r="C44" s="34" t="s">
        <v>832</v>
      </c>
      <c r="D44" s="34" t="s">
        <v>833</v>
      </c>
      <c r="E44" s="34" t="s">
        <v>834</v>
      </c>
      <c r="F44" s="34" t="s">
        <v>835</v>
      </c>
      <c r="G44" s="34" t="s">
        <v>836</v>
      </c>
      <c r="H44" s="34" t="s">
        <v>837</v>
      </c>
      <c r="I44" s="34" t="s">
        <v>838</v>
      </c>
      <c r="J44" s="34" t="s">
        <v>839</v>
      </c>
      <c r="K44" s="34" t="s">
        <v>840</v>
      </c>
      <c r="L44" s="34" t="s">
        <v>841</v>
      </c>
      <c r="M44" s="34" t="s">
        <v>842</v>
      </c>
      <c r="N44" s="34" t="s">
        <v>843</v>
      </c>
      <c r="O44" s="34" t="s">
        <v>124</v>
      </c>
      <c r="P44" s="34" t="s">
        <v>844</v>
      </c>
      <c r="Q44" s="34" t="s">
        <v>845</v>
      </c>
      <c r="R44" s="34" t="s">
        <v>846</v>
      </c>
      <c r="S44" s="34" t="s">
        <v>14</v>
      </c>
    </row>
    <row r="45" customFormat="false" ht="15" hidden="false" customHeight="true" outlineLevel="0" collapsed="false">
      <c r="A45" s="23" t="s">
        <v>1121</v>
      </c>
      <c r="B45" s="91" t="n">
        <v>0.112182480312486</v>
      </c>
      <c r="C45" s="91" t="n">
        <v>0.137581200828486</v>
      </c>
      <c r="D45" s="92" t="n">
        <v>1.52720627268227</v>
      </c>
      <c r="E45" s="92" t="n">
        <v>1.5905442481781</v>
      </c>
      <c r="F45" s="93" t="n">
        <v>4.05435072721588</v>
      </c>
      <c r="G45" s="94" t="n">
        <v>105.948882101081</v>
      </c>
      <c r="H45" s="92" t="n">
        <v>5.95931544276934</v>
      </c>
      <c r="I45" s="93" t="n">
        <v>0</v>
      </c>
      <c r="J45" s="93" t="n">
        <v>0</v>
      </c>
      <c r="K45" s="95" t="n">
        <v>34.7880224785295</v>
      </c>
      <c r="L45" s="93" t="n">
        <v>225.401649065097</v>
      </c>
      <c r="M45" s="96" t="n">
        <v>0</v>
      </c>
      <c r="N45" s="95" t="n">
        <v>-27.5809643867341</v>
      </c>
      <c r="O45" s="91" t="n">
        <v>0.159572040576511</v>
      </c>
      <c r="P45" s="97" t="n">
        <v>-0.952496487925857</v>
      </c>
      <c r="Q45" s="98" t="s">
        <v>849</v>
      </c>
      <c r="R45" s="98" t="s">
        <v>850</v>
      </c>
      <c r="S45" s="98" t="s">
        <v>851</v>
      </c>
    </row>
    <row r="46" customFormat="false" ht="15" hidden="false" customHeight="true" outlineLevel="0" collapsed="false">
      <c r="A46" s="23" t="s">
        <v>1122</v>
      </c>
      <c r="B46" s="91" t="n">
        <v>0.112182480312486</v>
      </c>
      <c r="C46" s="91" t="n">
        <v>0.137581200828486</v>
      </c>
      <c r="D46" s="92" t="n">
        <v>1.52720627268227</v>
      </c>
      <c r="E46" s="92" t="n">
        <v>1.5905442481781</v>
      </c>
      <c r="F46" s="93" t="n">
        <v>4.05435072721596</v>
      </c>
      <c r="G46" s="94" t="n">
        <v>105.948882101081</v>
      </c>
      <c r="H46" s="92" t="n">
        <v>5.95931544276934</v>
      </c>
      <c r="I46" s="93" t="n">
        <v>0</v>
      </c>
      <c r="J46" s="93" t="n">
        <v>0</v>
      </c>
      <c r="K46" s="95" t="n">
        <v>34.7880224785295</v>
      </c>
      <c r="L46" s="93" t="n">
        <v>225.401649065097</v>
      </c>
      <c r="M46" s="96" t="n">
        <v>0</v>
      </c>
      <c r="N46" s="95" t="n">
        <v>-27.5809643867341</v>
      </c>
      <c r="O46" s="91" t="n">
        <v>0.159572040576511</v>
      </c>
      <c r="P46" s="97" t="n">
        <v>-0.952496487925857</v>
      </c>
      <c r="Q46" s="98" t="s">
        <v>849</v>
      </c>
      <c r="R46" s="98" t="s">
        <v>850</v>
      </c>
      <c r="S46" s="98" t="s">
        <v>851</v>
      </c>
    </row>
    <row r="47" customFormat="false" ht="15" hidden="false" customHeight="true" outlineLevel="0" collapsed="false">
      <c r="A47" s="23" t="s">
        <v>1123</v>
      </c>
      <c r="B47" s="91" t="n">
        <v>0.0888976375860696</v>
      </c>
      <c r="C47" s="91" t="n">
        <v>0.090729221662039</v>
      </c>
      <c r="D47" s="92" t="n">
        <v>1.35895686036161</v>
      </c>
      <c r="E47" s="92" t="n">
        <v>1.44841855236591</v>
      </c>
      <c r="F47" s="93" t="n">
        <v>16.2286372072941</v>
      </c>
      <c r="G47" s="94" t="n">
        <v>124.631602101102</v>
      </c>
      <c r="H47" s="92" t="n">
        <v>6.04384734430323</v>
      </c>
      <c r="I47" s="93" t="n">
        <v>0</v>
      </c>
      <c r="J47" s="93" t="n">
        <v>0</v>
      </c>
      <c r="K47" s="95" t="n">
        <v>27.0873976180393</v>
      </c>
      <c r="L47" s="93" t="n">
        <v>246.940771299081</v>
      </c>
      <c r="M47" s="96" t="n">
        <v>0</v>
      </c>
      <c r="N47" s="95" t="n">
        <v>-106.228502897716</v>
      </c>
      <c r="O47" s="91" t="n">
        <v>0.0880597844969312</v>
      </c>
      <c r="P47" s="97" t="n">
        <v>-1.30781917551833</v>
      </c>
      <c r="Q47" s="98" t="s">
        <v>849</v>
      </c>
      <c r="R47" s="98" t="s">
        <v>850</v>
      </c>
      <c r="S47" s="98" t="s">
        <v>851</v>
      </c>
    </row>
    <row r="48" customFormat="false" ht="15" hidden="false" customHeight="true" outlineLevel="0" collapsed="false">
      <c r="A48" s="23" t="s">
        <v>1124</v>
      </c>
      <c r="B48" s="91" t="n">
        <v>0.125597189877786</v>
      </c>
      <c r="C48" s="91" t="n">
        <v>0.166376960100152</v>
      </c>
      <c r="D48" s="92" t="n">
        <v>1.70291451409866</v>
      </c>
      <c r="E48" s="92" t="n">
        <v>1.75666141587206</v>
      </c>
      <c r="F48" s="93" t="n">
        <v>3.85163319085511</v>
      </c>
      <c r="G48" s="94" t="n">
        <v>97.1008081289068</v>
      </c>
      <c r="H48" s="92" t="n">
        <v>5.75426196982842</v>
      </c>
      <c r="I48" s="93" t="n">
        <v>0</v>
      </c>
      <c r="J48" s="93" t="n">
        <v>0</v>
      </c>
      <c r="K48" s="95" t="n">
        <v>39.1758315331293</v>
      </c>
      <c r="L48" s="93" t="n">
        <v>222.670720849333</v>
      </c>
      <c r="M48" s="96" t="n">
        <v>0</v>
      </c>
      <c r="N48" s="95" t="n">
        <v>-25.6879148067438</v>
      </c>
      <c r="O48" s="91" t="n">
        <v>0.200754587414432</v>
      </c>
      <c r="P48" s="97" t="n">
        <v>-0.786115271532166</v>
      </c>
      <c r="Q48" s="98" t="s">
        <v>849</v>
      </c>
      <c r="R48" s="98" t="s">
        <v>850</v>
      </c>
      <c r="S48" s="98" t="s">
        <v>851</v>
      </c>
    </row>
    <row r="49" customFormat="false" ht="15" hidden="false" customHeight="true" outlineLevel="0" collapsed="false">
      <c r="A49" s="23" t="s">
        <v>96</v>
      </c>
      <c r="B49" s="91" t="n">
        <v>0.0975203854009536</v>
      </c>
      <c r="C49" s="91" t="n">
        <v>0.110247493846457</v>
      </c>
      <c r="D49" s="92" t="n">
        <v>0.692675851444347</v>
      </c>
      <c r="E49" s="92" t="n">
        <v>1.4097446771963</v>
      </c>
      <c r="F49" s="93" t="n">
        <v>4.05435072721596</v>
      </c>
      <c r="G49" s="94" t="n">
        <v>116.521380944707</v>
      </c>
      <c r="H49" s="92" t="n">
        <v>5.95931544276934</v>
      </c>
      <c r="I49" s="93" t="n">
        <v>0</v>
      </c>
      <c r="J49" s="93" t="n">
        <v>4.33415917698213</v>
      </c>
      <c r="K49" s="95" t="n">
        <v>29.9179143816611</v>
      </c>
      <c r="L49" s="93" t="n">
        <v>225.401649065097</v>
      </c>
      <c r="M49" s="96" t="n">
        <v>0</v>
      </c>
      <c r="N49" s="95" t="n">
        <v>-26.5243187445767</v>
      </c>
      <c r="O49" s="91" t="n">
        <v>0.116400201823152</v>
      </c>
      <c r="P49" s="97" t="n">
        <v>-1.13741754320057</v>
      </c>
      <c r="Q49" s="98" t="s">
        <v>849</v>
      </c>
      <c r="R49" s="98" t="s">
        <v>850</v>
      </c>
      <c r="S49" s="98" t="s">
        <v>851</v>
      </c>
    </row>
    <row r="50" customFormat="false" ht="15" hidden="false" customHeight="true" outlineLevel="0" collapsed="false">
      <c r="A50" s="23" t="s">
        <v>97</v>
      </c>
      <c r="B50" s="91" t="n">
        <v>0.0957212395628396</v>
      </c>
      <c r="C50" s="91" t="n">
        <v>0.102191568069663</v>
      </c>
      <c r="D50" s="92" t="n">
        <v>1.51639537154834</v>
      </c>
      <c r="E50" s="92" t="n">
        <v>1.59514989148674</v>
      </c>
      <c r="F50" s="93" t="n">
        <v>22.133166150132</v>
      </c>
      <c r="G50" s="94" t="n">
        <v>118.415330846676</v>
      </c>
      <c r="H50" s="92" t="n">
        <v>5.95931544276934</v>
      </c>
      <c r="I50" s="93" t="n">
        <v>0</v>
      </c>
      <c r="J50" s="93" t="n">
        <v>0</v>
      </c>
      <c r="K50" s="95" t="n">
        <v>32.2951008077153</v>
      </c>
      <c r="L50" s="93" t="n">
        <v>257.387245582563</v>
      </c>
      <c r="M50" s="96" t="n">
        <v>0</v>
      </c>
      <c r="N50" s="95" t="n">
        <v>-30.0738860575482</v>
      </c>
      <c r="O50" s="91" t="n">
        <v>0.105863419095864</v>
      </c>
      <c r="P50" s="97" t="n">
        <v>-1.24526652339506</v>
      </c>
      <c r="Q50" s="98" t="s">
        <v>849</v>
      </c>
      <c r="R50" s="98" t="s">
        <v>850</v>
      </c>
      <c r="S50" s="98" t="s">
        <v>851</v>
      </c>
    </row>
    <row r="51" customFormat="false" ht="15" hidden="false" customHeight="true" outlineLevel="0" collapsed="false">
      <c r="A51" s="23" t="s">
        <v>1125</v>
      </c>
      <c r="B51" s="91" t="n">
        <v>0.0656713242291781</v>
      </c>
      <c r="C51" s="91" t="n">
        <v>0.0565297044355707</v>
      </c>
      <c r="D51" s="92" t="n">
        <v>1.48674776469569</v>
      </c>
      <c r="E51" s="92" t="n">
        <v>1.60815517771789</v>
      </c>
      <c r="F51" s="93" t="n">
        <v>68.3345833420285</v>
      </c>
      <c r="G51" s="94" t="n">
        <v>150.27403319653</v>
      </c>
      <c r="H51" s="92" t="n">
        <v>5.95931544276934</v>
      </c>
      <c r="I51" s="93" t="n">
        <v>0</v>
      </c>
      <c r="J51" s="93" t="n">
        <v>0</v>
      </c>
      <c r="K51" s="95" t="n">
        <v>25.781764524359</v>
      </c>
      <c r="L51" s="93" t="n">
        <v>339.128214460534</v>
      </c>
      <c r="M51" s="96" t="n">
        <v>0</v>
      </c>
      <c r="N51" s="95" t="n">
        <v>-36.5872223409045</v>
      </c>
      <c r="O51" s="91" t="n">
        <v>0.0403912325031898</v>
      </c>
      <c r="P51" s="97" t="n">
        <v>-1.99234176193122</v>
      </c>
      <c r="Q51" s="98" t="s">
        <v>849</v>
      </c>
      <c r="R51" s="98" t="s">
        <v>850</v>
      </c>
      <c r="S51" s="98" t="s">
        <v>851</v>
      </c>
    </row>
    <row r="52" customFormat="false" ht="15" hidden="false" customHeight="true" outlineLevel="0" collapsed="false">
      <c r="A52" s="23" t="s">
        <v>98</v>
      </c>
      <c r="B52" s="91" t="n">
        <v>0.09475791241713</v>
      </c>
      <c r="C52" s="91" t="n">
        <v>0.100552484985902</v>
      </c>
      <c r="D52" s="92" t="n">
        <v>1.54941981897659</v>
      </c>
      <c r="E52" s="92" t="n">
        <v>1.62493880659268</v>
      </c>
      <c r="F52" s="93" t="n">
        <v>23.8057191625201</v>
      </c>
      <c r="G52" s="94" t="n">
        <v>122.098860637639</v>
      </c>
      <c r="H52" s="92" t="n">
        <v>6.84340622572427</v>
      </c>
      <c r="I52" s="93" t="n">
        <v>0</v>
      </c>
      <c r="J52" s="93" t="n">
        <v>0</v>
      </c>
      <c r="K52" s="95" t="n">
        <v>29.2852181879404</v>
      </c>
      <c r="L52" s="93" t="n">
        <v>253.145852578793</v>
      </c>
      <c r="M52" s="96" t="n">
        <v>0</v>
      </c>
      <c r="N52" s="95" t="n">
        <v>-22.0983290997988</v>
      </c>
      <c r="O52" s="91" t="n">
        <v>0.102095531211112</v>
      </c>
      <c r="P52" s="97" t="n">
        <v>-1.23556983723733</v>
      </c>
      <c r="Q52" s="98" t="s">
        <v>849</v>
      </c>
      <c r="R52" s="98" t="s">
        <v>850</v>
      </c>
      <c r="S52" s="98" t="s">
        <v>851</v>
      </c>
    </row>
    <row r="53" customFormat="false" ht="15" hidden="false" customHeight="true" outlineLevel="0" collapsed="false">
      <c r="A53" s="23" t="s">
        <v>99</v>
      </c>
      <c r="B53" s="91" t="n">
        <v>0.112182480312486</v>
      </c>
      <c r="C53" s="91" t="n">
        <v>0.137581200828486</v>
      </c>
      <c r="D53" s="92" t="n">
        <v>1.52720627268227</v>
      </c>
      <c r="E53" s="92" t="n">
        <v>1.5905442481781</v>
      </c>
      <c r="F53" s="93" t="n">
        <v>4.05435072721596</v>
      </c>
      <c r="G53" s="94" t="n">
        <v>105.948882101081</v>
      </c>
      <c r="H53" s="92" t="n">
        <v>5.30967893420872</v>
      </c>
      <c r="I53" s="93" t="n">
        <v>0</v>
      </c>
      <c r="J53" s="93" t="n">
        <v>0</v>
      </c>
      <c r="K53" s="95" t="n">
        <v>34.7880224785295</v>
      </c>
      <c r="L53" s="93" t="n">
        <v>225.401649065097</v>
      </c>
      <c r="M53" s="96" t="n">
        <v>0</v>
      </c>
      <c r="N53" s="95" t="n">
        <v>-57.32864108149</v>
      </c>
      <c r="O53" s="91" t="n">
        <v>0.159572040576511</v>
      </c>
      <c r="P53" s="97" t="n">
        <v>-0.952496487925857</v>
      </c>
      <c r="Q53" s="98" t="s">
        <v>849</v>
      </c>
      <c r="R53" s="98" t="s">
        <v>850</v>
      </c>
      <c r="S53" s="98" t="s">
        <v>851</v>
      </c>
    </row>
    <row r="54" customFormat="false" ht="15" hidden="false" customHeight="true" outlineLevel="0" collapsed="false">
      <c r="A54" s="23" t="s">
        <v>100</v>
      </c>
      <c r="B54" s="91" t="n">
        <v>0.112182480312486</v>
      </c>
      <c r="C54" s="91" t="n">
        <v>0.137581200828486</v>
      </c>
      <c r="D54" s="92" t="n">
        <v>1.52720627268227</v>
      </c>
      <c r="E54" s="92" t="n">
        <v>1.5905442481781</v>
      </c>
      <c r="F54" s="93" t="n">
        <v>4.05435072721596</v>
      </c>
      <c r="G54" s="94" t="n">
        <v>105.948882101081</v>
      </c>
      <c r="H54" s="92" t="n">
        <v>0</v>
      </c>
      <c r="I54" s="93" t="n">
        <v>946.024818844062</v>
      </c>
      <c r="J54" s="93" t="n">
        <v>0</v>
      </c>
      <c r="K54" s="95" t="n">
        <v>-259.361035718148</v>
      </c>
      <c r="L54" s="93" t="n">
        <v>225.401649065097</v>
      </c>
      <c r="M54" s="96" t="n">
        <v>0.00482185491747394</v>
      </c>
      <c r="N54" s="95" t="n">
        <v>-125.094479233938</v>
      </c>
      <c r="O54" s="91" t="n">
        <v>0.159572040576511</v>
      </c>
      <c r="P54" s="97" t="n">
        <v>-0.952496487925857</v>
      </c>
      <c r="Q54" s="98" t="s">
        <v>849</v>
      </c>
      <c r="R54" s="98" t="s">
        <v>850</v>
      </c>
      <c r="S54" s="98" t="s">
        <v>851</v>
      </c>
    </row>
    <row r="55" customFormat="false" ht="15" hidden="false" customHeight="true" outlineLevel="0" collapsed="false">
      <c r="A55" s="23" t="s">
        <v>1126</v>
      </c>
      <c r="B55" s="91" t="s">
        <v>848</v>
      </c>
      <c r="C55" s="91" t="n">
        <v>-1</v>
      </c>
      <c r="D55" s="92" t="n">
        <v>-0.527058731375639</v>
      </c>
      <c r="E55" s="92" t="n">
        <v>-0.0701710916542001</v>
      </c>
      <c r="F55" s="93" t="n">
        <v>4.05435072721596</v>
      </c>
      <c r="G55" s="94" t="n">
        <v>105.948882101081</v>
      </c>
      <c r="H55" s="92" t="n">
        <v>0</v>
      </c>
      <c r="I55" s="93" t="n">
        <v>946.024818844062</v>
      </c>
      <c r="J55" s="93" t="n">
        <v>409.953013807211</v>
      </c>
      <c r="K55" s="95" t="n">
        <v>-18.7314572508022</v>
      </c>
      <c r="L55" s="93" t="n">
        <v>536.837369256971</v>
      </c>
      <c r="M55" s="96" t="n">
        <v>0.00443145600894908</v>
      </c>
      <c r="N55" s="95" t="n">
        <v>-152.00665819247</v>
      </c>
      <c r="O55" s="91" t="n">
        <v>-1</v>
      </c>
      <c r="P55" s="97" t="n">
        <v>-2.57523292578003</v>
      </c>
      <c r="Q55" s="98" t="s">
        <v>849</v>
      </c>
      <c r="R55" s="98" t="s">
        <v>850</v>
      </c>
      <c r="S55" s="98" t="s">
        <v>851</v>
      </c>
    </row>
    <row r="56" customFormat="false" ht="15" hidden="false" customHeight="true" outlineLevel="0" collapsed="false">
      <c r="A56" s="23" t="s">
        <v>1115</v>
      </c>
      <c r="B56" s="91" t="n">
        <v>0.112182480312486</v>
      </c>
      <c r="C56" s="91" t="n">
        <v>0.137581200828486</v>
      </c>
      <c r="D56" s="92" t="n">
        <v>1.52720627268227</v>
      </c>
      <c r="E56" s="92" t="n">
        <v>1.5905442481781</v>
      </c>
      <c r="F56" s="93" t="n">
        <v>4.05435072721596</v>
      </c>
      <c r="G56" s="94" t="n">
        <v>105.948882101081</v>
      </c>
      <c r="H56" s="92" t="n">
        <v>0.538083968652711</v>
      </c>
      <c r="I56" s="93" t="n">
        <v>32.277866349163</v>
      </c>
      <c r="J56" s="93" t="n">
        <v>0</v>
      </c>
      <c r="K56" s="95" t="n">
        <v>12.5048912679834</v>
      </c>
      <c r="L56" s="93" t="n">
        <v>225.401649065097</v>
      </c>
      <c r="M56" s="96" t="n">
        <v>0.00196740534563821</v>
      </c>
      <c r="N56" s="95" t="n">
        <v>-111.260642629451</v>
      </c>
      <c r="O56" s="91" t="n">
        <v>0.159572040576511</v>
      </c>
      <c r="P56" s="97" t="n">
        <v>-0.952496487925857</v>
      </c>
      <c r="Q56" s="98" t="s">
        <v>849</v>
      </c>
      <c r="R56" s="98" t="s">
        <v>850</v>
      </c>
      <c r="S56" s="98" t="s">
        <v>851</v>
      </c>
    </row>
    <row r="57" customFormat="false" ht="15" hidden="false" customHeight="true" outlineLevel="0" collapsed="false">
      <c r="A57" s="23" t="s">
        <v>102</v>
      </c>
      <c r="B57" s="91" t="n">
        <v>0.112243921468769</v>
      </c>
      <c r="C57" s="91" t="n">
        <v>0.128011006007611</v>
      </c>
      <c r="D57" s="92" t="n">
        <v>1.42696613609752</v>
      </c>
      <c r="E57" s="92" t="n">
        <v>1.52446895258731</v>
      </c>
      <c r="F57" s="93" t="n">
        <v>6.23463399586376</v>
      </c>
      <c r="G57" s="94" t="n">
        <v>105.948882101081</v>
      </c>
      <c r="H57" s="92" t="n">
        <v>5.95931544276934</v>
      </c>
      <c r="I57" s="93" t="n">
        <v>0</v>
      </c>
      <c r="J57" s="93" t="n">
        <v>0</v>
      </c>
      <c r="K57" s="95" t="n">
        <v>33.8961428054961</v>
      </c>
      <c r="L57" s="93" t="n">
        <v>227.908974824042</v>
      </c>
      <c r="M57" s="96" t="n">
        <v>0</v>
      </c>
      <c r="N57" s="95" t="n">
        <v>-28.4728440597675</v>
      </c>
      <c r="O57" s="91" t="n">
        <v>0.14459172204376</v>
      </c>
      <c r="P57" s="97" t="n">
        <v>-1.01789975903068</v>
      </c>
      <c r="Q57" s="98" t="s">
        <v>849</v>
      </c>
      <c r="R57" s="98" t="s">
        <v>850</v>
      </c>
      <c r="S57" s="98" t="s">
        <v>851</v>
      </c>
    </row>
    <row r="58" customFormat="false" ht="15" hidden="false" customHeight="true" outlineLevel="0" collapsed="false">
      <c r="A58" s="23" t="s">
        <v>103</v>
      </c>
      <c r="B58" s="91" t="n">
        <v>0.112903127345914</v>
      </c>
      <c r="C58" s="91" t="n">
        <v>0.137594221265516</v>
      </c>
      <c r="D58" s="92" t="n">
        <v>1.31497458862675</v>
      </c>
      <c r="E58" s="92" t="n">
        <v>1.60390609970564</v>
      </c>
      <c r="F58" s="93" t="n">
        <v>3.87745871582742</v>
      </c>
      <c r="G58" s="94" t="n">
        <v>105.341445318291</v>
      </c>
      <c r="H58" s="92" t="n">
        <v>5.33139029646382</v>
      </c>
      <c r="I58" s="93" t="n">
        <v>0</v>
      </c>
      <c r="J58" s="93" t="n">
        <v>0</v>
      </c>
      <c r="K58" s="95" t="n">
        <v>34.6822795018098</v>
      </c>
      <c r="L58" s="93" t="n">
        <v>215.567336802529</v>
      </c>
      <c r="M58" s="96" t="n">
        <v>0</v>
      </c>
      <c r="N58" s="95" t="n">
        <v>-61.2837555490375</v>
      </c>
      <c r="O58" s="91" t="n">
        <v>0.159616196065561</v>
      </c>
      <c r="P58" s="97" t="n">
        <v>-0.953602172914447</v>
      </c>
      <c r="Q58" s="98" t="s">
        <v>849</v>
      </c>
      <c r="R58" s="98" t="s">
        <v>850</v>
      </c>
      <c r="S58" s="98" t="s">
        <v>851</v>
      </c>
    </row>
    <row r="59" customFormat="false" ht="15" hidden="false" customHeight="true" outlineLevel="0" collapsed="false">
      <c r="A59" s="23" t="s">
        <v>1117</v>
      </c>
      <c r="B59" s="91" t="n">
        <v>0.107489460189985</v>
      </c>
      <c r="C59" s="91" t="n">
        <v>0.128398256895752</v>
      </c>
      <c r="D59" s="92" t="n">
        <v>1.45971515610476</v>
      </c>
      <c r="E59" s="92" t="n">
        <v>1.54070853311105</v>
      </c>
      <c r="F59" s="93" t="n">
        <v>4.05435072721596</v>
      </c>
      <c r="G59" s="94" t="n">
        <v>109.560292638528</v>
      </c>
      <c r="H59" s="92" t="n">
        <v>6.04113183865065</v>
      </c>
      <c r="I59" s="93" t="n">
        <v>0</v>
      </c>
      <c r="J59" s="93" t="n">
        <v>0</v>
      </c>
      <c r="K59" s="95" t="n">
        <v>31.575310692816</v>
      </c>
      <c r="L59" s="93" t="n">
        <v>225.401649065097</v>
      </c>
      <c r="M59" s="96" t="n">
        <v>0</v>
      </c>
      <c r="N59" s="95" t="n">
        <v>-28.6621037675347</v>
      </c>
      <c r="O59" s="91" t="n">
        <v>0.1448880249113</v>
      </c>
      <c r="P59" s="97" t="n">
        <v>-1.00665427374436</v>
      </c>
      <c r="Q59" s="98" t="s">
        <v>849</v>
      </c>
      <c r="R59" s="98" t="s">
        <v>850</v>
      </c>
      <c r="S59" s="98" t="s">
        <v>851</v>
      </c>
    </row>
    <row r="60" customFormat="false" ht="15" hidden="false" customHeight="true" outlineLevel="0" collapsed="false">
      <c r="A60" s="23" t="s">
        <v>1127</v>
      </c>
      <c r="B60" s="91" t="n">
        <v>0.0811802389180037</v>
      </c>
      <c r="C60" s="91" t="n">
        <v>0.0778317360793251</v>
      </c>
      <c r="D60" s="92" t="n">
        <v>1.53774576000934</v>
      </c>
      <c r="E60" s="92" t="n">
        <v>1.63029525715585</v>
      </c>
      <c r="F60" s="93" t="n">
        <v>43.0908284493098</v>
      </c>
      <c r="G60" s="94" t="n">
        <v>136.831596001958</v>
      </c>
      <c r="H60" s="92" t="n">
        <v>0</v>
      </c>
      <c r="I60" s="93" t="n">
        <v>995.06088327244</v>
      </c>
      <c r="J60" s="93" t="n">
        <v>0</v>
      </c>
      <c r="K60" s="95" t="n">
        <v>-247.864393928102</v>
      </c>
      <c r="L60" s="93" t="n">
        <v>287.265661316959</v>
      </c>
      <c r="M60" s="96" t="n">
        <v>0.00446628069272511</v>
      </c>
      <c r="N60" s="95" t="n">
        <v>-156.772949831184</v>
      </c>
      <c r="O60" s="91" t="n">
        <v>0.0701768296853289</v>
      </c>
      <c r="P60" s="97" t="n">
        <v>-1.51018661878514</v>
      </c>
      <c r="Q60" s="98" t="s">
        <v>849</v>
      </c>
      <c r="R60" s="98" t="s">
        <v>850</v>
      </c>
      <c r="S60" s="98" t="s">
        <v>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S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1128</v>
      </c>
      <c r="B1" s="17"/>
      <c r="C1" s="17"/>
      <c r="D1" s="17"/>
      <c r="E1" s="17"/>
      <c r="F1" s="17"/>
      <c r="G1" s="17"/>
      <c r="H1" s="17"/>
      <c r="I1" s="17"/>
      <c r="J1" s="17"/>
    </row>
    <row r="2" customFormat="false" ht="15" hidden="false" customHeight="true" outlineLevel="0" collapsed="false">
      <c r="A2" s="18" t="s">
        <v>1129</v>
      </c>
      <c r="B2" s="17"/>
      <c r="C2" s="17"/>
      <c r="D2" s="17"/>
      <c r="E2" s="17"/>
      <c r="F2" s="17"/>
      <c r="G2" s="17"/>
      <c r="H2" s="17"/>
      <c r="I2" s="17"/>
      <c r="J2" s="17"/>
    </row>
    <row r="4" customFormat="false" ht="15" hidden="false" customHeight="true" outlineLevel="0" collapsed="false">
      <c r="A4" s="21" t="s">
        <v>1130</v>
      </c>
      <c r="B4" s="22"/>
      <c r="C4" s="22"/>
      <c r="D4" s="22"/>
      <c r="E4" s="22"/>
      <c r="F4" s="22"/>
      <c r="G4" s="22"/>
      <c r="H4" s="22"/>
      <c r="I4" s="22"/>
      <c r="J4" s="22"/>
    </row>
    <row r="5" customFormat="false" ht="15" hidden="false" customHeight="true" outlineLevel="0" collapsed="false">
      <c r="A5" s="23" t="s">
        <v>815</v>
      </c>
      <c r="B5" s="23" t="s">
        <v>119</v>
      </c>
      <c r="C5" s="61" t="n">
        <f aca="false">'02_PROJECT_INPUTS'!$C$23/(1-(1+'02_PROJECT_INPUTS'!$C$23)^-'02_PROJECT_INPUTS'!$C$13)</f>
        <v>0.110168072190021</v>
      </c>
    </row>
    <row r="6" customFormat="false" ht="15" hidden="false" customHeight="true" outlineLevel="0" collapsed="false">
      <c r="A6" s="23" t="s">
        <v>1131</v>
      </c>
      <c r="B6" s="23" t="s">
        <v>121</v>
      </c>
      <c r="C6" s="60" t="n">
        <f aca="false">'17_PROJECT_FINANCE'!$C$8+'17_PROJECT_FINANCE'!$C$9</f>
        <v>204.738981227307</v>
      </c>
    </row>
    <row r="7" customFormat="false" ht="15" hidden="false" customHeight="true" outlineLevel="0" collapsed="false">
      <c r="A7" s="19" t="s">
        <v>1132</v>
      </c>
      <c r="B7" s="23" t="s">
        <v>448</v>
      </c>
      <c r="C7" s="37" t="n">
        <f aca="false">('28_SENSITIVITY'!$C$6*'28_SENSITIVITY'!$C$5+'17_PROJECT_FINANCE'!$C$42)/'03_HYDROLOGY'!$C$33*1000</f>
        <v>97.8203613285037</v>
      </c>
    </row>
    <row r="8" customFormat="false" ht="15" hidden="false" customHeight="true" outlineLevel="0" collapsed="false">
      <c r="A8" s="34" t="s">
        <v>1133</v>
      </c>
      <c r="B8" s="34" t="s">
        <v>1134</v>
      </c>
      <c r="C8" s="34" t="s">
        <v>1135</v>
      </c>
      <c r="D8" s="34" t="s">
        <v>1136</v>
      </c>
      <c r="E8" s="34" t="s">
        <v>1137</v>
      </c>
      <c r="F8" s="34"/>
      <c r="G8" s="34"/>
    </row>
    <row r="9" customFormat="false" ht="15" hidden="false" customHeight="true" outlineLevel="0" collapsed="false">
      <c r="A9" s="23" t="s">
        <v>1138</v>
      </c>
      <c r="B9" s="104" t="n">
        <v>0.2</v>
      </c>
      <c r="C9" s="41" t="n">
        <f aca="false">('28_SENSITIVITY'!$C$6*(1-$B$9)*'28_SENSITIVITY'!$C$5+'17_PROJECT_FINANCE'!$C$42)/'03_HYDROLOGY'!$C$33*1000</f>
        <v>82.3966793045021</v>
      </c>
      <c r="D9" s="41" t="n">
        <f aca="false">('28_SENSITIVITY'!$C$6*(1+$B$9)*'28_SENSITIVITY'!$C$5+'17_PROJECT_FINANCE'!$C$42)/'03_HYDROLOGY'!$C$33*1000</f>
        <v>113.244043352505</v>
      </c>
      <c r="E9" s="41" t="n">
        <f aca="false">D9-C9</f>
        <v>30.8473640480031</v>
      </c>
    </row>
    <row r="10" customFormat="false" ht="15" hidden="false" customHeight="true" outlineLevel="0" collapsed="false">
      <c r="A10" s="23" t="s">
        <v>1139</v>
      </c>
      <c r="B10" s="104" t="n">
        <v>0.1</v>
      </c>
      <c r="C10" s="41" t="n">
        <f aca="false">('28_SENSITIVITY'!$C$6*'28_SENSITIVITY'!$C$5+'17_PROJECT_FINANCE'!$C$42)/('03_HYDROLOGY'!$C$33*(1+$B$10))*1000</f>
        <v>88.9276012077306</v>
      </c>
      <c r="D10" s="41" t="n">
        <f aca="false">('28_SENSITIVITY'!$C$6*'28_SENSITIVITY'!$C$5+'17_PROJECT_FINANCE'!$C$42)/('03_HYDROLOGY'!$C$33*(1-$B$10))*1000</f>
        <v>108.689290365004</v>
      </c>
      <c r="E10" s="41" t="n">
        <f aca="false">D10-C10</f>
        <v>19.7616891572735</v>
      </c>
    </row>
    <row r="11" customFormat="false" ht="15" hidden="false" customHeight="true" outlineLevel="0" collapsed="false">
      <c r="A11" s="23" t="s">
        <v>1140</v>
      </c>
      <c r="B11" s="104" t="n">
        <v>0.02</v>
      </c>
      <c r="C11" s="41" t="n">
        <f aca="false">('28_SENSITIVITY'!$C$6*(('02_PROJECT_INPUTS'!$C$23-$B$11)/(1-(1+'02_PROJECT_INPUTS'!$C$23-$B$11)^-'02_PROJECT_INPUTS'!$C$13))+'17_PROJECT_FINANCE'!$C$42)/'03_HYDROLOGY'!$C$33*1000</f>
        <v>86.2777424414631</v>
      </c>
      <c r="D11" s="41" t="n">
        <f aca="false">('28_SENSITIVITY'!$C$6*(('02_PROJECT_INPUTS'!$C$23+$B$11)/(1-(1+'02_PROJECT_INPUTS'!$C$23+$B$11)^-'02_PROJECT_INPUTS'!$C$13))+'17_PROJECT_FINANCE'!$C$42)/'03_HYDROLOGY'!$C$33*1000</f>
        <v>109.952809162139</v>
      </c>
      <c r="E11" s="41" t="n">
        <f aca="false">D11-C11</f>
        <v>23.6750667206758</v>
      </c>
    </row>
    <row r="12" customFormat="false" ht="15" hidden="false" customHeight="true" outlineLevel="0" collapsed="false">
      <c r="A12" s="23" t="s">
        <v>1141</v>
      </c>
      <c r="B12" s="104" t="n">
        <v>0.2</v>
      </c>
      <c r="C12" s="41" t="n">
        <f aca="false">('28_SENSITIVITY'!$C$6*'28_SENSITIVITY'!$C$5+'17_PROJECT_FINANCE'!$C$42*(1-$B$12))/'03_HYDROLOGY'!$C$33*1000</f>
        <v>93.6799710868045</v>
      </c>
      <c r="D12" s="41" t="n">
        <f aca="false">('28_SENSITIVITY'!$C$6*'28_SENSITIVITY'!$C$5+'17_PROJECT_FINANCE'!$C$42*(1+$B$12))/'03_HYDROLOGY'!$C$33*1000</f>
        <v>101.960751570203</v>
      </c>
      <c r="E12" s="41" t="n">
        <f aca="false">D12-C12</f>
        <v>8.28078048339829</v>
      </c>
    </row>
    <row r="13" customFormat="false" ht="15" hidden="false" customHeight="true" outlineLevel="0" collapsed="false">
      <c r="A13" s="23" t="s">
        <v>1142</v>
      </c>
      <c r="B13" s="104" t="n">
        <v>0.15</v>
      </c>
      <c r="C13" s="41" t="n">
        <f aca="false">('28_SENSITIVITY'!$C$6*'28_SENSITIVITY'!$C$5+'17_PROJECT_FINANCE'!$C$42)/'03_HYDROLOGY'!$C$33*1000</f>
        <v>97.8203613285037</v>
      </c>
      <c r="D13" s="41" t="n">
        <f aca="false">('28_SENSITIVITY'!$C$6*'28_SENSITIVITY'!$C$5+'17_PROJECT_FINANCE'!$C$42)/('03_HYDROLOGY'!$C$33*(1-$B$13))*1000</f>
        <v>115.082778033534</v>
      </c>
      <c r="E13" s="41" t="n">
        <f aca="false">D13-C13</f>
        <v>17.2624167050301</v>
      </c>
    </row>
    <row r="14" customFormat="false" ht="15" hidden="false" customHeight="true" outlineLevel="0" collapsed="false">
      <c r="A14" s="25" t="s">
        <v>1143</v>
      </c>
    </row>
    <row r="16" customFormat="false" ht="15" hidden="false" customHeight="true" outlineLevel="0" collapsed="false">
      <c r="A16" s="90" t="s">
        <v>1144</v>
      </c>
    </row>
    <row r="17" customFormat="false" ht="15" hidden="false" customHeight="true" outlineLevel="0" collapsed="false">
      <c r="A17" s="34" t="s">
        <v>830</v>
      </c>
      <c r="B17" s="34" t="s">
        <v>831</v>
      </c>
      <c r="C17" s="34" t="s">
        <v>832</v>
      </c>
      <c r="D17" s="34" t="s">
        <v>833</v>
      </c>
      <c r="E17" s="34" t="s">
        <v>834</v>
      </c>
      <c r="F17" s="34" t="s">
        <v>835</v>
      </c>
      <c r="G17" s="34" t="s">
        <v>836</v>
      </c>
      <c r="H17" s="34" t="s">
        <v>837</v>
      </c>
      <c r="I17" s="34" t="s">
        <v>838</v>
      </c>
      <c r="J17" s="34" t="s">
        <v>839</v>
      </c>
      <c r="K17" s="34" t="s">
        <v>840</v>
      </c>
      <c r="L17" s="34" t="s">
        <v>841</v>
      </c>
      <c r="M17" s="34" t="s">
        <v>842</v>
      </c>
      <c r="N17" s="34" t="s">
        <v>843</v>
      </c>
      <c r="O17" s="34" t="s">
        <v>124</v>
      </c>
      <c r="P17" s="34" t="s">
        <v>844</v>
      </c>
      <c r="Q17" s="34" t="s">
        <v>845</v>
      </c>
      <c r="R17" s="34" t="s">
        <v>846</v>
      </c>
      <c r="S17" s="34" t="s">
        <v>14</v>
      </c>
    </row>
    <row r="18" customFormat="false" ht="15" hidden="false" customHeight="true" outlineLevel="0" collapsed="false">
      <c r="A18" s="23" t="s">
        <v>1122</v>
      </c>
      <c r="B18" s="91" t="n">
        <v>0.112182480312486</v>
      </c>
      <c r="C18" s="91" t="n">
        <v>0.137581200828486</v>
      </c>
      <c r="D18" s="92" t="n">
        <v>1.52720627268227</v>
      </c>
      <c r="E18" s="92" t="n">
        <v>1.5905442481781</v>
      </c>
      <c r="F18" s="93" t="n">
        <v>4.05435072721596</v>
      </c>
      <c r="G18" s="94" t="n">
        <v>105.948882101081</v>
      </c>
      <c r="H18" s="92" t="n">
        <v>5.95931544276934</v>
      </c>
      <c r="I18" s="93" t="n">
        <v>0</v>
      </c>
      <c r="J18" s="93" t="n">
        <v>0</v>
      </c>
      <c r="K18" s="95" t="n">
        <v>34.7880224785295</v>
      </c>
      <c r="L18" s="93" t="n">
        <v>225.401649065097</v>
      </c>
      <c r="M18" s="96" t="n">
        <v>0</v>
      </c>
      <c r="N18" s="95" t="n">
        <v>-27.5809643867341</v>
      </c>
      <c r="O18" s="91" t="n">
        <v>0.159572040576511</v>
      </c>
      <c r="P18" s="97" t="n">
        <v>-0.952496487925857</v>
      </c>
      <c r="Q18" s="98" t="s">
        <v>849</v>
      </c>
      <c r="R18" s="98" t="s">
        <v>850</v>
      </c>
      <c r="S18" s="98" t="s">
        <v>851</v>
      </c>
    </row>
    <row r="19" customFormat="false" ht="15" hidden="false" customHeight="true" outlineLevel="0" collapsed="false">
      <c r="A19" s="23" t="s">
        <v>1145</v>
      </c>
      <c r="B19" s="91" t="n">
        <v>0.141726966397262</v>
      </c>
      <c r="C19" s="91" t="n">
        <v>0.202442587558982</v>
      </c>
      <c r="D19" s="92" t="n">
        <v>1.90696134991988</v>
      </c>
      <c r="E19" s="92" t="n">
        <v>1.96503843214621</v>
      </c>
      <c r="F19" s="93" t="n">
        <v>3.24348058177274</v>
      </c>
      <c r="G19" s="94" t="n">
        <v>89.1590521406838</v>
      </c>
      <c r="H19" s="92" t="n">
        <v>5.95931544276934</v>
      </c>
      <c r="I19" s="93" t="n">
        <v>0</v>
      </c>
      <c r="J19" s="93" t="n">
        <v>0</v>
      </c>
      <c r="K19" s="95" t="n">
        <v>39.6128083907351</v>
      </c>
      <c r="L19" s="93" t="n">
        <v>205.62095101584</v>
      </c>
      <c r="M19" s="96" t="n">
        <v>0</v>
      </c>
      <c r="N19" s="95" t="n">
        <v>-22.7561784745285</v>
      </c>
      <c r="O19" s="91" t="n">
        <v>0.235088363993344</v>
      </c>
      <c r="P19" s="97" t="n">
        <v>-0.647569701567719</v>
      </c>
      <c r="Q19" s="98" t="s">
        <v>849</v>
      </c>
      <c r="R19" s="98" t="s">
        <v>850</v>
      </c>
      <c r="S19" s="98" t="s">
        <v>851</v>
      </c>
    </row>
    <row r="20" customFormat="false" ht="15" hidden="false" customHeight="true" outlineLevel="0" collapsed="false">
      <c r="A20" s="23" t="s">
        <v>1146</v>
      </c>
      <c r="B20" s="91" t="n">
        <v>0.090783129725412</v>
      </c>
      <c r="C20" s="91" t="n">
        <v>0.0934481393922868</v>
      </c>
      <c r="D20" s="92" t="n">
        <v>1.51264613647495</v>
      </c>
      <c r="E20" s="92" t="n">
        <v>1.59693653626266</v>
      </c>
      <c r="F20" s="93" t="n">
        <v>28.4029236873722</v>
      </c>
      <c r="G20" s="94" t="n">
        <v>122.738712061478</v>
      </c>
      <c r="H20" s="92" t="n">
        <v>5.95931544276934</v>
      </c>
      <c r="I20" s="93" t="n">
        <v>0</v>
      </c>
      <c r="J20" s="93" t="n">
        <v>0</v>
      </c>
      <c r="K20" s="95" t="n">
        <v>31.4086980733339</v>
      </c>
      <c r="L20" s="93" t="n">
        <v>268.479893533065</v>
      </c>
      <c r="M20" s="96" t="n">
        <v>0</v>
      </c>
      <c r="N20" s="95" t="n">
        <v>-30.9602887919297</v>
      </c>
      <c r="O20" s="91" t="n">
        <v>0.0925310937198007</v>
      </c>
      <c r="P20" s="97" t="n">
        <v>-1.34660989746861</v>
      </c>
      <c r="Q20" s="98" t="s">
        <v>849</v>
      </c>
      <c r="R20" s="98" t="s">
        <v>850</v>
      </c>
      <c r="S20" s="98" t="s">
        <v>851</v>
      </c>
    </row>
    <row r="21" customFormat="false" ht="15" hidden="false" customHeight="true" outlineLevel="0" collapsed="false">
      <c r="A21" s="23" t="s">
        <v>1147</v>
      </c>
      <c r="B21" s="91" t="n">
        <v>0.0974712356510792</v>
      </c>
      <c r="C21" s="91" t="n">
        <v>0.107864765227356</v>
      </c>
      <c r="D21" s="92" t="n">
        <v>1.34155887402335</v>
      </c>
      <c r="E21" s="92" t="n">
        <v>1.41931932800816</v>
      </c>
      <c r="F21" s="93" t="n">
        <v>4.05435072721596</v>
      </c>
      <c r="G21" s="94" t="n">
        <v>117.227989574447</v>
      </c>
      <c r="H21" s="92" t="n">
        <v>6.55169214237643</v>
      </c>
      <c r="I21" s="93" t="n">
        <v>0</v>
      </c>
      <c r="J21" s="93" t="n">
        <v>0</v>
      </c>
      <c r="K21" s="95" t="n">
        <v>27.659230980823</v>
      </c>
      <c r="L21" s="93" t="n">
        <v>225.401649065097</v>
      </c>
      <c r="M21" s="96" t="n">
        <v>0</v>
      </c>
      <c r="N21" s="95" t="n">
        <v>-28.4728571979146</v>
      </c>
      <c r="O21" s="91" t="n">
        <v>0.113045030830732</v>
      </c>
      <c r="P21" s="97" t="n">
        <v>-1.13880796360611</v>
      </c>
      <c r="Q21" s="98" t="s">
        <v>849</v>
      </c>
      <c r="R21" s="98" t="s">
        <v>850</v>
      </c>
      <c r="S21" s="98" t="s">
        <v>851</v>
      </c>
    </row>
    <row r="22" customFormat="false" ht="15" hidden="false" customHeight="true" outlineLevel="0" collapsed="false">
      <c r="A22" s="23" t="s">
        <v>1148</v>
      </c>
      <c r="B22" s="91" t="n">
        <v>0.126246448217711</v>
      </c>
      <c r="C22" s="91" t="n">
        <v>0.167800731341703</v>
      </c>
      <c r="D22" s="92" t="n">
        <v>1.71164369699918</v>
      </c>
      <c r="E22" s="92" t="n">
        <v>1.7648713246751</v>
      </c>
      <c r="F22" s="93" t="n">
        <v>4.05435072721596</v>
      </c>
      <c r="G22" s="94" t="n">
        <v>96.7205214410541</v>
      </c>
      <c r="H22" s="92" t="n">
        <v>5.47464359763627</v>
      </c>
      <c r="I22" s="93" t="n">
        <v>0</v>
      </c>
      <c r="J22" s="93" t="n">
        <v>0</v>
      </c>
      <c r="K22" s="95" t="n">
        <v>41.5588708095116</v>
      </c>
      <c r="L22" s="93" t="n">
        <v>235.278869806352</v>
      </c>
      <c r="M22" s="96" t="n">
        <v>0</v>
      </c>
      <c r="N22" s="95" t="n">
        <v>-27.0470147422787</v>
      </c>
      <c r="O22" s="91" t="n">
        <v>0.206258429656832</v>
      </c>
      <c r="P22" s="97" t="n">
        <v>-0.763078481868801</v>
      </c>
      <c r="Q22" s="98" t="s">
        <v>849</v>
      </c>
      <c r="R22" s="98" t="s">
        <v>850</v>
      </c>
      <c r="S22" s="98" t="s">
        <v>851</v>
      </c>
    </row>
    <row r="23" customFormat="false" ht="15" hidden="false" customHeight="true" outlineLevel="0" collapsed="false">
      <c r="A23" s="23" t="s">
        <v>1149</v>
      </c>
      <c r="B23" s="91" t="n">
        <v>0.0969281588026727</v>
      </c>
      <c r="C23" s="91" t="n">
        <v>0.106800697819903</v>
      </c>
      <c r="D23" s="92" t="n">
        <v>1.33512047971114</v>
      </c>
      <c r="E23" s="92" t="n">
        <v>1.4132701152918</v>
      </c>
      <c r="F23" s="93" t="n">
        <v>4.05435072721596</v>
      </c>
      <c r="G23" s="94" t="n">
        <v>105.948882101081</v>
      </c>
      <c r="H23" s="92" t="n">
        <v>6.62146160307705</v>
      </c>
      <c r="I23" s="93" t="n">
        <v>0</v>
      </c>
      <c r="J23" s="93" t="n">
        <v>0</v>
      </c>
      <c r="K23" s="95" t="n">
        <v>28.2075585246039</v>
      </c>
      <c r="L23" s="93" t="n">
        <v>225.401649065097</v>
      </c>
      <c r="M23" s="96" t="n">
        <v>0</v>
      </c>
      <c r="N23" s="95" t="n">
        <v>-2.82062618131828</v>
      </c>
      <c r="O23" s="91" t="n">
        <v>0.111424939867003</v>
      </c>
      <c r="P23" s="97" t="n">
        <v>-1.1453916406972</v>
      </c>
      <c r="Q23" s="98" t="s">
        <v>849</v>
      </c>
      <c r="R23" s="98" t="s">
        <v>850</v>
      </c>
      <c r="S23" s="98" t="s">
        <v>851</v>
      </c>
    </row>
    <row r="24" customFormat="false" ht="15" hidden="false" customHeight="true" outlineLevel="0" collapsed="false">
      <c r="A24" s="23" t="s">
        <v>1150</v>
      </c>
      <c r="B24" s="91" t="n">
        <v>0.126737178313581</v>
      </c>
      <c r="C24" s="91" t="n">
        <v>0.168865935542297</v>
      </c>
      <c r="D24" s="92" t="n">
        <v>1.71789757413617</v>
      </c>
      <c r="E24" s="92" t="n">
        <v>1.77104303932292</v>
      </c>
      <c r="F24" s="93" t="n">
        <v>4.05435072721596</v>
      </c>
      <c r="G24" s="94" t="n">
        <v>105.948882101081</v>
      </c>
      <c r="H24" s="92" t="n">
        <v>5.41755949342667</v>
      </c>
      <c r="I24" s="93" t="n">
        <v>0</v>
      </c>
      <c r="J24" s="93" t="n">
        <v>0</v>
      </c>
      <c r="K24" s="95" t="n">
        <v>40.996408346451</v>
      </c>
      <c r="L24" s="93" t="n">
        <v>235.952663003085</v>
      </c>
      <c r="M24" s="96" t="n">
        <v>0</v>
      </c>
      <c r="N24" s="95" t="n">
        <v>-52.7133806781539</v>
      </c>
      <c r="O24" s="91" t="n">
        <v>0.207857479997718</v>
      </c>
      <c r="P24" s="97" t="n">
        <v>-0.75637213011816</v>
      </c>
      <c r="Q24" s="98" t="s">
        <v>849</v>
      </c>
      <c r="R24" s="98" t="s">
        <v>850</v>
      </c>
      <c r="S24" s="98" t="s">
        <v>851</v>
      </c>
    </row>
    <row r="25" customFormat="false" ht="15" hidden="false" customHeight="true" outlineLevel="0" collapsed="false">
      <c r="A25" s="23" t="s">
        <v>1151</v>
      </c>
      <c r="B25" s="91" t="n">
        <v>0.10776766741179</v>
      </c>
      <c r="C25" s="91" t="n">
        <v>0.128503379490646</v>
      </c>
      <c r="D25" s="92" t="n">
        <v>1.47043036659994</v>
      </c>
      <c r="E25" s="92" t="n">
        <v>1.53860889467684</v>
      </c>
      <c r="F25" s="93" t="n">
        <v>4.05435072721596</v>
      </c>
      <c r="G25" s="94" t="n">
        <v>109.714983583645</v>
      </c>
      <c r="H25" s="92" t="n">
        <v>5.95931544276934</v>
      </c>
      <c r="I25" s="93" t="n">
        <v>0</v>
      </c>
      <c r="J25" s="93" t="n">
        <v>0</v>
      </c>
      <c r="K25" s="95" t="n">
        <v>32.8250578223935</v>
      </c>
      <c r="L25" s="93" t="n">
        <v>225.401649065097</v>
      </c>
      <c r="M25" s="96" t="n">
        <v>0</v>
      </c>
      <c r="N25" s="95" t="n">
        <v>-29.5439290428701</v>
      </c>
      <c r="O25" s="91" t="n">
        <v>0.145210952986164</v>
      </c>
      <c r="P25" s="97" t="n">
        <v>-1.00922140630009</v>
      </c>
      <c r="Q25" s="98" t="s">
        <v>849</v>
      </c>
      <c r="R25" s="98" t="s">
        <v>850</v>
      </c>
      <c r="S25" s="98" t="s">
        <v>851</v>
      </c>
    </row>
    <row r="26" customFormat="false" ht="15" hidden="false" customHeight="true" outlineLevel="0" collapsed="false">
      <c r="A26" s="23" t="s">
        <v>1152</v>
      </c>
      <c r="B26" s="91" t="n">
        <v>0.112223444935988</v>
      </c>
      <c r="C26" s="91" t="n">
        <v>0.131090754844951</v>
      </c>
      <c r="D26" s="92" t="n">
        <v>1.46073450049852</v>
      </c>
      <c r="E26" s="92" t="n">
        <v>1.54581929550842</v>
      </c>
      <c r="F26" s="93" t="n">
        <v>5.50787290631448</v>
      </c>
      <c r="G26" s="94" t="n">
        <v>105.948882101081</v>
      </c>
      <c r="H26" s="92" t="n">
        <v>5.95931544276934</v>
      </c>
      <c r="I26" s="93" t="n">
        <v>0</v>
      </c>
      <c r="J26" s="93" t="n">
        <v>0</v>
      </c>
      <c r="K26" s="95" t="n">
        <v>34.2144414667902</v>
      </c>
      <c r="L26" s="93" t="n">
        <v>227.07319957106</v>
      </c>
      <c r="M26" s="96" t="n">
        <v>0</v>
      </c>
      <c r="N26" s="95" t="n">
        <v>-28.1545453984734</v>
      </c>
      <c r="O26" s="91" t="n">
        <v>0.149458888526322</v>
      </c>
      <c r="P26" s="97" t="n">
        <v>-0.996280971424485</v>
      </c>
      <c r="Q26" s="98" t="s">
        <v>849</v>
      </c>
      <c r="R26" s="98" t="s">
        <v>850</v>
      </c>
      <c r="S26" s="98" t="s">
        <v>851</v>
      </c>
    </row>
    <row r="27" customFormat="false" ht="15" hidden="false" customHeight="true" outlineLevel="0" collapsed="false">
      <c r="A27" s="23" t="s">
        <v>1153</v>
      </c>
      <c r="B27" s="91" t="n">
        <v>0.0831760703988785</v>
      </c>
      <c r="C27" s="91" t="n">
        <v>0.0805010812865237</v>
      </c>
      <c r="D27" s="92" t="n">
        <v>1.16469308967782</v>
      </c>
      <c r="E27" s="92" t="n">
        <v>1.26234881753612</v>
      </c>
      <c r="F27" s="93" t="n">
        <v>4.05435072721596</v>
      </c>
      <c r="G27" s="94" t="n">
        <v>130.10786569289</v>
      </c>
      <c r="H27" s="92" t="n">
        <v>7.22814092384319</v>
      </c>
      <c r="I27" s="93" t="n">
        <v>0</v>
      </c>
      <c r="J27" s="93" t="n">
        <v>0</v>
      </c>
      <c r="K27" s="95" t="n">
        <v>20.9720150758166</v>
      </c>
      <c r="L27" s="93" t="n">
        <v>225.401649065097</v>
      </c>
      <c r="M27" s="96" t="n">
        <v>0</v>
      </c>
      <c r="N27" s="95" t="n">
        <v>-29.4071577544687</v>
      </c>
      <c r="O27" s="91" t="n">
        <v>0.0731901234189561</v>
      </c>
      <c r="P27" s="97" t="n">
        <v>-1.30991236829449</v>
      </c>
      <c r="Q27" s="98" t="s">
        <v>849</v>
      </c>
      <c r="R27" s="98" t="s">
        <v>850</v>
      </c>
      <c r="S27" s="98" t="s">
        <v>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1.4"/>
    <col collapsed="false" customWidth="true" hidden="false" outlineLevel="0" max="9" min="2" style="1" width="11"/>
    <col collapsed="false" customWidth="true" hidden="false" outlineLevel="0" max="10" min="10" style="1" width="14"/>
    <col collapsed="false" customWidth="true" hidden="false" outlineLevel="0" max="11" min="11" style="1" width="60"/>
    <col collapsed="false" customWidth="true" hidden="false" outlineLevel="0" max="12" min="12" style="1" width="22"/>
  </cols>
  <sheetData>
    <row r="1" customFormat="false" ht="17.25" hidden="false" customHeight="true" outlineLevel="0" collapsed="false">
      <c r="A1" s="16" t="s">
        <v>1154</v>
      </c>
      <c r="B1" s="17"/>
      <c r="C1" s="17"/>
      <c r="D1" s="17"/>
      <c r="E1" s="17"/>
      <c r="F1" s="17"/>
      <c r="G1" s="17"/>
      <c r="H1" s="17"/>
      <c r="I1" s="17"/>
      <c r="J1" s="17"/>
    </row>
    <row r="2" customFormat="false" ht="15" hidden="false" customHeight="true" outlineLevel="0" collapsed="false">
      <c r="A2" s="18" t="s">
        <v>1155</v>
      </c>
      <c r="B2" s="17"/>
      <c r="C2" s="17"/>
      <c r="D2" s="17"/>
      <c r="E2" s="17"/>
      <c r="F2" s="17"/>
      <c r="G2" s="17"/>
      <c r="H2" s="17"/>
      <c r="I2" s="17"/>
      <c r="J2" s="17"/>
    </row>
    <row r="4" customFormat="false" ht="23.25" hidden="false" customHeight="true" outlineLevel="0" collapsed="false">
      <c r="A4" s="105" t="s">
        <v>1156</v>
      </c>
      <c r="B4" s="105" t="s">
        <v>1157</v>
      </c>
      <c r="C4" s="105" t="s">
        <v>1158</v>
      </c>
      <c r="D4" s="105" t="s">
        <v>1159</v>
      </c>
      <c r="E4" s="105" t="s">
        <v>1160</v>
      </c>
      <c r="F4" s="105" t="s">
        <v>1161</v>
      </c>
      <c r="G4" s="105" t="s">
        <v>1162</v>
      </c>
      <c r="H4" s="105" t="s">
        <v>1163</v>
      </c>
      <c r="I4" s="105" t="s">
        <v>1164</v>
      </c>
      <c r="J4" s="105" t="s">
        <v>1165</v>
      </c>
      <c r="K4" s="105" t="s">
        <v>1166</v>
      </c>
      <c r="L4" s="105" t="s">
        <v>1167</v>
      </c>
    </row>
    <row r="5" customFormat="false" ht="23.25" hidden="false" customHeight="true" outlineLevel="0" collapsed="false">
      <c r="A5" s="106" t="s">
        <v>1168</v>
      </c>
      <c r="B5" s="107"/>
      <c r="C5" s="107" t="s">
        <v>1169</v>
      </c>
      <c r="D5" s="107"/>
      <c r="E5" s="107" t="s">
        <v>1170</v>
      </c>
      <c r="F5" s="107"/>
      <c r="G5" s="107"/>
      <c r="H5" s="107"/>
      <c r="I5" s="107"/>
      <c r="J5" s="107" t="s">
        <v>1171</v>
      </c>
      <c r="K5" s="106" t="s">
        <v>1172</v>
      </c>
      <c r="L5" s="106" t="s">
        <v>1173</v>
      </c>
    </row>
    <row r="6" customFormat="false" ht="23.25" hidden="false" customHeight="true" outlineLevel="0" collapsed="false">
      <c r="A6" s="106" t="s">
        <v>1174</v>
      </c>
      <c r="B6" s="107"/>
      <c r="C6" s="107" t="s">
        <v>1170</v>
      </c>
      <c r="D6" s="107" t="s">
        <v>1169</v>
      </c>
      <c r="E6" s="107" t="s">
        <v>1170</v>
      </c>
      <c r="F6" s="107"/>
      <c r="G6" s="107"/>
      <c r="H6" s="107" t="s">
        <v>1170</v>
      </c>
      <c r="I6" s="107"/>
      <c r="J6" s="107" t="s">
        <v>1175</v>
      </c>
      <c r="K6" s="106" t="s">
        <v>1176</v>
      </c>
      <c r="L6" s="106" t="s">
        <v>1177</v>
      </c>
    </row>
    <row r="7" customFormat="false" ht="23.25" hidden="false" customHeight="true" outlineLevel="0" collapsed="false">
      <c r="A7" s="106" t="s">
        <v>1178</v>
      </c>
      <c r="B7" s="107" t="s">
        <v>1170</v>
      </c>
      <c r="C7" s="107" t="s">
        <v>1169</v>
      </c>
      <c r="D7" s="107" t="s">
        <v>1170</v>
      </c>
      <c r="E7" s="107" t="s">
        <v>1170</v>
      </c>
      <c r="F7" s="107"/>
      <c r="G7" s="107"/>
      <c r="H7" s="107"/>
      <c r="I7" s="107" t="s">
        <v>1170</v>
      </c>
      <c r="J7" s="107" t="s">
        <v>1171</v>
      </c>
      <c r="K7" s="106" t="s">
        <v>1179</v>
      </c>
      <c r="L7" s="106" t="s">
        <v>1180</v>
      </c>
    </row>
    <row r="8" customFormat="false" ht="15" hidden="false" customHeight="true" outlineLevel="0" collapsed="false">
      <c r="A8" s="106" t="s">
        <v>1181</v>
      </c>
      <c r="B8" s="107" t="s">
        <v>1170</v>
      </c>
      <c r="C8" s="107" t="s">
        <v>1169</v>
      </c>
      <c r="D8" s="107" t="s">
        <v>1170</v>
      </c>
      <c r="E8" s="107" t="s">
        <v>1170</v>
      </c>
      <c r="F8" s="107"/>
      <c r="G8" s="107"/>
      <c r="H8" s="107" t="s">
        <v>1170</v>
      </c>
      <c r="I8" s="107"/>
      <c r="J8" s="107" t="s">
        <v>1171</v>
      </c>
      <c r="K8" s="106" t="s">
        <v>1182</v>
      </c>
      <c r="L8" s="106" t="s">
        <v>1183</v>
      </c>
    </row>
    <row r="9" customFormat="false" ht="15" hidden="false" customHeight="true" outlineLevel="0" collapsed="false">
      <c r="A9" s="106" t="s">
        <v>1184</v>
      </c>
      <c r="B9" s="107" t="s">
        <v>1170</v>
      </c>
      <c r="C9" s="107"/>
      <c r="D9" s="107"/>
      <c r="E9" s="107"/>
      <c r="F9" s="107" t="s">
        <v>1169</v>
      </c>
      <c r="G9" s="107" t="s">
        <v>1170</v>
      </c>
      <c r="H9" s="107"/>
      <c r="I9" s="107"/>
      <c r="J9" s="107" t="s">
        <v>1171</v>
      </c>
      <c r="K9" s="106" t="s">
        <v>1185</v>
      </c>
      <c r="L9" s="106" t="s">
        <v>1186</v>
      </c>
    </row>
    <row r="10" customFormat="false" ht="15" hidden="false" customHeight="true" outlineLevel="0" collapsed="false">
      <c r="A10" s="106" t="s">
        <v>1187</v>
      </c>
      <c r="B10" s="107" t="s">
        <v>1169</v>
      </c>
      <c r="C10" s="107" t="s">
        <v>1170</v>
      </c>
      <c r="D10" s="107"/>
      <c r="E10" s="107" t="s">
        <v>1170</v>
      </c>
      <c r="F10" s="107" t="s">
        <v>1169</v>
      </c>
      <c r="G10" s="107" t="s">
        <v>1170</v>
      </c>
      <c r="H10" s="107"/>
      <c r="I10" s="107" t="s">
        <v>1170</v>
      </c>
      <c r="J10" s="107" t="s">
        <v>1171</v>
      </c>
      <c r="K10" s="106" t="s">
        <v>1188</v>
      </c>
      <c r="L10" s="106" t="s">
        <v>1189</v>
      </c>
    </row>
    <row r="11" customFormat="false" ht="15" hidden="false" customHeight="true" outlineLevel="0" collapsed="false">
      <c r="A11" s="106" t="s">
        <v>1190</v>
      </c>
      <c r="B11" s="107" t="s">
        <v>1169</v>
      </c>
      <c r="C11" s="107" t="s">
        <v>1170</v>
      </c>
      <c r="D11" s="107"/>
      <c r="E11" s="107" t="s">
        <v>1170</v>
      </c>
      <c r="F11" s="107" t="s">
        <v>1170</v>
      </c>
      <c r="G11" s="107" t="s">
        <v>1170</v>
      </c>
      <c r="H11" s="107"/>
      <c r="I11" s="107"/>
      <c r="J11" s="107" t="s">
        <v>1191</v>
      </c>
      <c r="K11" s="106" t="s">
        <v>1192</v>
      </c>
      <c r="L11" s="106" t="s">
        <v>1193</v>
      </c>
    </row>
    <row r="12" customFormat="false" ht="15" hidden="false" customHeight="true" outlineLevel="0" collapsed="false">
      <c r="A12" s="106" t="s">
        <v>1194</v>
      </c>
      <c r="B12" s="107" t="s">
        <v>1169</v>
      </c>
      <c r="C12" s="107" t="s">
        <v>1170</v>
      </c>
      <c r="D12" s="107"/>
      <c r="E12" s="107" t="s">
        <v>1170</v>
      </c>
      <c r="F12" s="107" t="s">
        <v>1169</v>
      </c>
      <c r="G12" s="107" t="s">
        <v>1170</v>
      </c>
      <c r="H12" s="107"/>
      <c r="I12" s="107" t="s">
        <v>1170</v>
      </c>
      <c r="J12" s="107" t="s">
        <v>1171</v>
      </c>
      <c r="K12" s="106" t="s">
        <v>1195</v>
      </c>
      <c r="L12" s="106" t="s">
        <v>1196</v>
      </c>
    </row>
    <row r="13" customFormat="false" ht="15" hidden="false" customHeight="true" outlineLevel="0" collapsed="false">
      <c r="A13" s="106" t="s">
        <v>1197</v>
      </c>
      <c r="B13" s="107"/>
      <c r="C13" s="107" t="s">
        <v>1169</v>
      </c>
      <c r="D13" s="107"/>
      <c r="E13" s="107" t="s">
        <v>1170</v>
      </c>
      <c r="F13" s="107"/>
      <c r="G13" s="107"/>
      <c r="H13" s="107"/>
      <c r="I13" s="107" t="s">
        <v>1170</v>
      </c>
      <c r="J13" s="107" t="s">
        <v>1191</v>
      </c>
      <c r="K13" s="106" t="s">
        <v>1198</v>
      </c>
      <c r="L13" s="106" t="s">
        <v>1199</v>
      </c>
    </row>
    <row r="14" customFormat="false" ht="15" hidden="false" customHeight="true" outlineLevel="0" collapsed="false">
      <c r="A14" s="106" t="s">
        <v>1200</v>
      </c>
      <c r="B14" s="107" t="s">
        <v>1169</v>
      </c>
      <c r="C14" s="107" t="s">
        <v>1170</v>
      </c>
      <c r="D14" s="107"/>
      <c r="E14" s="107" t="s">
        <v>1170</v>
      </c>
      <c r="F14" s="107"/>
      <c r="G14" s="107"/>
      <c r="H14" s="107" t="s">
        <v>1170</v>
      </c>
      <c r="I14" s="107" t="s">
        <v>1170</v>
      </c>
      <c r="J14" s="107" t="s">
        <v>1201</v>
      </c>
      <c r="K14" s="106" t="s">
        <v>1202</v>
      </c>
      <c r="L14" s="106" t="s">
        <v>1203</v>
      </c>
    </row>
    <row r="15" customFormat="false" ht="15" hidden="false" customHeight="true" outlineLevel="0" collapsed="false">
      <c r="A15" s="106" t="s">
        <v>1204</v>
      </c>
      <c r="B15" s="107" t="s">
        <v>1169</v>
      </c>
      <c r="C15" s="107" t="s">
        <v>1170</v>
      </c>
      <c r="D15" s="107"/>
      <c r="E15" s="107" t="s">
        <v>1170</v>
      </c>
      <c r="F15" s="107"/>
      <c r="G15" s="107"/>
      <c r="H15" s="107"/>
      <c r="I15" s="107"/>
      <c r="J15" s="107" t="s">
        <v>1191</v>
      </c>
      <c r="K15" s="106" t="s">
        <v>1205</v>
      </c>
      <c r="L15" s="106" t="s">
        <v>1206</v>
      </c>
    </row>
    <row r="16" customFormat="false" ht="15" hidden="false" customHeight="true" outlineLevel="0" collapsed="false">
      <c r="A16" s="106" t="s">
        <v>1207</v>
      </c>
      <c r="B16" s="107" t="s">
        <v>1169</v>
      </c>
      <c r="C16" s="107" t="s">
        <v>1170</v>
      </c>
      <c r="D16" s="107"/>
      <c r="E16" s="107" t="s">
        <v>1170</v>
      </c>
      <c r="F16" s="107" t="s">
        <v>1169</v>
      </c>
      <c r="G16" s="107"/>
      <c r="H16" s="107"/>
      <c r="I16" s="107" t="s">
        <v>1170</v>
      </c>
      <c r="J16" s="107" t="s">
        <v>1171</v>
      </c>
      <c r="K16" s="106" t="s">
        <v>1208</v>
      </c>
      <c r="L16" s="106" t="s">
        <v>1209</v>
      </c>
    </row>
    <row r="17" customFormat="false" ht="15" hidden="false" customHeight="true" outlineLevel="0" collapsed="false">
      <c r="A17" s="106" t="s">
        <v>1210</v>
      </c>
      <c r="B17" s="107" t="s">
        <v>1170</v>
      </c>
      <c r="C17" s="107" t="s">
        <v>1170</v>
      </c>
      <c r="D17" s="107"/>
      <c r="E17" s="107"/>
      <c r="F17" s="107" t="s">
        <v>1169</v>
      </c>
      <c r="G17" s="107"/>
      <c r="H17" s="107"/>
      <c r="I17" s="107"/>
      <c r="J17" s="107" t="s">
        <v>1171</v>
      </c>
      <c r="K17" s="106" t="s">
        <v>1211</v>
      </c>
      <c r="L17" s="106" t="s">
        <v>1212</v>
      </c>
    </row>
    <row r="18" customFormat="false" ht="15" hidden="false" customHeight="true" outlineLevel="0" collapsed="false">
      <c r="A18" s="106" t="s">
        <v>1213</v>
      </c>
      <c r="B18" s="107" t="s">
        <v>1170</v>
      </c>
      <c r="C18" s="107" t="s">
        <v>1169</v>
      </c>
      <c r="D18" s="107" t="s">
        <v>1170</v>
      </c>
      <c r="E18" s="107" t="s">
        <v>1170</v>
      </c>
      <c r="F18" s="107"/>
      <c r="G18" s="107"/>
      <c r="H18" s="107"/>
      <c r="I18" s="107" t="s">
        <v>1170</v>
      </c>
      <c r="J18" s="107" t="s">
        <v>1171</v>
      </c>
      <c r="K18" s="106" t="s">
        <v>1214</v>
      </c>
      <c r="L18" s="106" t="s">
        <v>1215</v>
      </c>
    </row>
    <row r="19" customFormat="false" ht="15" hidden="false" customHeight="true" outlineLevel="0" collapsed="false">
      <c r="A19" s="106" t="s">
        <v>679</v>
      </c>
      <c r="B19" s="107" t="s">
        <v>1170</v>
      </c>
      <c r="C19" s="107" t="s">
        <v>1170</v>
      </c>
      <c r="D19" s="107" t="s">
        <v>1170</v>
      </c>
      <c r="E19" s="107" t="s">
        <v>1170</v>
      </c>
      <c r="F19" s="107" t="s">
        <v>1170</v>
      </c>
      <c r="G19" s="107"/>
      <c r="H19" s="107" t="s">
        <v>1169</v>
      </c>
      <c r="I19" s="107"/>
      <c r="J19" s="107" t="s">
        <v>1171</v>
      </c>
      <c r="K19" s="106" t="s">
        <v>1216</v>
      </c>
      <c r="L19" s="106" t="s">
        <v>1217</v>
      </c>
    </row>
    <row r="20" customFormat="false" ht="15" hidden="false" customHeight="true" outlineLevel="0" collapsed="false">
      <c r="A20" s="106" t="s">
        <v>1218</v>
      </c>
      <c r="B20" s="107" t="s">
        <v>1169</v>
      </c>
      <c r="C20" s="107" t="s">
        <v>1170</v>
      </c>
      <c r="D20" s="107"/>
      <c r="E20" s="107" t="s">
        <v>1170</v>
      </c>
      <c r="F20" s="107" t="s">
        <v>1170</v>
      </c>
      <c r="G20" s="107"/>
      <c r="H20" s="107"/>
      <c r="I20" s="107" t="s">
        <v>1170</v>
      </c>
      <c r="J20" s="107" t="s">
        <v>1219</v>
      </c>
      <c r="K20" s="106" t="s">
        <v>1220</v>
      </c>
      <c r="L20" s="106" t="s">
        <v>1221</v>
      </c>
    </row>
    <row r="22" customFormat="false" ht="15" hidden="false" customHeight="true" outlineLevel="0" collapsed="false">
      <c r="A22" s="19" t="s">
        <v>1222</v>
      </c>
      <c r="B22" s="23" t="s">
        <v>115</v>
      </c>
      <c r="C22" s="75" t="n">
        <f aca="false">COUNTIF(B5:B20,"P")</f>
        <v>7</v>
      </c>
    </row>
    <row r="23" customFormat="false" ht="15" hidden="false" customHeight="true" outlineLevel="0" collapsed="false">
      <c r="A23" s="19" t="s">
        <v>1223</v>
      </c>
      <c r="B23" s="23" t="s">
        <v>115</v>
      </c>
      <c r="C23" s="75" t="n">
        <f aca="false">COUNTIF(F5:F20,"P")</f>
        <v>5</v>
      </c>
    </row>
    <row r="25" customFormat="false" ht="15" hidden="false" customHeight="true" outlineLevel="0" collapsed="false">
      <c r="A25" s="25" t="s">
        <v>1224</v>
      </c>
    </row>
  </sheetData>
  <conditionalFormatting sqref="B5:I20">
    <cfRule type="cellIs" priority="2" operator="equal" aboveAverage="0" equalAverage="0" bottom="0" percent="0" rank="0" text="" dxfId="2">
      <formula>"P"</formula>
    </cfRule>
    <cfRule type="cellIs" priority="3" operator="equal" aboveAverage="0" equalAverage="0" bottom="0" percent="0" rank="0" text="" dxfId="1">
      <formula>"S"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65"/>
    <col collapsed="false" customWidth="true" hidden="false" outlineLevel="0" max="2" min="2" style="1" width="10"/>
    <col collapsed="false" customWidth="true" hidden="false" outlineLevel="0" max="3" min="3" style="1" width="12"/>
    <col collapsed="false" customWidth="true" hidden="false" outlineLevel="0" max="6" min="4" style="1" width="10"/>
    <col collapsed="false" customWidth="true" hidden="false" outlineLevel="0" max="7" min="7" style="1" width="8"/>
    <col collapsed="false" customWidth="true" hidden="false" outlineLevel="0" max="8" min="8" style="1" width="18"/>
    <col collapsed="false" customWidth="true" hidden="false" outlineLevel="0" max="9" min="9" style="1" width="50"/>
  </cols>
  <sheetData>
    <row r="1" customFormat="false" ht="17.25" hidden="false" customHeight="true" outlineLevel="0" collapsed="false">
      <c r="A1" s="16" t="s">
        <v>1225</v>
      </c>
      <c r="B1" s="17"/>
      <c r="C1" s="17"/>
      <c r="D1" s="17"/>
      <c r="E1" s="17"/>
      <c r="F1" s="17"/>
      <c r="G1" s="17"/>
      <c r="H1" s="17"/>
      <c r="I1" s="17"/>
      <c r="J1" s="17"/>
    </row>
    <row r="2" customFormat="false" ht="15" hidden="false" customHeight="true" outlineLevel="0" collapsed="false">
      <c r="A2" s="18" t="s">
        <v>1226</v>
      </c>
      <c r="B2" s="17"/>
      <c r="C2" s="17"/>
      <c r="D2" s="17"/>
      <c r="E2" s="17"/>
      <c r="F2" s="17"/>
      <c r="G2" s="17"/>
      <c r="H2" s="17"/>
      <c r="I2" s="17"/>
      <c r="J2" s="17"/>
    </row>
    <row r="4" customFormat="false" ht="15" hidden="false" customHeight="true" outlineLevel="0" collapsed="false">
      <c r="A4" s="34" t="s">
        <v>1227</v>
      </c>
      <c r="B4" s="34" t="s">
        <v>1228</v>
      </c>
      <c r="C4" s="34" t="s">
        <v>808</v>
      </c>
      <c r="D4" s="34" t="s">
        <v>1229</v>
      </c>
      <c r="E4" s="34" t="s">
        <v>1230</v>
      </c>
      <c r="F4" s="34" t="s">
        <v>1231</v>
      </c>
      <c r="G4" s="34" t="s">
        <v>1232</v>
      </c>
      <c r="H4" s="34" t="s">
        <v>609</v>
      </c>
      <c r="I4" s="34" t="s">
        <v>1233</v>
      </c>
    </row>
    <row r="5" customFormat="false" ht="15" hidden="false" customHeight="true" outlineLevel="0" collapsed="false">
      <c r="A5" s="21" t="s">
        <v>1234</v>
      </c>
      <c r="B5" s="22"/>
      <c r="C5" s="22"/>
      <c r="D5" s="22"/>
      <c r="E5" s="22"/>
      <c r="F5" s="22"/>
      <c r="G5" s="108" t="n">
        <f aca="false">MIN(G6:G8)</f>
        <v>1</v>
      </c>
      <c r="H5" s="109" t="str">
        <f aca="false">CHOOSE(G5+1,"CRITICAL GAP","DEVELOPMENT GAP","CONDITIONAL","READY")</f>
        <v>DEVELOPMENT GAP</v>
      </c>
      <c r="I5" s="110" t="str">
        <f aca="false">IF(G5&lt;=1,"Commander une revue hydrologique indépendante ; allonger la série par corrélation régionale ; calculer le P90 sur séries simulées",IF(G5=2,"Achever la revue hydrologique indépendante et convenir de la base P90 avec le conseiller technique des prêteurs","Aucune action requise avant le bouclage"))</f>
        <v>Commander une revue hydrologique indépendante ; allonger la série par corrélation régionale ; calculer le P90 sur séries simulées</v>
      </c>
      <c r="J5" s="22"/>
    </row>
    <row r="6" customFormat="false" ht="15" hidden="false" customHeight="true" outlineLevel="0" collapsed="false">
      <c r="A6" s="23" t="s">
        <v>1235</v>
      </c>
      <c r="B6" s="23" t="s">
        <v>1236</v>
      </c>
      <c r="C6" s="111" t="n">
        <f aca="false">'03_HYDROLOGY'!$C$18</f>
        <v>12</v>
      </c>
      <c r="D6" s="112" t="n">
        <v>25</v>
      </c>
      <c r="E6" s="112" t="n">
        <v>15</v>
      </c>
      <c r="F6" s="112" t="n">
        <v>8</v>
      </c>
      <c r="G6" s="69" t="n">
        <f aca="false">IF(C6&gt;=D6,3,IF(C6&gt;=E6,2,IF(C6&gt;=F6,1,0)))</f>
        <v>1</v>
      </c>
      <c r="H6" s="113" t="str">
        <f aca="false">CHOOSE(G6+1,"CRITICAL GAP","DEVELOPMENT GAP","CONDITIONAL","READY")</f>
        <v>DEVELOPMENT GAP</v>
      </c>
      <c r="I6" s="23" t="s">
        <v>1237</v>
      </c>
    </row>
    <row r="7" customFormat="false" ht="15" hidden="false" customHeight="true" outlineLevel="0" collapsed="false">
      <c r="A7" s="23" t="s">
        <v>1238</v>
      </c>
      <c r="B7" s="23" t="s">
        <v>1236</v>
      </c>
      <c r="C7" s="81" t="n">
        <f aca="false">'03_HYDROLOGY'!$C$42</f>
        <v>0.80776</v>
      </c>
      <c r="D7" s="114" t="n">
        <v>0.85</v>
      </c>
      <c r="E7" s="114" t="n">
        <v>0.78</v>
      </c>
      <c r="F7" s="114" t="n">
        <v>0.7</v>
      </c>
      <c r="G7" s="69" t="n">
        <f aca="false">IF(C7&gt;=D7,3,IF(C7&gt;=E7,2,IF(C7&gt;=F7,1,0)))</f>
        <v>2</v>
      </c>
      <c r="H7" s="113" t="str">
        <f aca="false">CHOOSE(G7+1,"CRITICAL GAP","DEVELOPMENT GAP","CONDITIONAL","READY")</f>
        <v>CONDITIONAL</v>
      </c>
      <c r="I7" s="23" t="s">
        <v>1237</v>
      </c>
    </row>
    <row r="8" customFormat="false" ht="15" hidden="false" customHeight="true" outlineLevel="0" collapsed="false">
      <c r="A8" s="23" t="s">
        <v>1239</v>
      </c>
      <c r="B8" s="23" t="s">
        <v>1236</v>
      </c>
      <c r="C8" s="111" t="n">
        <f aca="false">'03_HYDROLOGY'!$C$19</f>
        <v>2</v>
      </c>
      <c r="D8" s="112" t="n">
        <v>3</v>
      </c>
      <c r="E8" s="112" t="n">
        <v>2</v>
      </c>
      <c r="F8" s="112" t="n">
        <v>1</v>
      </c>
      <c r="G8" s="69" t="n">
        <f aca="false">IF(C8&gt;=D8,3,IF(C8&gt;=E8,2,IF(C8&gt;=F8,1,0)))</f>
        <v>2</v>
      </c>
      <c r="H8" s="113" t="str">
        <f aca="false">CHOOSE(G8+1,"CRITICAL GAP","DEVELOPMENT GAP","CONDITIONAL","READY")</f>
        <v>CONDITIONAL</v>
      </c>
      <c r="I8" s="23" t="s">
        <v>1237</v>
      </c>
    </row>
    <row r="9" customFormat="false" ht="15" hidden="false" customHeight="true" outlineLevel="0" collapsed="false">
      <c r="A9" s="21" t="s">
        <v>1240</v>
      </c>
      <c r="B9" s="22"/>
      <c r="C9" s="22"/>
      <c r="D9" s="22"/>
      <c r="E9" s="22"/>
      <c r="F9" s="22"/>
      <c r="G9" s="108" t="n">
        <f aca="false">MIN(G10:G11)</f>
        <v>3</v>
      </c>
      <c r="H9" s="109" t="str">
        <f aca="false">CHOOSE(G9+1,"CRITICAL GAP","DEVELOPMENT GAP","CONDITIONAL","READY")</f>
        <v>READY</v>
      </c>
      <c r="I9" s="110" t="str">
        <f aca="false">IF(G9&lt;=1,"Rééchelonner la puissance ou sécuriser un acheteur d'ancrage (mines, export) ; mettre à jour la prévision de charge avec la compagnie",IF(G9=2,"Confirmer l'absorption de la demande par une étude de dispatching de la compagnie et des protocoles d'accord avec des clients d'ancrage","Aucune action requise avant le bouclage"))</f>
        <v>Aucune action requise avant le bouclage</v>
      </c>
      <c r="J9" s="22"/>
    </row>
    <row r="10" customFormat="false" ht="15" hidden="false" customHeight="true" outlineLevel="0" collapsed="false">
      <c r="A10" s="23" t="s">
        <v>1241</v>
      </c>
      <c r="B10" s="23" t="s">
        <v>1236</v>
      </c>
      <c r="C10" s="81" t="n">
        <f aca="false">'10_DEMAND'!$C$37</f>
        <v>1</v>
      </c>
      <c r="D10" s="114" t="n">
        <v>1</v>
      </c>
      <c r="E10" s="114" t="n">
        <v>0.9</v>
      </c>
      <c r="F10" s="114" t="n">
        <v>0.7</v>
      </c>
      <c r="G10" s="69" t="n">
        <f aca="false">IF(C10&gt;=D10,3,IF(C10&gt;=E10,2,IF(C10&gt;=F10,1,0)))</f>
        <v>3</v>
      </c>
      <c r="H10" s="113" t="str">
        <f aca="false">CHOOSE(G10+1,"CRITICAL GAP","DEVELOPMENT GAP","CONDITIONAL","READY")</f>
        <v>READY</v>
      </c>
      <c r="I10" s="23" t="s">
        <v>1242</v>
      </c>
    </row>
    <row r="11" customFormat="false" ht="15" hidden="false" customHeight="true" outlineLevel="0" collapsed="false">
      <c r="A11" s="23" t="s">
        <v>1243</v>
      </c>
      <c r="B11" s="23" t="s">
        <v>1244</v>
      </c>
      <c r="C11" s="115" t="n">
        <f aca="false">'09_GRID'!$C$21</f>
        <v>0.0325505955729917</v>
      </c>
      <c r="D11" s="104" t="n">
        <v>0.15</v>
      </c>
      <c r="E11" s="104" t="n">
        <v>0.25</v>
      </c>
      <c r="F11" s="104" t="n">
        <v>0.35</v>
      </c>
      <c r="G11" s="69" t="n">
        <f aca="false">IF(C11&lt;=D11,3,IF(C11&lt;=E11,2,IF(C11&lt;=F11,1,0)))</f>
        <v>3</v>
      </c>
      <c r="H11" s="113" t="str">
        <f aca="false">CHOOSE(G11+1,"CRITICAL GAP","DEVELOPMENT GAP","CONDITIONAL","READY")</f>
        <v>READY</v>
      </c>
      <c r="I11" s="23" t="s">
        <v>1245</v>
      </c>
    </row>
    <row r="12" customFormat="false" ht="15" hidden="false" customHeight="true" outlineLevel="0" collapsed="false">
      <c r="A12" s="21" t="s">
        <v>1246</v>
      </c>
      <c r="B12" s="22"/>
      <c r="C12" s="22"/>
      <c r="D12" s="22"/>
      <c r="E12" s="22"/>
      <c r="F12" s="22"/>
      <c r="G12" s="108" t="n">
        <f aca="false">MIN(G13:G15)</f>
        <v>2</v>
      </c>
      <c r="H12" s="109" t="str">
        <f aca="false">CHOOSE(G12+1,"CRITICAL GAP","DEVELOPMENT GAP","CONDITIONAL","READY")</f>
        <v>CONDITIONAL</v>
      </c>
      <c r="I12" s="110" t="str">
        <f aca="false">IF(G12&lt;=1,"Optimiser la conception et la puissance installée ; obtenir des prix EPC indicatifs",IF(G12=2,"Finaliser l'étude de faisabilité bancable et la revue du conseiller technique des prêteurs","Aucune action requise avant le bouclage"))</f>
        <v>Finaliser l'étude de faisabilité bancable et la revue du conseiller technique des prêteurs</v>
      </c>
      <c r="J12" s="22"/>
    </row>
    <row r="13" customFormat="false" ht="15" hidden="false" customHeight="true" outlineLevel="0" collapsed="false">
      <c r="A13" s="23" t="s">
        <v>1247</v>
      </c>
      <c r="B13" s="23" t="s">
        <v>1244</v>
      </c>
      <c r="C13" s="81" t="n">
        <f aca="false">'05_PLANT_CAPEX'!$C$21</f>
        <v>1.03949635520212</v>
      </c>
      <c r="D13" s="114" t="n">
        <v>1</v>
      </c>
      <c r="E13" s="114" t="n">
        <v>1.25</v>
      </c>
      <c r="F13" s="114" t="n">
        <v>1.5</v>
      </c>
      <c r="G13" s="69" t="n">
        <f aca="false">IF(C13&lt;=D13,3,IF(C13&lt;=E13,2,IF(C13&lt;=F13,1,0)))</f>
        <v>2</v>
      </c>
      <c r="H13" s="113" t="str">
        <f aca="false">CHOOSE(G13+1,"CRITICAL GAP","DEVELOPMENT GAP","CONDITIONAL","READY")</f>
        <v>CONDITIONAL</v>
      </c>
      <c r="I13" s="23" t="s">
        <v>1248</v>
      </c>
    </row>
    <row r="14" customFormat="false" ht="15" hidden="false" customHeight="true" outlineLevel="0" collapsed="false">
      <c r="A14" s="23" t="s">
        <v>1249</v>
      </c>
      <c r="B14" s="23" t="s">
        <v>1236</v>
      </c>
      <c r="C14" s="115" t="n">
        <f aca="false">'03_HYDROLOGY'!$C$38</f>
        <v>0.556471419401644</v>
      </c>
      <c r="D14" s="104" t="n">
        <v>0.45</v>
      </c>
      <c r="E14" s="104" t="n">
        <v>0.35</v>
      </c>
      <c r="F14" s="104" t="n">
        <v>0.25</v>
      </c>
      <c r="G14" s="69" t="n">
        <f aca="false">IF(C14&gt;=D14,3,IF(C14&gt;=E14,2,IF(C14&gt;=F14,1,0)))</f>
        <v>3</v>
      </c>
      <c r="H14" s="113" t="str">
        <f aca="false">CHOOSE(G14+1,"CRITICAL GAP","DEVELOPMENT GAP","CONDITIONAL","READY")</f>
        <v>READY</v>
      </c>
      <c r="I14" s="23" t="s">
        <v>1237</v>
      </c>
    </row>
    <row r="15" customFormat="false" ht="15" hidden="false" customHeight="true" outlineLevel="0" collapsed="false">
      <c r="A15" s="23" t="s">
        <v>1250</v>
      </c>
      <c r="B15" s="23" t="s">
        <v>1236</v>
      </c>
      <c r="C15" s="111" t="n">
        <f aca="false">'05_PLANT_CAPEX'!$C$18</f>
        <v>2</v>
      </c>
      <c r="D15" s="112" t="n">
        <v>3</v>
      </c>
      <c r="E15" s="112" t="n">
        <v>2</v>
      </c>
      <c r="F15" s="112" t="n">
        <v>1</v>
      </c>
      <c r="G15" s="69" t="n">
        <f aca="false">IF(C15&gt;=D15,3,IF(C15&gt;=E15,2,IF(C15&gt;=F15,1,0)))</f>
        <v>2</v>
      </c>
      <c r="H15" s="113" t="str">
        <f aca="false">CHOOSE(G15+1,"CRITICAL GAP","DEVELOPMENT GAP","CONDITIONAL","READY")</f>
        <v>CONDITIONAL</v>
      </c>
      <c r="I15" s="23" t="s">
        <v>1248</v>
      </c>
    </row>
    <row r="16" customFormat="false" ht="15" hidden="false" customHeight="true" outlineLevel="0" collapsed="false">
      <c r="A16" s="21" t="s">
        <v>1251</v>
      </c>
      <c r="B16" s="22"/>
      <c r="C16" s="22"/>
      <c r="D16" s="22"/>
      <c r="E16" s="22"/>
      <c r="F16" s="22"/>
      <c r="G16" s="108" t="n">
        <f aca="false">MIN(G17:G19)</f>
        <v>3</v>
      </c>
      <c r="H16" s="109" t="str">
        <f aca="false">CHOOSE(G16+1,"CRITICAL GAP","DEVELOPMENT GAP","CONDITIONAL","READY")</f>
        <v>READY</v>
      </c>
      <c r="I16" s="110" t="str">
        <f aca="false">IF(G16&lt;=1,"Sécuriser le financement et l'EPC de la ligne d'évacuation ; aligner sa mise en service sur celle de la centrale ; convenir de l'énergie réputée livrée",IF(G16=2,"Sécuriser le financement du transport et l'accord d'interface (dates, pénalités, énergie réputée livrée)","Aucune action requise avant le bouclage"))</f>
        <v>Aucune action requise avant le bouclage</v>
      </c>
      <c r="J16" s="22"/>
    </row>
    <row r="17" customFormat="false" ht="15" hidden="false" customHeight="true" outlineLevel="0" collapsed="false">
      <c r="A17" s="23" t="s">
        <v>1252</v>
      </c>
      <c r="B17" s="23" t="s">
        <v>1236</v>
      </c>
      <c r="C17" s="41" t="n">
        <f aca="false">'09_GRID'!$C$20/'02_PROJECT_INPUTS'!$C$15</f>
        <v>2</v>
      </c>
      <c r="D17" s="114" t="n">
        <v>1</v>
      </c>
      <c r="E17" s="114" t="n">
        <v>0.8</v>
      </c>
      <c r="F17" s="114" t="n">
        <v>0.5</v>
      </c>
      <c r="G17" s="69" t="n">
        <f aca="false">IF(C17&gt;=D17,3,IF(C17&gt;=E17,2,IF(C17&gt;=F17,1,0)))</f>
        <v>3</v>
      </c>
      <c r="H17" s="113" t="str">
        <f aca="false">CHOOSE(G17+1,"CRITICAL GAP","DEVELOPMENT GAP","CONDITIONAL","READY")</f>
        <v>READY</v>
      </c>
      <c r="I17" s="23" t="s">
        <v>1245</v>
      </c>
    </row>
    <row r="18" customFormat="false" ht="15" hidden="false" customHeight="true" outlineLevel="0" collapsed="false">
      <c r="A18" s="23" t="s">
        <v>1253</v>
      </c>
      <c r="B18" s="23" t="s">
        <v>1244</v>
      </c>
      <c r="C18" s="111" t="n">
        <f aca="false">'08_TRANSMISSION'!$C$26</f>
        <v>0</v>
      </c>
      <c r="D18" s="112" t="n">
        <v>0</v>
      </c>
      <c r="E18" s="112" t="n">
        <v>1</v>
      </c>
      <c r="F18" s="112" t="n">
        <v>2</v>
      </c>
      <c r="G18" s="69" t="n">
        <f aca="false">IF(C18&lt;=D18,3,IF(C18&lt;=E18,2,IF(C18&lt;=F18,1,0)))</f>
        <v>3</v>
      </c>
      <c r="H18" s="113" t="str">
        <f aca="false">CHOOSE(G18+1,"CRITICAL GAP","DEVELOPMENT GAP","CONDITIONAL","READY")</f>
        <v>READY</v>
      </c>
      <c r="I18" s="23" t="s">
        <v>1254</v>
      </c>
    </row>
    <row r="19" customFormat="false" ht="15" hidden="false" customHeight="true" outlineLevel="0" collapsed="false">
      <c r="A19" s="23" t="s">
        <v>1255</v>
      </c>
      <c r="B19" s="23" t="s">
        <v>1236</v>
      </c>
      <c r="C19" s="111" t="n">
        <f aca="false">'08_TRANSMISSION'!$C$21</f>
        <v>1</v>
      </c>
      <c r="D19" s="112" t="n">
        <v>1</v>
      </c>
      <c r="E19" s="112" t="n">
        <v>1</v>
      </c>
      <c r="F19" s="112" t="n">
        <v>0</v>
      </c>
      <c r="G19" s="69" t="n">
        <f aca="false">IF(C19&gt;=D19,3,IF(C19&gt;=E19,2,IF(C19&gt;=F19,1,0)))</f>
        <v>3</v>
      </c>
      <c r="H19" s="113" t="str">
        <f aca="false">CHOOSE(G19+1,"CRITICAL GAP","DEVELOPMENT GAP","CONDITIONAL","READY")</f>
        <v>READY</v>
      </c>
      <c r="I19" s="23" t="s">
        <v>1254</v>
      </c>
    </row>
    <row r="20" customFormat="false" ht="15" hidden="false" customHeight="true" outlineLevel="0" collapsed="false">
      <c r="A20" s="21" t="s">
        <v>1256</v>
      </c>
      <c r="B20" s="22"/>
      <c r="C20" s="22"/>
      <c r="D20" s="22"/>
      <c r="E20" s="22"/>
      <c r="F20" s="22"/>
      <c r="G20" s="108" t="n">
        <f aca="false">MIN(G21:G23)</f>
        <v>1</v>
      </c>
      <c r="H20" s="109" t="str">
        <f aca="false">CHOOSE(G20+1,"CRITICAL GAP","DEVELOPMENT GAP","CONDITIONAL","READY")</f>
        <v>DEVELOPMENT GAP</v>
      </c>
      <c r="I20" s="110" t="str">
        <f aca="false">IF(G20&lt;=1,"Convenir d'un plan de redressement de la compagnie (trajectoire tarifaire, réduction des pertes), séquestre des créances, facilité de liquidité / dimensionnement de la LC",IF(G20=2,"Dimensionner la LC à 6 mois au moins, cantonner les encaissements, suivre les indicateurs de la compagnie","Aucune action requise avant le bouclage"))</f>
        <v>Convenir d'un plan de redressement de la compagnie (trajectoire tarifaire, réduction des pertes), séquestre des créances, facilité de liquidité / dimensionnement de la LC</v>
      </c>
      <c r="J20" s="22"/>
    </row>
    <row r="21" customFormat="false" ht="15" hidden="false" customHeight="true" outlineLevel="0" collapsed="false">
      <c r="A21" s="23" t="s">
        <v>1257</v>
      </c>
      <c r="B21" s="23" t="s">
        <v>1236</v>
      </c>
      <c r="C21" s="81" t="n">
        <f aca="false">'12_UTILITY'!$C$45</f>
        <v>5.95931544276934</v>
      </c>
      <c r="D21" s="114" t="n">
        <v>1.2</v>
      </c>
      <c r="E21" s="114" t="n">
        <v>1</v>
      </c>
      <c r="F21" s="114" t="n">
        <v>0.8</v>
      </c>
      <c r="G21" s="69" t="n">
        <f aca="false">IF(C21&gt;=D21,3,IF(C21&gt;=E21,2,IF(C21&gt;=F21,1,0)))</f>
        <v>3</v>
      </c>
      <c r="H21" s="113" t="str">
        <f aca="false">CHOOSE(G21+1,"CRITICAL GAP","DEVELOPMENT GAP","CONDITIONAL","READY")</f>
        <v>READY</v>
      </c>
      <c r="I21" s="23" t="s">
        <v>1258</v>
      </c>
    </row>
    <row r="22" customFormat="false" ht="15" hidden="false" customHeight="true" outlineLevel="0" collapsed="false">
      <c r="A22" s="23" t="s">
        <v>1259</v>
      </c>
      <c r="B22" s="23" t="s">
        <v>1236</v>
      </c>
      <c r="C22" s="43" t="n">
        <f aca="false">'12_UTILITY'!$C$13+'27_SCENARIOS'!$C$31</f>
        <v>0.88</v>
      </c>
      <c r="D22" s="104" t="n">
        <v>0.95</v>
      </c>
      <c r="E22" s="104" t="n">
        <v>0.9</v>
      </c>
      <c r="F22" s="104" t="n">
        <v>0.8</v>
      </c>
      <c r="G22" s="69" t="n">
        <f aca="false">IF(C22&gt;=D22,3,IF(C22&gt;=E22,2,IF(C22&gt;=F22,1,0)))</f>
        <v>1</v>
      </c>
      <c r="H22" s="113" t="str">
        <f aca="false">CHOOSE(G22+1,"CRITICAL GAP","DEVELOPMENT GAP","CONDITIONAL","READY")</f>
        <v>DEVELOPMENT GAP</v>
      </c>
      <c r="I22" s="23" t="s">
        <v>1258</v>
      </c>
    </row>
    <row r="23" customFormat="false" ht="15" hidden="false" customHeight="true" outlineLevel="0" collapsed="false">
      <c r="A23" s="23" t="s">
        <v>1260</v>
      </c>
      <c r="B23" s="23" t="s">
        <v>1236</v>
      </c>
      <c r="C23" s="111" t="n">
        <f aca="false">'11_OFFTAKER'!$C$8</f>
        <v>3</v>
      </c>
      <c r="D23" s="112" t="n">
        <v>6</v>
      </c>
      <c r="E23" s="112" t="n">
        <v>3</v>
      </c>
      <c r="F23" s="112" t="n">
        <v>1</v>
      </c>
      <c r="G23" s="69" t="n">
        <f aca="false">IF(C23&gt;=D23,3,IF(C23&gt;=E23,2,IF(C23&gt;=F23,1,0)))</f>
        <v>2</v>
      </c>
      <c r="H23" s="113" t="str">
        <f aca="false">CHOOSE(G23+1,"CRITICAL GAP","DEVELOPMENT GAP","CONDITIONAL","READY")</f>
        <v>CONDITIONAL</v>
      </c>
      <c r="I23" s="23" t="s">
        <v>1261</v>
      </c>
    </row>
    <row r="24" customFormat="false" ht="15" hidden="false" customHeight="true" outlineLevel="0" collapsed="false">
      <c r="A24" s="21" t="s">
        <v>1262</v>
      </c>
      <c r="B24" s="22"/>
      <c r="C24" s="22"/>
      <c r="D24" s="22"/>
      <c r="E24" s="22"/>
      <c r="F24" s="22"/>
      <c r="G24" s="108" t="n">
        <f aca="false">MIN(G25:G27)</f>
        <v>0</v>
      </c>
      <c r="H24" s="109" t="str">
        <f aca="false">CHOOSE(G24+1,"CRITICAL GAP","DEVELOPMENT GAP","CONDITIONAL","READY")</f>
        <v>CRITICAL GAP</v>
      </c>
      <c r="I24" s="110" t="str">
        <f aca="false">IF(G24&lt;=1,"Combler les lacunes juridiques et réglementaires critiques (répercussion tarifaire, foncier, change) avant la signature du CAE",IF(G24=2,"Régler les points GAP restants par la convention de mise en œuvre ou des décisions réglementaires","Aucune action requise avant le bouclage"))</f>
        <v>Combler les lacunes juridiques et réglementaires critiques (répercussion tarifaire, foncier, change) avant la signature du CAE</v>
      </c>
      <c r="J24" s="22"/>
    </row>
    <row r="25" customFormat="false" ht="15" hidden="false" customHeight="true" outlineLevel="0" collapsed="false">
      <c r="A25" s="23" t="s">
        <v>1263</v>
      </c>
      <c r="B25" s="23" t="s">
        <v>1244</v>
      </c>
      <c r="C25" s="111" t="n">
        <f aca="false">'13_REGULATION'!$C$22</f>
        <v>0</v>
      </c>
      <c r="D25" s="112" t="n">
        <v>0</v>
      </c>
      <c r="E25" s="112" t="n">
        <v>0</v>
      </c>
      <c r="F25" s="112" t="n">
        <v>0</v>
      </c>
      <c r="G25" s="69" t="n">
        <f aca="false">IF(C25&lt;=D25,3,IF(C25&lt;=E25,2,IF(C25&lt;=F25,1,0)))</f>
        <v>3</v>
      </c>
      <c r="H25" s="113" t="str">
        <f aca="false">CHOOSE(G25+1,"CRITICAL GAP","DEVELOPMENT GAP","CONDITIONAL","READY")</f>
        <v>READY</v>
      </c>
      <c r="I25" s="23" t="s">
        <v>1264</v>
      </c>
    </row>
    <row r="26" customFormat="false" ht="15" hidden="false" customHeight="true" outlineLevel="0" collapsed="false">
      <c r="A26" s="23" t="s">
        <v>1265</v>
      </c>
      <c r="B26" s="23" t="s">
        <v>1244</v>
      </c>
      <c r="C26" s="111" t="n">
        <f aca="false">'13_REGULATION'!$C$23</f>
        <v>4</v>
      </c>
      <c r="D26" s="112" t="n">
        <v>1</v>
      </c>
      <c r="E26" s="112" t="n">
        <v>3</v>
      </c>
      <c r="F26" s="112" t="n">
        <v>5</v>
      </c>
      <c r="G26" s="69" t="n">
        <f aca="false">IF(C26&lt;=D26,3,IF(C26&lt;=E26,2,IF(C26&lt;=F26,1,0)))</f>
        <v>1</v>
      </c>
      <c r="H26" s="113" t="str">
        <f aca="false">CHOOSE(G26+1,"CRITICAL GAP","DEVELOPMENT GAP","CONDITIONAL","READY")</f>
        <v>DEVELOPMENT GAP</v>
      </c>
      <c r="I26" s="23" t="s">
        <v>1264</v>
      </c>
    </row>
    <row r="27" customFormat="false" ht="15" hidden="false" customHeight="true" outlineLevel="0" collapsed="false">
      <c r="A27" s="23" t="s">
        <v>1266</v>
      </c>
      <c r="B27" s="23" t="s">
        <v>1236</v>
      </c>
      <c r="C27" s="115" t="n">
        <f aca="false">'16_REVENUE'!$C$29</f>
        <v>0</v>
      </c>
      <c r="D27" s="104" t="n">
        <v>0.6</v>
      </c>
      <c r="E27" s="104" t="n">
        <v>0.4</v>
      </c>
      <c r="F27" s="104" t="n">
        <v>0.2</v>
      </c>
      <c r="G27" s="69" t="n">
        <f aca="false">IF(C27&gt;=D27,3,IF(C27&gt;=E27,2,IF(C27&gt;=F27,1,0)))</f>
        <v>0</v>
      </c>
      <c r="H27" s="113" t="str">
        <f aca="false">CHOOSE(G27+1,"CRITICAL GAP","DEVELOPMENT GAP","CONDITIONAL","READY")</f>
        <v>CRITICAL GAP</v>
      </c>
      <c r="I27" s="23" t="s">
        <v>1267</v>
      </c>
    </row>
    <row r="28" customFormat="false" ht="15" hidden="false" customHeight="true" outlineLevel="0" collapsed="false">
      <c r="A28" s="21" t="s">
        <v>1268</v>
      </c>
      <c r="B28" s="22"/>
      <c r="C28" s="22"/>
      <c r="D28" s="22"/>
      <c r="E28" s="22"/>
      <c r="F28" s="22"/>
      <c r="G28" s="108" t="n">
        <f aca="false">MIN(G29:G31)</f>
        <v>2</v>
      </c>
      <c r="H28" s="109" t="str">
        <f aca="false">CHOOSE(G28+1,"CRITICAL GAP","DEVELOPMENT GAP","CONDITIONAL","READY")</f>
        <v>CONDITIONAL</v>
      </c>
      <c r="I28" s="110" t="str">
        <f aca="false">IF(G28&lt;=1,"Restructurer le financement : plus de dette concessionnelle, maturité plus longue, subvention/VGF ou ajustement tarifaire pour combler l'écart",IF(G28=2,"Figer les conditions de financement ; passer les cas de stress des prêteurs ; convenir des covenants de DSCR","Aucune action requise avant le bouclage"))</f>
        <v>Figer les conditions de financement ; passer les cas de stress des prêteurs ; convenir des covenants de DSCR</v>
      </c>
      <c r="J28" s="22"/>
    </row>
    <row r="29" customFormat="false" ht="15" hidden="false" customHeight="true" outlineLevel="0" collapsed="false">
      <c r="A29" s="23" t="s">
        <v>1269</v>
      </c>
      <c r="B29" s="23" t="s">
        <v>1236</v>
      </c>
      <c r="C29" s="81" t="n">
        <f aca="false">'17_PROJECT_FINANCE'!$C$37</f>
        <v>1.52720627268227</v>
      </c>
      <c r="D29" s="81" t="n">
        <f aca="false">'17A_STRUCTURES'!$C$22</f>
        <v>1.35</v>
      </c>
      <c r="E29" s="81" t="n">
        <f aca="false">'17A_STRUCTURES'!$C$25</f>
        <v>1.1</v>
      </c>
      <c r="F29" s="114" t="n">
        <v>1</v>
      </c>
      <c r="G29" s="69" t="n">
        <f aca="false">IF(C29&gt;=D29,3,IF(C29&gt;=E29,2,IF(C29&gt;=F29,1,0)))</f>
        <v>3</v>
      </c>
      <c r="H29" s="113" t="str">
        <f aca="false">CHOOSE(G29+1,"CRITICAL GAP","DEVELOPMENT GAP","CONDITIONAL","READY")</f>
        <v>READY</v>
      </c>
      <c r="I29" s="23" t="s">
        <v>1270</v>
      </c>
    </row>
    <row r="30" customFormat="false" ht="15" hidden="false" customHeight="true" outlineLevel="0" collapsed="false">
      <c r="A30" s="23" t="s">
        <v>1271</v>
      </c>
      <c r="B30" s="23" t="s">
        <v>1244</v>
      </c>
      <c r="C30" s="115" t="n">
        <f aca="false">'17_PROJECT_FINANCE'!$C$29</f>
        <v>0.0188609175014221</v>
      </c>
      <c r="D30" s="104" t="n">
        <v>0</v>
      </c>
      <c r="E30" s="104" t="n">
        <v>0.05</v>
      </c>
      <c r="F30" s="104" t="n">
        <v>0.15</v>
      </c>
      <c r="G30" s="69" t="n">
        <f aca="false">IF(C30&lt;=D30,3,IF(C30&lt;=E30,2,IF(C30&lt;=F30,1,0)))</f>
        <v>2</v>
      </c>
      <c r="H30" s="113" t="str">
        <f aca="false">CHOOSE(G30+1,"CRITICAL GAP","DEVELOPMENT GAP","CONDITIONAL","READY")</f>
        <v>CONDITIONAL</v>
      </c>
      <c r="I30" s="23" t="s">
        <v>1272</v>
      </c>
    </row>
    <row r="31" customFormat="false" ht="15" hidden="false" customHeight="true" outlineLevel="0" collapsed="false">
      <c r="A31" s="23" t="s">
        <v>1273</v>
      </c>
      <c r="B31" s="23" t="s">
        <v>1236</v>
      </c>
      <c r="C31" s="43" t="n">
        <f aca="false">IF(ISNUMBER('17_PROJECT_FINANCE'!$C$33),'17_PROJECT_FINANCE'!$C$33,IF('17_PROJECT_FINANCE'!$C$20&gt;0,-1,'17A_STRUCTURES'!$C$23))</f>
        <v>0.137581200828486</v>
      </c>
      <c r="D31" s="115" t="n">
        <f aca="false">'17A_STRUCTURES'!$C$23</f>
        <v>0.15</v>
      </c>
      <c r="E31" s="43" t="n">
        <f aca="false">'17A_STRUCTURES'!$C$23-0.02</f>
        <v>0.13</v>
      </c>
      <c r="F31" s="43" t="n">
        <f aca="false">'17A_STRUCTURES'!$C$23-0.05</f>
        <v>0.1</v>
      </c>
      <c r="G31" s="69" t="n">
        <f aca="false">IF(C31&gt;=D31,3,IF(C31&gt;=E31,2,IF(C31&gt;=F31,1,0)))</f>
        <v>2</v>
      </c>
      <c r="H31" s="113" t="str">
        <f aca="false">CHOOSE(G31+1,"CRITICAL GAP","DEVELOPMENT GAP","CONDITIONAL","READY")</f>
        <v>CONDITIONAL</v>
      </c>
      <c r="I31" s="23" t="s">
        <v>1274</v>
      </c>
    </row>
    <row r="32" customFormat="false" ht="15" hidden="false" customHeight="true" outlineLevel="0" collapsed="false">
      <c r="A32" s="21" t="s">
        <v>1275</v>
      </c>
      <c r="B32" s="22"/>
      <c r="C32" s="22"/>
      <c r="D32" s="22"/>
      <c r="E32" s="22"/>
      <c r="F32" s="22"/>
      <c r="G32" s="108" t="n">
        <f aca="false">MIN(G33:G37)</f>
        <v>2</v>
      </c>
      <c r="H32" s="109" t="str">
        <f aca="false">CHOOSE(G32+1,"CRITICAL GAP","DEVELOPMENT GAP","CONDITIONAL","READY")</f>
        <v>CONDITIONAL</v>
      </c>
      <c r="I32" s="110" t="str">
        <f aca="false">IF(G32&lt;=1,"Plafonner les garanties, remplacer les garanties souveraines par des instruments de liquidité, inscrire les engagements dans la déclaration des risques budgétaires",IF(G32=2,"Obtenir l'aval du ministère des Finances sur le risque budgétaire et publier les engagements","Aucune action requise avant le bouclage"))</f>
        <v>Obtenir l'aval du ministère des Finances sur le risque budgétaire et publier les engagements</v>
      </c>
      <c r="J32" s="22"/>
    </row>
    <row r="33" customFormat="false" ht="15" hidden="false" customHeight="true" outlineLevel="0" collapsed="false">
      <c r="A33" s="23" t="s">
        <v>1276</v>
      </c>
      <c r="B33" s="23" t="s">
        <v>1244</v>
      </c>
      <c r="C33" s="115" t="n">
        <f aca="false">'26_DEBT_SUSTAINABILITY'!$C$32</f>
        <v>0</v>
      </c>
      <c r="D33" s="104" t="n">
        <v>0.005</v>
      </c>
      <c r="E33" s="104" t="n">
        <v>0.01</v>
      </c>
      <c r="F33" s="104" t="n">
        <v>0.02</v>
      </c>
      <c r="G33" s="69" t="n">
        <f aca="false">IF(C33&lt;=D33,3,IF(C33&lt;=E33,2,IF(C33&lt;=F33,1,0)))</f>
        <v>3</v>
      </c>
      <c r="H33" s="113" t="str">
        <f aca="false">CHOOSE(G33+1,"CRITICAL GAP","DEVELOPMENT GAP","CONDITIONAL","READY")</f>
        <v>READY</v>
      </c>
      <c r="I33" s="23" t="s">
        <v>1277</v>
      </c>
    </row>
    <row r="34" customFormat="false" ht="15" hidden="false" customHeight="true" outlineLevel="0" collapsed="false">
      <c r="A34" s="23" t="s">
        <v>1278</v>
      </c>
      <c r="B34" s="23" t="s">
        <v>1244</v>
      </c>
      <c r="C34" s="115" t="n">
        <f aca="false">'26_DEBT_SUSTAINABILITY'!$C$31</f>
        <v>0.00556315483524079</v>
      </c>
      <c r="D34" s="104" t="n">
        <v>0.01</v>
      </c>
      <c r="E34" s="104" t="n">
        <v>0.02</v>
      </c>
      <c r="F34" s="104" t="n">
        <v>0.04</v>
      </c>
      <c r="G34" s="69" t="n">
        <f aca="false">IF(C34&lt;=D34,3,IF(C34&lt;=E34,2,IF(C34&lt;=F34,1,0)))</f>
        <v>3</v>
      </c>
      <c r="H34" s="113" t="str">
        <f aca="false">CHOOSE(G34+1,"CRITICAL GAP","DEVELOPMENT GAP","CONDITIONAL","READY")</f>
        <v>READY</v>
      </c>
      <c r="I34" s="23" t="s">
        <v>1279</v>
      </c>
    </row>
    <row r="35" customFormat="false" ht="15" hidden="false" customHeight="true" outlineLevel="0" collapsed="false">
      <c r="A35" s="23" t="s">
        <v>1280</v>
      </c>
      <c r="B35" s="23" t="s">
        <v>1244</v>
      </c>
      <c r="C35" s="115" t="n">
        <f aca="false">'26_DEBT_SUSTAINABILITY'!$C$30</f>
        <v>0</v>
      </c>
      <c r="D35" s="104" t="n">
        <v>0.005</v>
      </c>
      <c r="E35" s="104" t="n">
        <v>0.01</v>
      </c>
      <c r="F35" s="104" t="n">
        <v>0.02</v>
      </c>
      <c r="G35" s="69" t="n">
        <f aca="false">IF(C35&lt;=D35,3,IF(C35&lt;=E35,2,IF(C35&lt;=F35,1,0)))</f>
        <v>3</v>
      </c>
      <c r="H35" s="113" t="str">
        <f aca="false">CHOOSE(G35+1,"CRITICAL GAP","DEVELOPMENT GAP","CONDITIONAL","READY")</f>
        <v>READY</v>
      </c>
      <c r="I35" s="23" t="s">
        <v>1277</v>
      </c>
    </row>
    <row r="36" customFormat="false" ht="15" hidden="false" customHeight="true" outlineLevel="0" collapsed="false">
      <c r="A36" s="23" t="s">
        <v>1281</v>
      </c>
      <c r="B36" s="23" t="s">
        <v>1236</v>
      </c>
      <c r="C36" s="43" t="n">
        <f aca="false">'25_FISCAL_IMPACT'!$C$21/('26_DEBT_SUSTAINABILITY'!$C$7*1000)</f>
        <v>-0.000788027553906688</v>
      </c>
      <c r="D36" s="104" t="n">
        <v>0</v>
      </c>
      <c r="E36" s="104" t="n">
        <v>-0.005</v>
      </c>
      <c r="F36" s="104" t="n">
        <v>-0.02</v>
      </c>
      <c r="G36" s="69" t="n">
        <f aca="false">IF(C36&gt;=D36,3,IF(C36&gt;=E36,2,IF(C36&gt;=F36,1,0)))</f>
        <v>2</v>
      </c>
      <c r="H36" s="113" t="str">
        <f aca="false">CHOOSE(G36+1,"CRITICAL GAP","DEVELOPMENT GAP","CONDITIONAL","READY")</f>
        <v>CONDITIONAL</v>
      </c>
      <c r="I36" s="23" t="s">
        <v>1282</v>
      </c>
    </row>
    <row r="37" customFormat="false" ht="15" hidden="false" customHeight="true" outlineLevel="0" collapsed="false">
      <c r="A37" s="23" t="s">
        <v>1283</v>
      </c>
      <c r="B37" s="23" t="s">
        <v>1244</v>
      </c>
      <c r="C37" s="111" t="n">
        <f aca="false">'26_DEBT_SUSTAINABILITY'!$C$14</f>
        <v>2</v>
      </c>
      <c r="D37" s="112" t="n">
        <v>1</v>
      </c>
      <c r="E37" s="112" t="n">
        <v>2</v>
      </c>
      <c r="F37" s="112" t="n">
        <v>3</v>
      </c>
      <c r="G37" s="69" t="n">
        <f aca="false">IF(C37&lt;=D37,3,IF(C37&lt;=E37,2,IF(C37&lt;=F37,1,0)))</f>
        <v>2</v>
      </c>
      <c r="H37" s="113" t="str">
        <f aca="false">CHOOSE(G37+1,"CRITICAL GAP","DEVELOPMENT GAP","CONDITIONAL","READY")</f>
        <v>CONDITIONAL</v>
      </c>
      <c r="I37" s="23" t="s">
        <v>1277</v>
      </c>
    </row>
    <row r="38" customFormat="false" ht="15" hidden="false" customHeight="true" outlineLevel="0" collapsed="false">
      <c r="A38" s="21" t="s">
        <v>1284</v>
      </c>
      <c r="B38" s="22"/>
      <c r="C38" s="22"/>
      <c r="D38" s="22"/>
      <c r="E38" s="22"/>
      <c r="F38" s="22"/>
      <c r="G38" s="108" t="n">
        <f aca="false">MIN(G39:G41)</f>
        <v>2</v>
      </c>
      <c r="H38" s="109" t="str">
        <f aca="false">CHOOSE(G38+1,"CRITICAL GAP","DEVELOPMENT GAP","CONDITIONAL","READY")</f>
        <v>CONDITIONAL</v>
      </c>
      <c r="I38" s="110" t="str">
        <f aca="false">IF(G38&lt;=1,"Porter l'EIES et le PAR aux normes des prêteurs ; revue E&amp;S indépendante ; notification aux États riverains",IF(G38=2,"Achever les jalons de mise en œuvre du PAR avant le bouclage financier","Aucune action requise avant le bouclage"))</f>
        <v>Achever les jalons de mise en œuvre du PAR avant le bouclage financier</v>
      </c>
      <c r="J38" s="22"/>
    </row>
    <row r="39" customFormat="false" ht="15" hidden="false" customHeight="true" outlineLevel="0" collapsed="false">
      <c r="A39" s="23" t="s">
        <v>1285</v>
      </c>
      <c r="B39" s="23" t="s">
        <v>1236</v>
      </c>
      <c r="C39" s="111" t="n">
        <f aca="false">'13_REGULATION'!$C$29</f>
        <v>2</v>
      </c>
      <c r="D39" s="112" t="n">
        <v>3</v>
      </c>
      <c r="E39" s="112" t="n">
        <v>2</v>
      </c>
      <c r="F39" s="112" t="n">
        <v>1</v>
      </c>
      <c r="G39" s="69" t="n">
        <f aca="false">IF(C39&gt;=D39,3,IF(C39&gt;=E39,2,IF(C39&gt;=F39,1,0)))</f>
        <v>2</v>
      </c>
      <c r="H39" s="113" t="str">
        <f aca="false">CHOOSE(G39+1,"CRITICAL GAP","DEVELOPMENT GAP","CONDITIONAL","READY")</f>
        <v>CONDITIONAL</v>
      </c>
      <c r="I39" s="23" t="s">
        <v>1264</v>
      </c>
    </row>
    <row r="40" customFormat="false" ht="15" hidden="false" customHeight="true" outlineLevel="0" collapsed="false">
      <c r="A40" s="23" t="s">
        <v>1286</v>
      </c>
      <c r="B40" s="23" t="s">
        <v>1236</v>
      </c>
      <c r="C40" s="111" t="n">
        <f aca="false">'13_REGULATION'!$C$30</f>
        <v>2</v>
      </c>
      <c r="D40" s="112" t="n">
        <v>3</v>
      </c>
      <c r="E40" s="112" t="n">
        <v>2</v>
      </c>
      <c r="F40" s="112" t="n">
        <v>1</v>
      </c>
      <c r="G40" s="69" t="n">
        <f aca="false">IF(C40&gt;=D40,3,IF(C40&gt;=E40,2,IF(C40&gt;=F40,1,0)))</f>
        <v>2</v>
      </c>
      <c r="H40" s="113" t="str">
        <f aca="false">CHOOSE(G40+1,"CRITICAL GAP","DEVELOPMENT GAP","CONDITIONAL","READY")</f>
        <v>CONDITIONAL</v>
      </c>
      <c r="I40" s="23" t="s">
        <v>1264</v>
      </c>
    </row>
    <row r="41" customFormat="false" ht="15" hidden="false" customHeight="true" outlineLevel="0" collapsed="false">
      <c r="A41" s="23" t="s">
        <v>1287</v>
      </c>
      <c r="B41" s="23" t="s">
        <v>1236</v>
      </c>
      <c r="C41" s="111" t="n">
        <f aca="false">'13_REGULATION'!$C$31</f>
        <v>3</v>
      </c>
      <c r="D41" s="112" t="n">
        <v>3</v>
      </c>
      <c r="E41" s="112" t="n">
        <v>2</v>
      </c>
      <c r="F41" s="112" t="n">
        <v>1</v>
      </c>
      <c r="G41" s="69" t="n">
        <f aca="false">IF(C41&gt;=D41,3,IF(C41&gt;=E41,2,IF(C41&gt;=F41,1,0)))</f>
        <v>3</v>
      </c>
      <c r="H41" s="113" t="str">
        <f aca="false">CHOOSE(G41+1,"CRITICAL GAP","DEVELOPMENT GAP","CONDITIONAL","READY")</f>
        <v>READY</v>
      </c>
      <c r="I41" s="23" t="s">
        <v>1264</v>
      </c>
    </row>
    <row r="43" customFormat="false" ht="15" hidden="false" customHeight="true" outlineLevel="0" collapsed="false">
      <c r="A43" s="21" t="s">
        <v>1288</v>
      </c>
      <c r="B43" s="22"/>
      <c r="C43" s="22"/>
      <c r="D43" s="22"/>
      <c r="E43" s="22"/>
      <c r="F43" s="22"/>
      <c r="G43" s="22"/>
      <c r="H43" s="22"/>
      <c r="I43" s="22"/>
      <c r="J43" s="22"/>
    </row>
    <row r="44" customFormat="false" ht="15" hidden="false" customHeight="true" outlineLevel="0" collapsed="false">
      <c r="A44" s="34" t="s">
        <v>1289</v>
      </c>
      <c r="B44" s="34" t="s">
        <v>1232</v>
      </c>
      <c r="C44" s="34" t="s">
        <v>1290</v>
      </c>
      <c r="D44" s="34" t="s">
        <v>609</v>
      </c>
      <c r="E44" s="34" t="s">
        <v>1291</v>
      </c>
    </row>
    <row r="45" customFormat="false" ht="15" hidden="false" customHeight="true" outlineLevel="0" collapsed="false">
      <c r="A45" s="23" t="s">
        <v>1234</v>
      </c>
      <c r="B45" s="69" t="n">
        <f aca="false">G5</f>
        <v>1</v>
      </c>
      <c r="C45" s="41" t="n">
        <f aca="false">B45+0.01</f>
        <v>1.01</v>
      </c>
      <c r="D45" s="113" t="str">
        <f aca="false">H5</f>
        <v>DEVELOPMENT GAP</v>
      </c>
      <c r="E45" s="113" t="str">
        <f aca="false">I5</f>
        <v>Commander une revue hydrologique indépendante ; allonger la série par corrélation régionale ; calculer le P90 sur séries simulées</v>
      </c>
    </row>
    <row r="46" customFormat="false" ht="15" hidden="false" customHeight="true" outlineLevel="0" collapsed="false">
      <c r="A46" s="23" t="s">
        <v>1240</v>
      </c>
      <c r="B46" s="69" t="n">
        <f aca="false">G9</f>
        <v>3</v>
      </c>
      <c r="C46" s="41" t="n">
        <f aca="false">B46+0.02</f>
        <v>3.02</v>
      </c>
      <c r="D46" s="113" t="str">
        <f aca="false">H9</f>
        <v>READY</v>
      </c>
      <c r="E46" s="113" t="str">
        <f aca="false">I9</f>
        <v>Aucune action requise avant le bouclage</v>
      </c>
    </row>
    <row r="47" customFormat="false" ht="15" hidden="false" customHeight="true" outlineLevel="0" collapsed="false">
      <c r="A47" s="23" t="s">
        <v>1246</v>
      </c>
      <c r="B47" s="69" t="n">
        <f aca="false">G12</f>
        <v>2</v>
      </c>
      <c r="C47" s="41" t="n">
        <f aca="false">B47+0.03</f>
        <v>2.03</v>
      </c>
      <c r="D47" s="113" t="str">
        <f aca="false">H12</f>
        <v>CONDITIONAL</v>
      </c>
      <c r="E47" s="113" t="str">
        <f aca="false">I12</f>
        <v>Finaliser l'étude de faisabilité bancable et la revue du conseiller technique des prêteurs</v>
      </c>
    </row>
    <row r="48" customFormat="false" ht="15" hidden="false" customHeight="true" outlineLevel="0" collapsed="false">
      <c r="A48" s="23" t="s">
        <v>1251</v>
      </c>
      <c r="B48" s="69" t="n">
        <f aca="false">G16</f>
        <v>3</v>
      </c>
      <c r="C48" s="41" t="n">
        <f aca="false">B48+0.04</f>
        <v>3.04</v>
      </c>
      <c r="D48" s="113" t="str">
        <f aca="false">H16</f>
        <v>READY</v>
      </c>
      <c r="E48" s="113" t="str">
        <f aca="false">I16</f>
        <v>Aucune action requise avant le bouclage</v>
      </c>
    </row>
    <row r="49" customFormat="false" ht="15" hidden="false" customHeight="true" outlineLevel="0" collapsed="false">
      <c r="A49" s="23" t="s">
        <v>1256</v>
      </c>
      <c r="B49" s="69" t="n">
        <f aca="false">G20</f>
        <v>1</v>
      </c>
      <c r="C49" s="41" t="n">
        <f aca="false">B49+0.05</f>
        <v>1.05</v>
      </c>
      <c r="D49" s="113" t="str">
        <f aca="false">H20</f>
        <v>DEVELOPMENT GAP</v>
      </c>
      <c r="E49" s="113" t="str">
        <f aca="false">I20</f>
        <v>Convenir d'un plan de redressement de la compagnie (trajectoire tarifaire, réduction des pertes), séquestre des créances, facilité de liquidité / dimensionnement de la LC</v>
      </c>
    </row>
    <row r="50" customFormat="false" ht="15" hidden="false" customHeight="true" outlineLevel="0" collapsed="false">
      <c r="A50" s="23" t="s">
        <v>1262</v>
      </c>
      <c r="B50" s="69" t="n">
        <f aca="false">G24</f>
        <v>0</v>
      </c>
      <c r="C50" s="41" t="n">
        <f aca="false">B50+0.06</f>
        <v>0.06</v>
      </c>
      <c r="D50" s="113" t="str">
        <f aca="false">H24</f>
        <v>CRITICAL GAP</v>
      </c>
      <c r="E50" s="113" t="str">
        <f aca="false">I24</f>
        <v>Combler les lacunes juridiques et réglementaires critiques (répercussion tarifaire, foncier, change) avant la signature du CAE</v>
      </c>
    </row>
    <row r="51" customFormat="false" ht="15" hidden="false" customHeight="true" outlineLevel="0" collapsed="false">
      <c r="A51" s="23" t="s">
        <v>1268</v>
      </c>
      <c r="B51" s="69" t="n">
        <f aca="false">G28</f>
        <v>2</v>
      </c>
      <c r="C51" s="41" t="n">
        <f aca="false">B51+0.07</f>
        <v>2.07</v>
      </c>
      <c r="D51" s="113" t="str">
        <f aca="false">H28</f>
        <v>CONDITIONAL</v>
      </c>
      <c r="E51" s="113" t="str">
        <f aca="false">I28</f>
        <v>Figer les conditions de financement ; passer les cas de stress des prêteurs ; convenir des covenants de DSCR</v>
      </c>
    </row>
    <row r="52" customFormat="false" ht="15" hidden="false" customHeight="true" outlineLevel="0" collapsed="false">
      <c r="A52" s="23" t="s">
        <v>1275</v>
      </c>
      <c r="B52" s="69" t="n">
        <f aca="false">G32</f>
        <v>2</v>
      </c>
      <c r="C52" s="41" t="n">
        <f aca="false">B52+0.08</f>
        <v>2.08</v>
      </c>
      <c r="D52" s="113" t="str">
        <f aca="false">H32</f>
        <v>CONDITIONAL</v>
      </c>
      <c r="E52" s="113" t="str">
        <f aca="false">I32</f>
        <v>Obtenir l'aval du ministère des Finances sur le risque budgétaire et publier les engagements</v>
      </c>
    </row>
    <row r="53" customFormat="false" ht="15" hidden="false" customHeight="true" outlineLevel="0" collapsed="false">
      <c r="A53" s="23" t="s">
        <v>1284</v>
      </c>
      <c r="B53" s="69" t="n">
        <f aca="false">G38</f>
        <v>2</v>
      </c>
      <c r="C53" s="41" t="n">
        <f aca="false">B53+0.09</f>
        <v>2.09</v>
      </c>
      <c r="D53" s="113" t="str">
        <f aca="false">H38</f>
        <v>CONDITIONAL</v>
      </c>
      <c r="E53" s="113" t="str">
        <f aca="false">I38</f>
        <v>Achever les jalons de mise en œuvre du PAR avant le bouclage financier</v>
      </c>
    </row>
    <row r="55" customFormat="false" ht="15" hidden="false" customHeight="true" outlineLevel="0" collapsed="false">
      <c r="A55" s="19" t="s">
        <v>1292</v>
      </c>
      <c r="B55" s="23"/>
      <c r="C55" s="75" t="n">
        <f aca="false">MIN(B45:B53)</f>
        <v>0</v>
      </c>
    </row>
    <row r="56" customFormat="false" ht="15" hidden="false" customHeight="true" outlineLevel="0" collapsed="false">
      <c r="A56" s="23" t="s">
        <v>1293</v>
      </c>
      <c r="B56" s="23" t="s">
        <v>115</v>
      </c>
      <c r="C56" s="29" t="n">
        <f aca="false">COUNTIF(B45:B53,0)</f>
        <v>1</v>
      </c>
    </row>
    <row r="57" customFormat="false" ht="15" hidden="false" customHeight="true" outlineLevel="0" collapsed="false">
      <c r="A57" s="23" t="s">
        <v>1294</v>
      </c>
      <c r="B57" s="23" t="s">
        <v>115</v>
      </c>
      <c r="C57" s="29" t="n">
        <f aca="false">COUNTIF(B45:B53,1)</f>
        <v>2</v>
      </c>
    </row>
    <row r="58" customFormat="false" ht="15" hidden="false" customHeight="true" outlineLevel="0" collapsed="false">
      <c r="A58" s="19" t="s">
        <v>1295</v>
      </c>
      <c r="B58" s="23"/>
      <c r="C58" s="103" t="str">
        <f aca="false">IF('30_BANKABILITY'!$C$56&gt;0,"NOT BANKABLE : lacune(s) critique(s) à combler",IF('30_BANKABILITY'!$C$57&gt;0,"NOT YET BANKABLE : des lacunes de développement subsistent",IF('30_BANKABILITY'!$C$55=2,"BANKABLE : bancable sous conditions","READY : prêt pour le bouclage financier")))</f>
        <v>NOT BANKABLE : lacune(s) critique(s) à combler</v>
      </c>
    </row>
    <row r="60" customFormat="false" ht="15" hidden="false" customHeight="true" outlineLevel="0" collapsed="false">
      <c r="A60" s="25" t="s">
        <v>1296</v>
      </c>
    </row>
  </sheetData>
  <conditionalFormatting sqref="H5:H42">
    <cfRule type="cellIs" priority="2" operator="equal" aboveAverage="0" equalAverage="0" bottom="0" percent="0" rank="0" text="" dxfId="0">
      <formula>"READY"</formula>
    </cfRule>
    <cfRule type="cellIs" priority="3" operator="equal" aboveAverage="0" equalAverage="0" bottom="0" percent="0" rank="0" text="" dxfId="1">
      <formula>"CONDITIONAL"</formula>
    </cfRule>
    <cfRule type="cellIs" priority="4" operator="equal" aboveAverage="0" equalAverage="0" bottom="0" percent="0" rank="0" text="" dxfId="2">
      <formula>"DEVELOPMENT GAP"</formula>
    </cfRule>
    <cfRule type="cellIs" priority="5" operator="equal" aboveAverage="0" equalAverage="0" bottom="0" percent="0" rank="0" text="" dxfId="3">
      <formula>"CRITICAL GAP"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6.7"/>
    <col collapsed="false" customWidth="true" hidden="false" outlineLevel="0" max="2" min="2" style="1" width="44"/>
    <col collapsed="false" customWidth="true" hidden="false" outlineLevel="0" max="3" min="3" style="1" width="16"/>
    <col collapsed="false" customWidth="true" hidden="false" outlineLevel="0" max="4" min="4" style="1" width="10"/>
    <col collapsed="false" customWidth="true" hidden="false" outlineLevel="0" max="5" min="5" style="1" width="16"/>
    <col collapsed="false" customWidth="true" hidden="false" outlineLevel="0" max="6" min="6" style="1" width="18"/>
    <col collapsed="false" customWidth="true" hidden="false" outlineLevel="0" max="7" min="7" style="1" width="48"/>
    <col collapsed="false" customWidth="true" hidden="false" outlineLevel="0" max="8" min="8" style="1" width="32"/>
    <col collapsed="false" customWidth="true" hidden="false" outlineLevel="0" max="9" min="9" style="1" width="24"/>
  </cols>
  <sheetData>
    <row r="1" customFormat="false" ht="17.25" hidden="false" customHeight="true" outlineLevel="0" collapsed="false">
      <c r="A1" s="16" t="s">
        <v>1297</v>
      </c>
      <c r="B1" s="17"/>
      <c r="C1" s="17"/>
      <c r="D1" s="17"/>
      <c r="E1" s="17"/>
      <c r="F1" s="17"/>
      <c r="G1" s="17"/>
      <c r="H1" s="17"/>
      <c r="I1" s="17"/>
      <c r="J1" s="17"/>
    </row>
    <row r="2" customFormat="false" ht="15" hidden="false" customHeight="true" outlineLevel="0" collapsed="false">
      <c r="A2" s="18" t="s">
        <v>1298</v>
      </c>
      <c r="B2" s="17"/>
      <c r="C2" s="17"/>
      <c r="D2" s="17"/>
      <c r="E2" s="17"/>
      <c r="F2" s="17"/>
      <c r="G2" s="17"/>
      <c r="H2" s="17"/>
      <c r="I2" s="17"/>
      <c r="J2" s="17"/>
    </row>
    <row r="4" customFormat="false" ht="15" hidden="false" customHeight="true" outlineLevel="0" collapsed="false">
      <c r="A4" s="34" t="s">
        <v>115</v>
      </c>
      <c r="B4" s="34" t="s">
        <v>1289</v>
      </c>
      <c r="C4" s="34" t="s">
        <v>1299</v>
      </c>
      <c r="D4" s="34" t="s">
        <v>1300</v>
      </c>
      <c r="E4" s="34" t="s">
        <v>1301</v>
      </c>
      <c r="F4" s="34" t="s">
        <v>1302</v>
      </c>
      <c r="G4" s="34" t="s">
        <v>1303</v>
      </c>
      <c r="H4" s="34" t="s">
        <v>1304</v>
      </c>
      <c r="I4" s="34" t="s">
        <v>1305</v>
      </c>
    </row>
    <row r="5" customFormat="false" ht="15" hidden="false" customHeight="true" outlineLevel="0" collapsed="false">
      <c r="A5" s="23" t="n">
        <v>1</v>
      </c>
      <c r="B5" s="23" t="s">
        <v>1306</v>
      </c>
      <c r="C5" s="23" t="s">
        <v>1307</v>
      </c>
      <c r="D5" s="80" t="s">
        <v>1308</v>
      </c>
      <c r="E5" s="25" t="s">
        <v>1309</v>
      </c>
      <c r="F5" s="113" t="str">
        <f aca="false">IF(AND('03_HYDROLOGY'!$C$18&gt;=15,'03_HYDROLOGY'!$C$19=3),"MET","NOT MET")</f>
        <v>NOT MET</v>
      </c>
      <c r="G5" s="116" t="s">
        <v>1310</v>
      </c>
      <c r="H5" s="23" t="s">
        <v>1311</v>
      </c>
      <c r="I5" s="23" t="s">
        <v>1312</v>
      </c>
    </row>
    <row r="6" customFormat="false" ht="15" hidden="false" customHeight="true" outlineLevel="0" collapsed="false">
      <c r="A6" s="23" t="n">
        <v>2</v>
      </c>
      <c r="B6" s="23" t="s">
        <v>1313</v>
      </c>
      <c r="C6" s="23" t="s">
        <v>1307</v>
      </c>
      <c r="D6" s="80" t="s">
        <v>1308</v>
      </c>
      <c r="E6" s="47" t="s">
        <v>616</v>
      </c>
      <c r="F6" s="113" t="str">
        <f aca="false">IF(OR(E6="MET",E6="PARTIAL",E6="NOT MET"),E6,"NO EVIDENCE")</f>
        <v>PARTIAL</v>
      </c>
      <c r="G6" s="23" t="s">
        <v>1314</v>
      </c>
      <c r="H6" s="23" t="s">
        <v>1311</v>
      </c>
      <c r="I6" s="23" t="s">
        <v>1312</v>
      </c>
    </row>
    <row r="7" customFormat="false" ht="15" hidden="false" customHeight="true" outlineLevel="0" collapsed="false">
      <c r="A7" s="23" t="n">
        <v>3</v>
      </c>
      <c r="B7" s="23" t="s">
        <v>1315</v>
      </c>
      <c r="C7" s="23" t="s">
        <v>1316</v>
      </c>
      <c r="D7" s="80" t="s">
        <v>1308</v>
      </c>
      <c r="E7" s="25" t="s">
        <v>1309</v>
      </c>
      <c r="F7" s="113" t="str">
        <f aca="false">IF('05_PLANT_CAPEX'!$C$18=3,"MET","NOT MET")</f>
        <v>NOT MET</v>
      </c>
      <c r="G7" s="116" t="s">
        <v>1317</v>
      </c>
      <c r="H7" s="23" t="s">
        <v>1311</v>
      </c>
      <c r="I7" s="23" t="s">
        <v>1312</v>
      </c>
    </row>
    <row r="8" customFormat="false" ht="15" hidden="false" customHeight="true" outlineLevel="0" collapsed="false">
      <c r="A8" s="23" t="n">
        <v>4</v>
      </c>
      <c r="B8" s="23" t="s">
        <v>1318</v>
      </c>
      <c r="C8" s="23" t="s">
        <v>1316</v>
      </c>
      <c r="D8" s="80" t="s">
        <v>1308</v>
      </c>
      <c r="E8" s="47" t="s">
        <v>616</v>
      </c>
      <c r="F8" s="113" t="str">
        <f aca="false">IF(OR(E8="MET",E8="PARTIAL",E8="NOT MET"),E8,"NO EVIDENCE")</f>
        <v>PARTIAL</v>
      </c>
      <c r="G8" s="23" t="s">
        <v>1314</v>
      </c>
      <c r="H8" s="23" t="s">
        <v>1311</v>
      </c>
      <c r="I8" s="23" t="s">
        <v>1312</v>
      </c>
    </row>
    <row r="9" customFormat="false" ht="15" hidden="false" customHeight="true" outlineLevel="0" collapsed="false">
      <c r="A9" s="23" t="n">
        <v>5</v>
      </c>
      <c r="B9" s="23" t="s">
        <v>1319</v>
      </c>
      <c r="C9" s="23" t="s">
        <v>1320</v>
      </c>
      <c r="D9" s="80" t="s">
        <v>1308</v>
      </c>
      <c r="E9" s="25" t="s">
        <v>1309</v>
      </c>
      <c r="F9" s="113" t="str">
        <f aca="false">IF('13_REGULATION'!$C$29=3,"MET","NOT MET")</f>
        <v>NOT MET</v>
      </c>
      <c r="G9" s="116" t="s">
        <v>1321</v>
      </c>
      <c r="H9" s="23" t="s">
        <v>1322</v>
      </c>
      <c r="I9" s="23" t="s">
        <v>1323</v>
      </c>
    </row>
    <row r="10" customFormat="false" ht="15" hidden="false" customHeight="true" outlineLevel="0" collapsed="false">
      <c r="A10" s="23" t="n">
        <v>6</v>
      </c>
      <c r="B10" s="23" t="s">
        <v>1324</v>
      </c>
      <c r="C10" s="23" t="s">
        <v>1320</v>
      </c>
      <c r="D10" s="80" t="s">
        <v>1308</v>
      </c>
      <c r="E10" s="25" t="s">
        <v>1309</v>
      </c>
      <c r="F10" s="113" t="str">
        <f aca="false">IF('13_REGULATION'!$C$30&gt;=2,"MET","NOT MET")</f>
        <v>MET</v>
      </c>
      <c r="G10" s="116" t="s">
        <v>1325</v>
      </c>
      <c r="H10" s="23" t="s">
        <v>1322</v>
      </c>
      <c r="I10" s="23" t="s">
        <v>1323</v>
      </c>
    </row>
    <row r="11" customFormat="false" ht="15" hidden="false" customHeight="true" outlineLevel="0" collapsed="false">
      <c r="A11" s="23" t="n">
        <v>7</v>
      </c>
      <c r="B11" s="23" t="s">
        <v>1326</v>
      </c>
      <c r="C11" s="23" t="s">
        <v>1327</v>
      </c>
      <c r="D11" s="80" t="s">
        <v>1308</v>
      </c>
      <c r="E11" s="47" t="s">
        <v>616</v>
      </c>
      <c r="F11" s="113" t="str">
        <f aca="false">IF(OR(E11="MET",E11="PARTIAL",E11="NOT MET"),E11,"NO EVIDENCE")</f>
        <v>PARTIAL</v>
      </c>
      <c r="G11" s="23" t="s">
        <v>1314</v>
      </c>
      <c r="H11" s="23" t="s">
        <v>1322</v>
      </c>
      <c r="I11" s="23" t="s">
        <v>1323</v>
      </c>
    </row>
    <row r="12" customFormat="false" ht="15" hidden="false" customHeight="true" outlineLevel="0" collapsed="false">
      <c r="A12" s="23" t="n">
        <v>8</v>
      </c>
      <c r="B12" s="23" t="s">
        <v>1328</v>
      </c>
      <c r="C12" s="23" t="s">
        <v>1327</v>
      </c>
      <c r="D12" s="80" t="s">
        <v>1308</v>
      </c>
      <c r="E12" s="47" t="s">
        <v>1329</v>
      </c>
      <c r="F12" s="113" t="str">
        <f aca="false">IF(OR(E12="MET",E12="PARTIAL",E12="NOT MET"),E12,"NO EVIDENCE")</f>
        <v>NOT MET</v>
      </c>
      <c r="G12" s="23" t="s">
        <v>1314</v>
      </c>
      <c r="H12" s="23" t="s">
        <v>1322</v>
      </c>
      <c r="I12" s="23" t="s">
        <v>1323</v>
      </c>
    </row>
    <row r="13" customFormat="false" ht="15" hidden="false" customHeight="true" outlineLevel="0" collapsed="false">
      <c r="A13" s="23" t="n">
        <v>9</v>
      </c>
      <c r="B13" s="23" t="s">
        <v>1330</v>
      </c>
      <c r="C13" s="23" t="s">
        <v>1331</v>
      </c>
      <c r="D13" s="80" t="s">
        <v>1308</v>
      </c>
      <c r="E13" s="47" t="s">
        <v>616</v>
      </c>
      <c r="F13" s="113" t="str">
        <f aca="false">IF(OR(E13="MET",E13="PARTIAL",E13="NOT MET"),E13,"NO EVIDENCE")</f>
        <v>PARTIAL</v>
      </c>
      <c r="G13" s="23" t="s">
        <v>1314</v>
      </c>
      <c r="H13" s="23" t="s">
        <v>1322</v>
      </c>
      <c r="I13" s="23" t="s">
        <v>1323</v>
      </c>
    </row>
    <row r="14" customFormat="false" ht="15" hidden="false" customHeight="true" outlineLevel="0" collapsed="false">
      <c r="A14" s="23" t="n">
        <v>10</v>
      </c>
      <c r="B14" s="23" t="s">
        <v>1332</v>
      </c>
      <c r="C14" s="23" t="s">
        <v>1331</v>
      </c>
      <c r="D14" s="80" t="s">
        <v>1308</v>
      </c>
      <c r="E14" s="47" t="s">
        <v>616</v>
      </c>
      <c r="F14" s="113" t="str">
        <f aca="false">IF(OR(E14="MET",E14="PARTIAL",E14="NOT MET"),E14,"NO EVIDENCE")</f>
        <v>PARTIAL</v>
      </c>
      <c r="G14" s="23" t="s">
        <v>1314</v>
      </c>
      <c r="H14" s="23" t="s">
        <v>1322</v>
      </c>
      <c r="I14" s="23" t="s">
        <v>1323</v>
      </c>
    </row>
    <row r="15" customFormat="false" ht="15" hidden="false" customHeight="true" outlineLevel="0" collapsed="false">
      <c r="A15" s="23" t="n">
        <v>11</v>
      </c>
      <c r="B15" s="23" t="s">
        <v>1333</v>
      </c>
      <c r="C15" s="23" t="s">
        <v>1334</v>
      </c>
      <c r="D15" s="80" t="s">
        <v>1308</v>
      </c>
      <c r="E15" s="25" t="s">
        <v>1309</v>
      </c>
      <c r="F15" s="113" t="str">
        <f aca="false">IF('08_TRANSMISSION'!$C$21=1,"MET","NOT MET")</f>
        <v>MET</v>
      </c>
      <c r="G15" s="116" t="s">
        <v>1335</v>
      </c>
      <c r="H15" s="23" t="s">
        <v>1336</v>
      </c>
      <c r="I15" s="23" t="s">
        <v>1157</v>
      </c>
    </row>
    <row r="16" customFormat="false" ht="15" hidden="false" customHeight="true" outlineLevel="0" collapsed="false">
      <c r="A16" s="23" t="n">
        <v>12</v>
      </c>
      <c r="B16" s="23" t="s">
        <v>1337</v>
      </c>
      <c r="C16" s="23" t="s">
        <v>1334</v>
      </c>
      <c r="D16" s="80" t="s">
        <v>1338</v>
      </c>
      <c r="E16" s="25" t="s">
        <v>1309</v>
      </c>
      <c r="F16" s="113" t="str">
        <f aca="false">IF('08_TRANSMISSION'!$C$26&lt;=0,"MET","NOT MET")</f>
        <v>MET</v>
      </c>
      <c r="G16" s="116" t="s">
        <v>1339</v>
      </c>
      <c r="H16" s="23" t="s">
        <v>1336</v>
      </c>
      <c r="I16" s="23" t="s">
        <v>1157</v>
      </c>
    </row>
    <row r="17" customFormat="false" ht="15" hidden="false" customHeight="true" outlineLevel="0" collapsed="false">
      <c r="A17" s="23" t="n">
        <v>13</v>
      </c>
      <c r="B17" s="23" t="s">
        <v>1340</v>
      </c>
      <c r="C17" s="23" t="s">
        <v>1341</v>
      </c>
      <c r="D17" s="80" t="s">
        <v>1308</v>
      </c>
      <c r="E17" s="47" t="s">
        <v>616</v>
      </c>
      <c r="F17" s="113" t="str">
        <f aca="false">IF(OR(E17="MET",E17="PARTIAL",E17="NOT MET"),E17,"NO EVIDENCE")</f>
        <v>PARTIAL</v>
      </c>
      <c r="G17" s="23" t="s">
        <v>1314</v>
      </c>
      <c r="H17" s="23" t="s">
        <v>1342</v>
      </c>
      <c r="I17" s="23" t="s">
        <v>1312</v>
      </c>
    </row>
    <row r="18" customFormat="false" ht="15" hidden="false" customHeight="true" outlineLevel="0" collapsed="false">
      <c r="A18" s="23" t="n">
        <v>14</v>
      </c>
      <c r="B18" s="23" t="s">
        <v>1343</v>
      </c>
      <c r="C18" s="23" t="s">
        <v>1344</v>
      </c>
      <c r="D18" s="80" t="s">
        <v>1338</v>
      </c>
      <c r="E18" s="47" t="s">
        <v>616</v>
      </c>
      <c r="F18" s="113" t="str">
        <f aca="false">IF(OR(E18="MET",E18="PARTIAL",E18="NOT MET"),E18,"NO EVIDENCE")</f>
        <v>PARTIAL</v>
      </c>
      <c r="G18" s="23" t="s">
        <v>1314</v>
      </c>
      <c r="H18" s="23" t="s">
        <v>1342</v>
      </c>
      <c r="I18" s="23" t="s">
        <v>1312</v>
      </c>
    </row>
    <row r="19" customFormat="false" ht="15" hidden="false" customHeight="true" outlineLevel="0" collapsed="false">
      <c r="A19" s="23" t="n">
        <v>15</v>
      </c>
      <c r="B19" s="23" t="s">
        <v>1345</v>
      </c>
      <c r="C19" s="23" t="s">
        <v>1346</v>
      </c>
      <c r="D19" s="80" t="s">
        <v>1308</v>
      </c>
      <c r="E19" s="25" t="s">
        <v>1309</v>
      </c>
      <c r="F19" s="113" t="str">
        <f aca="false">IF('11_OFFTAKER'!$C$8&gt;=6,"MET","NOT MET")</f>
        <v>NOT MET</v>
      </c>
      <c r="G19" s="116" t="s">
        <v>1347</v>
      </c>
      <c r="H19" s="23" t="s">
        <v>1348</v>
      </c>
      <c r="I19" s="23" t="s">
        <v>1157</v>
      </c>
    </row>
    <row r="20" customFormat="false" ht="15" hidden="false" customHeight="true" outlineLevel="0" collapsed="false">
      <c r="A20" s="23" t="n">
        <v>16</v>
      </c>
      <c r="B20" s="23" t="s">
        <v>1349</v>
      </c>
      <c r="C20" s="23" t="s">
        <v>1346</v>
      </c>
      <c r="D20" s="80" t="s">
        <v>1308</v>
      </c>
      <c r="E20" s="25" t="s">
        <v>1309</v>
      </c>
      <c r="F20" s="113" t="str">
        <f aca="false">IF('12_UTILITY'!$C$45&gt;=1.2,"MET","NOT MET")</f>
        <v>MET</v>
      </c>
      <c r="G20" s="116" t="s">
        <v>1350</v>
      </c>
      <c r="H20" s="23" t="s">
        <v>1348</v>
      </c>
      <c r="I20" s="23" t="s">
        <v>1157</v>
      </c>
    </row>
    <row r="21" customFormat="false" ht="15" hidden="false" customHeight="true" outlineLevel="0" collapsed="false">
      <c r="A21" s="23" t="n">
        <v>17</v>
      </c>
      <c r="B21" s="23" t="s">
        <v>1351</v>
      </c>
      <c r="C21" s="23" t="s">
        <v>1352</v>
      </c>
      <c r="D21" s="80" t="s">
        <v>1308</v>
      </c>
      <c r="E21" s="25" t="s">
        <v>1309</v>
      </c>
      <c r="F21" s="113" t="str">
        <f aca="false">IF('17_PROJECT_FINANCE'!$C$27&lt;=0.5,"MET","NOT MET")</f>
        <v>NOT MET</v>
      </c>
      <c r="G21" s="116" t="s">
        <v>1353</v>
      </c>
      <c r="H21" s="23" t="s">
        <v>1354</v>
      </c>
      <c r="I21" s="23" t="s">
        <v>1355</v>
      </c>
    </row>
    <row r="22" customFormat="false" ht="15" hidden="false" customHeight="true" outlineLevel="0" collapsed="false">
      <c r="A22" s="23" t="n">
        <v>18</v>
      </c>
      <c r="B22" s="23" t="s">
        <v>1356</v>
      </c>
      <c r="C22" s="23" t="s">
        <v>1352</v>
      </c>
      <c r="D22" s="80" t="s">
        <v>1308</v>
      </c>
      <c r="E22" s="25" t="s">
        <v>1309</v>
      </c>
      <c r="F22" s="113" t="str">
        <f aca="false">IF(AND('17_PROJECT_FINANCE'!$C$17+'17_PROJECT_FINANCE'!$C$16&gt;0,'17_PROJECT_FINANCE'!$C$37&gt;='17A_STRUCTURES'!$C$22),"MET","NOT MET")</f>
        <v>MET</v>
      </c>
      <c r="G22" s="116" t="s">
        <v>1357</v>
      </c>
      <c r="H22" s="23" t="s">
        <v>1354</v>
      </c>
      <c r="I22" s="23" t="s">
        <v>1355</v>
      </c>
    </row>
    <row r="23" customFormat="false" ht="15" hidden="false" customHeight="true" outlineLevel="0" collapsed="false">
      <c r="A23" s="23" t="n">
        <v>19</v>
      </c>
      <c r="B23" s="23" t="s">
        <v>1358</v>
      </c>
      <c r="C23" s="23" t="s">
        <v>1352</v>
      </c>
      <c r="D23" s="80" t="s">
        <v>1308</v>
      </c>
      <c r="E23" s="25" t="s">
        <v>1309</v>
      </c>
      <c r="F23" s="113" t="str">
        <f aca="false">IF(IF(ISNUMBER('17_PROJECT_FINANCE'!$C$33),'17_PROJECT_FINANCE'!$C$33&gt;='17A_STRUCTURES'!$C$23,'17_PROJECT_FINANCE'!$C$20&lt;=0),"MET","NOT MET")</f>
        <v>NOT MET</v>
      </c>
      <c r="G23" s="116" t="s">
        <v>1359</v>
      </c>
      <c r="H23" s="23" t="s">
        <v>1360</v>
      </c>
      <c r="I23" s="23" t="s">
        <v>1158</v>
      </c>
    </row>
    <row r="24" customFormat="false" ht="15" hidden="false" customHeight="true" outlineLevel="0" collapsed="false">
      <c r="A24" s="23" t="n">
        <v>20</v>
      </c>
      <c r="B24" s="23" t="s">
        <v>1361</v>
      </c>
      <c r="C24" s="23" t="s">
        <v>1156</v>
      </c>
      <c r="D24" s="80" t="s">
        <v>1338</v>
      </c>
      <c r="E24" s="47" t="s">
        <v>1362</v>
      </c>
      <c r="F24" s="113" t="str">
        <f aca="false">IF(OR(E24="MET",E24="PARTIAL",E24="NOT MET"),E24,"NO EVIDENCE")</f>
        <v>NO EVIDENCE</v>
      </c>
      <c r="G24" s="23" t="s">
        <v>1314</v>
      </c>
      <c r="H24" s="23" t="s">
        <v>1354</v>
      </c>
      <c r="I24" s="23" t="s">
        <v>1355</v>
      </c>
    </row>
    <row r="25" customFormat="false" ht="15" hidden="false" customHeight="true" outlineLevel="0" collapsed="false">
      <c r="A25" s="23" t="n">
        <v>21</v>
      </c>
      <c r="B25" s="23" t="s">
        <v>1363</v>
      </c>
      <c r="C25" s="23" t="s">
        <v>1364</v>
      </c>
      <c r="D25" s="80" t="s">
        <v>1308</v>
      </c>
      <c r="E25" s="25" t="s">
        <v>1309</v>
      </c>
      <c r="F25" s="113" t="str">
        <f aca="false">IF(LEFT('26_DEBT_SUSTAINABILITY'!$C$35,4)&lt;&gt;"HIGH","MET","NOT MET")</f>
        <v>MET</v>
      </c>
      <c r="G25" s="116" t="s">
        <v>1365</v>
      </c>
      <c r="H25" s="23" t="s">
        <v>1348</v>
      </c>
      <c r="I25" s="23" t="s">
        <v>1157</v>
      </c>
    </row>
    <row r="26" customFormat="false" ht="15" hidden="false" customHeight="true" outlineLevel="0" collapsed="false">
      <c r="A26" s="23" t="n">
        <v>22</v>
      </c>
      <c r="B26" s="23" t="s">
        <v>1366</v>
      </c>
      <c r="C26" s="23" t="s">
        <v>1156</v>
      </c>
      <c r="D26" s="80" t="s">
        <v>1338</v>
      </c>
      <c r="E26" s="47" t="s">
        <v>616</v>
      </c>
      <c r="F26" s="113" t="str">
        <f aca="false">IF(OR(E26="MET",E26="PARTIAL",E26="NOT MET"),E26,"NO EVIDENCE")</f>
        <v>PARTIAL</v>
      </c>
      <c r="G26" s="23" t="s">
        <v>1314</v>
      </c>
      <c r="H26" s="23" t="s">
        <v>1342</v>
      </c>
      <c r="I26" s="23" t="s">
        <v>1312</v>
      </c>
    </row>
    <row r="27" customFormat="false" ht="15" hidden="false" customHeight="true" outlineLevel="0" collapsed="false">
      <c r="A27" s="23" t="n">
        <v>23</v>
      </c>
      <c r="B27" s="23" t="s">
        <v>1367</v>
      </c>
      <c r="C27" s="23" t="s">
        <v>1352</v>
      </c>
      <c r="D27" s="80" t="s">
        <v>1338</v>
      </c>
      <c r="E27" s="47" t="s">
        <v>1362</v>
      </c>
      <c r="F27" s="113" t="str">
        <f aca="false">IF(OR(E27="MET",E27="PARTIAL",E27="NOT MET"),E27,"NO EVIDENCE")</f>
        <v>NO EVIDENCE</v>
      </c>
      <c r="G27" s="23" t="s">
        <v>1314</v>
      </c>
      <c r="H27" s="23" t="s">
        <v>1354</v>
      </c>
      <c r="I27" s="23" t="s">
        <v>1355</v>
      </c>
    </row>
    <row r="29" customFormat="false" ht="15" hidden="false" customHeight="true" outlineLevel="0" collapsed="false">
      <c r="A29" s="19" t="s">
        <v>12</v>
      </c>
      <c r="B29" s="23" t="s">
        <v>115</v>
      </c>
      <c r="C29" s="75" t="n">
        <f aca="false">COUNTIF(F5:F27,"MET")</f>
        <v>6</v>
      </c>
    </row>
    <row r="30" customFormat="false" ht="15" hidden="false" customHeight="true" outlineLevel="0" collapsed="false">
      <c r="A30" s="23" t="s">
        <v>1368</v>
      </c>
      <c r="B30" s="23" t="s">
        <v>115</v>
      </c>
      <c r="C30" s="29" t="n">
        <f aca="false">ROWS(F5:F27)</f>
        <v>23</v>
      </c>
    </row>
    <row r="31" customFormat="false" ht="15" hidden="false" customHeight="true" outlineLevel="0" collapsed="false">
      <c r="A31" s="19" t="s">
        <v>1369</v>
      </c>
      <c r="B31" s="23" t="s">
        <v>115</v>
      </c>
      <c r="C31" s="75" t="n">
        <f aca="false">COUNTIFS(D5:D27,"Y",F5:F27,"NOT MET")</f>
        <v>7</v>
      </c>
    </row>
    <row r="32" customFormat="false" ht="15" hidden="false" customHeight="true" outlineLevel="0" collapsed="false">
      <c r="A32" s="23" t="s">
        <v>1370</v>
      </c>
      <c r="B32" s="23" t="s">
        <v>115</v>
      </c>
      <c r="C32" s="29" t="n">
        <f aca="false">COUNTIFS(D5:D27,"Y",F5:F27,"NO EVIDENCE")</f>
        <v>0</v>
      </c>
    </row>
    <row r="33" customFormat="false" ht="15" hidden="false" customHeight="true" outlineLevel="0" collapsed="false">
      <c r="A33" s="23" t="s">
        <v>1371</v>
      </c>
      <c r="B33" s="23" t="s">
        <v>115</v>
      </c>
      <c r="C33" s="29" t="n">
        <f aca="false">COUNTIFS(D5:D27,"Y",F5:F27,"PARTIAL")</f>
        <v>6</v>
      </c>
    </row>
    <row r="34" customFormat="false" ht="15" hidden="false" customHeight="true" outlineLevel="0" collapsed="false">
      <c r="A34" s="19" t="s">
        <v>1372</v>
      </c>
      <c r="B34" s="23"/>
      <c r="C34" s="103" t="str">
        <f aca="false">IF('30A_CLOSE_READINESS'!$C$31&gt;0,"STOP : une porte critique n'est pas franchie",IF('30A_CLOSE_READINESS'!$C$32&gt;0,"STOP : preuve critique manquante",IF('30A_CLOSE_READINESS'!$C$33&gt;0,"NOT READY : portes critiques en partie franchies",IF('30A_CLOSE_READINESS'!$C$29='30A_CLOSE_READINESS'!$C$30,"GO : dossier de preuves complet pour décider du bouclage","CONDITIONAL GO : toutes les portes critiques franchies"))))</f>
        <v>STOP : une porte critique n'est pas franchie</v>
      </c>
    </row>
    <row r="36" customFormat="false" ht="15" hidden="false" customHeight="true" outlineLevel="0" collapsed="false">
      <c r="A36" s="25" t="s">
        <v>1373</v>
      </c>
    </row>
    <row r="38" customFormat="false" ht="15" hidden="false" customHeight="true" outlineLevel="0" collapsed="false">
      <c r="A38" s="21" t="s">
        <v>1374</v>
      </c>
      <c r="B38" s="22"/>
      <c r="C38" s="22"/>
      <c r="D38" s="22"/>
      <c r="E38" s="22"/>
      <c r="F38" s="22"/>
      <c r="G38" s="22"/>
      <c r="H38" s="22"/>
      <c r="I38" s="22"/>
      <c r="J38" s="22"/>
    </row>
    <row r="39" customFormat="false" ht="15" hidden="false" customHeight="true" outlineLevel="0" collapsed="false">
      <c r="B39" s="34" t="s">
        <v>1375</v>
      </c>
      <c r="C39" s="34" t="s">
        <v>1305</v>
      </c>
      <c r="D39" s="34" t="s">
        <v>1368</v>
      </c>
      <c r="E39" s="34" t="s">
        <v>1376</v>
      </c>
      <c r="F39" s="34" t="s">
        <v>1377</v>
      </c>
    </row>
    <row r="40" customFormat="false" ht="15" hidden="false" customHeight="true" outlineLevel="0" collapsed="false">
      <c r="B40" s="23" t="s">
        <v>1311</v>
      </c>
      <c r="C40" s="23" t="s">
        <v>1312</v>
      </c>
      <c r="D40" s="69" t="n">
        <f aca="false">COUNTIF(H5:H27,B40)</f>
        <v>4</v>
      </c>
      <c r="E40" s="69" t="n">
        <f aca="false">COUNTIFS(H5:H27,B40,F5:F27,"MET")</f>
        <v>0</v>
      </c>
      <c r="F40" s="69" t="n">
        <f aca="false">COUNTIFS(H5:H27,B40,D5:D27,"Y",F5:F27,"NOT MET")+COUNTIFS(H5:H27,B40,D5:D27,"Y",F5:F27,"NO EVIDENCE")</f>
        <v>2</v>
      </c>
    </row>
    <row r="41" customFormat="false" ht="15" hidden="false" customHeight="true" outlineLevel="0" collapsed="false">
      <c r="B41" s="23" t="s">
        <v>1322</v>
      </c>
      <c r="C41" s="23" t="s">
        <v>1323</v>
      </c>
      <c r="D41" s="69" t="n">
        <f aca="false">COUNTIF(H5:H27,B41)</f>
        <v>6</v>
      </c>
      <c r="E41" s="69" t="n">
        <f aca="false">COUNTIFS(H5:H27,B41,F5:F27,"MET")</f>
        <v>1</v>
      </c>
      <c r="F41" s="69" t="n">
        <f aca="false">COUNTIFS(H5:H27,B41,D5:D27,"Y",F5:F27,"NOT MET")+COUNTIFS(H5:H27,B41,D5:D27,"Y",F5:F27,"NO EVIDENCE")</f>
        <v>2</v>
      </c>
    </row>
    <row r="42" customFormat="false" ht="15" hidden="false" customHeight="true" outlineLevel="0" collapsed="false">
      <c r="B42" s="23" t="s">
        <v>1336</v>
      </c>
      <c r="C42" s="23" t="s">
        <v>1157</v>
      </c>
      <c r="D42" s="69" t="n">
        <f aca="false">COUNTIF(H5:H27,B42)</f>
        <v>2</v>
      </c>
      <c r="E42" s="69" t="n">
        <f aca="false">COUNTIFS(H5:H27,B42,F5:F27,"MET")</f>
        <v>2</v>
      </c>
      <c r="F42" s="69" t="n">
        <f aca="false">COUNTIFS(H5:H27,B42,D5:D27,"Y",F5:F27,"NOT MET")+COUNTIFS(H5:H27,B42,D5:D27,"Y",F5:F27,"NO EVIDENCE")</f>
        <v>0</v>
      </c>
    </row>
    <row r="43" customFormat="false" ht="15" hidden="false" customHeight="true" outlineLevel="0" collapsed="false">
      <c r="B43" s="23" t="s">
        <v>1360</v>
      </c>
      <c r="C43" s="23" t="s">
        <v>1158</v>
      </c>
      <c r="D43" s="69" t="n">
        <f aca="false">COUNTIF(H5:H27,B43)</f>
        <v>1</v>
      </c>
      <c r="E43" s="69" t="n">
        <f aca="false">COUNTIFS(H5:H27,B43,F5:F27,"MET")</f>
        <v>0</v>
      </c>
      <c r="F43" s="69" t="n">
        <f aca="false">COUNTIFS(H5:H27,B43,D5:D27,"Y",F5:F27,"NOT MET")+COUNTIFS(H5:H27,B43,D5:D27,"Y",F5:F27,"NO EVIDENCE")</f>
        <v>1</v>
      </c>
    </row>
    <row r="44" customFormat="false" ht="15" hidden="false" customHeight="true" outlineLevel="0" collapsed="false">
      <c r="B44" s="23" t="s">
        <v>1354</v>
      </c>
      <c r="C44" s="23" t="s">
        <v>1355</v>
      </c>
      <c r="D44" s="69" t="n">
        <f aca="false">COUNTIF(H5:H27,B44)</f>
        <v>4</v>
      </c>
      <c r="E44" s="69" t="n">
        <f aca="false">COUNTIFS(H5:H27,B44,F5:F27,"MET")</f>
        <v>1</v>
      </c>
      <c r="F44" s="69" t="n">
        <f aca="false">COUNTIFS(H5:H27,B44,D5:D27,"Y",F5:F27,"NOT MET")+COUNTIFS(H5:H27,B44,D5:D27,"Y",F5:F27,"NO EVIDENCE")</f>
        <v>1</v>
      </c>
    </row>
    <row r="45" customFormat="false" ht="15" hidden="false" customHeight="true" outlineLevel="0" collapsed="false">
      <c r="B45" s="23" t="s">
        <v>1342</v>
      </c>
      <c r="C45" s="23" t="s">
        <v>1312</v>
      </c>
      <c r="D45" s="69" t="n">
        <f aca="false">COUNTIF(H5:H27,B45)</f>
        <v>3</v>
      </c>
      <c r="E45" s="69" t="n">
        <f aca="false">COUNTIFS(H5:H27,B45,F5:F27,"MET")</f>
        <v>0</v>
      </c>
      <c r="F45" s="69" t="n">
        <f aca="false">COUNTIFS(H5:H27,B45,D5:D27,"Y",F5:F27,"NOT MET")+COUNTIFS(H5:H27,B45,D5:D27,"Y",F5:F27,"NO EVIDENCE")</f>
        <v>0</v>
      </c>
    </row>
    <row r="46" customFormat="false" ht="15" hidden="false" customHeight="true" outlineLevel="0" collapsed="false">
      <c r="B46" s="23" t="s">
        <v>1348</v>
      </c>
      <c r="C46" s="23" t="s">
        <v>1157</v>
      </c>
      <c r="D46" s="69" t="n">
        <f aca="false">COUNTIF(H5:H27,B46)</f>
        <v>3</v>
      </c>
      <c r="E46" s="69" t="n">
        <f aca="false">COUNTIFS(H5:H27,B46,F5:F27,"MET")</f>
        <v>2</v>
      </c>
      <c r="F46" s="69" t="n">
        <f aca="false">COUNTIFS(H5:H27,B46,D5:D27,"Y",F5:F27,"NOT MET")+COUNTIFS(H5:H27,B46,D5:D27,"Y",F5:F27,"NO EVIDENCE")</f>
        <v>1</v>
      </c>
    </row>
    <row r="47" customFormat="false" ht="15" hidden="false" customHeight="true" outlineLevel="0" collapsed="false">
      <c r="B47" s="19" t="s">
        <v>1378</v>
      </c>
      <c r="C47" s="23" t="s">
        <v>1379</v>
      </c>
      <c r="D47" s="69" t="n">
        <f aca="false">'30A_CLOSE_READINESS'!$C$30</f>
        <v>23</v>
      </c>
      <c r="E47" s="69" t="n">
        <f aca="false">'30A_CLOSE_READINESS'!$C$29</f>
        <v>6</v>
      </c>
      <c r="F47" s="69" t="n">
        <f aca="false">'30A_CLOSE_READINESS'!$C$31+'30A_CLOSE_READINESS'!$C$32</f>
        <v>7</v>
      </c>
    </row>
  </sheetData>
  <conditionalFormatting sqref="F5:F27">
    <cfRule type="cellIs" priority="2" operator="equal" aboveAverage="0" equalAverage="0" bottom="0" percent="0" rank="0" text="" dxfId="0">
      <formula>"MET"</formula>
    </cfRule>
    <cfRule type="cellIs" priority="3" operator="equal" aboveAverage="0" equalAverage="0" bottom="0" percent="0" rank="0" text="" dxfId="1">
      <formula>"PARTIAL"</formula>
    </cfRule>
    <cfRule type="cellIs" priority="4" operator="equal" aboveAverage="0" equalAverage="0" bottom="0" percent="0" rank="0" text="" dxfId="3">
      <formula>"NOT MET"</formula>
    </cfRule>
    <cfRule type="cellIs" priority="5" operator="equal" aboveAverage="0" equalAverage="0" bottom="0" percent="0" rank="0" text="" dxfId="4">
      <formula>"NO EVIDENCE"</formula>
    </cfRule>
  </conditionalFormatting>
  <dataValidations count="1">
    <dataValidation allowBlank="false" error="Enter one of the allowed values shown in the label." errorStyle="stop" errorTitle="Invalid input" operator="between" showDropDown="false" showErrorMessage="true" showInputMessage="false" sqref="E5:E27" type="list">
      <formula1>"MET,PARTIAL,NOT MET,NO EVIDENCE"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6.9"/>
    <col collapsed="false" customWidth="true" hidden="false" outlineLevel="0" max="2" min="2" style="1" width="16"/>
    <col collapsed="false" customWidth="true" hidden="false" outlineLevel="0" max="3" min="3" style="1" width="28"/>
    <col collapsed="false" customWidth="true" hidden="false" outlineLevel="0" max="4" min="4" style="1" width="9"/>
    <col collapsed="false" customWidth="true" hidden="false" outlineLevel="0" max="5" min="5" style="1" width="34"/>
    <col collapsed="false" customWidth="true" hidden="false" outlineLevel="0" max="7" min="6" style="1" width="12"/>
    <col collapsed="false" customWidth="true" hidden="false" outlineLevel="0" max="8" min="8" style="1" width="30"/>
    <col collapsed="false" customWidth="true" hidden="false" outlineLevel="0" max="9" min="9" style="1" width="28"/>
    <col collapsed="false" customWidth="true" hidden="false" outlineLevel="0" max="10" min="10" style="1" width="40"/>
    <col collapsed="false" customWidth="true" hidden="false" outlineLevel="0" max="11" min="11" style="1" width="44"/>
    <col collapsed="false" customWidth="true" hidden="false" outlineLevel="0" max="12" min="12" style="1" width="30"/>
  </cols>
  <sheetData>
    <row r="1" customFormat="false" ht="17.25" hidden="false" customHeight="true" outlineLevel="0" collapsed="false">
      <c r="A1" s="16" t="s">
        <v>1380</v>
      </c>
      <c r="B1" s="17"/>
      <c r="C1" s="17"/>
      <c r="D1" s="17"/>
      <c r="E1" s="17"/>
      <c r="F1" s="17"/>
      <c r="G1" s="17"/>
      <c r="H1" s="17"/>
      <c r="I1" s="17"/>
      <c r="J1" s="17"/>
    </row>
    <row r="2" customFormat="false" ht="15" hidden="false" customHeight="true" outlineLevel="0" collapsed="false">
      <c r="A2" s="18" t="s">
        <v>1381</v>
      </c>
      <c r="B2" s="17"/>
      <c r="C2" s="17"/>
      <c r="D2" s="17"/>
      <c r="E2" s="17"/>
      <c r="F2" s="17"/>
      <c r="G2" s="17"/>
      <c r="H2" s="17"/>
      <c r="I2" s="17"/>
      <c r="J2" s="17"/>
    </row>
    <row r="4" customFormat="false" ht="34.5" hidden="false" customHeight="true" outlineLevel="0" collapsed="false">
      <c r="A4" s="105" t="s">
        <v>1382</v>
      </c>
      <c r="B4" s="105" t="s">
        <v>213</v>
      </c>
      <c r="C4" s="105" t="s">
        <v>776</v>
      </c>
      <c r="D4" s="105" t="s">
        <v>232</v>
      </c>
      <c r="E4" s="105" t="s">
        <v>1383</v>
      </c>
      <c r="F4" s="105" t="s">
        <v>1384</v>
      </c>
      <c r="G4" s="105" t="s">
        <v>1385</v>
      </c>
      <c r="H4" s="105" t="s">
        <v>49</v>
      </c>
      <c r="I4" s="105" t="s">
        <v>1386</v>
      </c>
      <c r="J4" s="105" t="s">
        <v>1387</v>
      </c>
      <c r="K4" s="105" t="s">
        <v>1388</v>
      </c>
      <c r="L4" s="105" t="s">
        <v>1389</v>
      </c>
    </row>
    <row r="5" customFormat="false" ht="34.5" hidden="false" customHeight="true" outlineLevel="0" collapsed="false">
      <c r="A5" s="20" t="s">
        <v>1390</v>
      </c>
      <c r="B5" s="20" t="s">
        <v>1391</v>
      </c>
      <c r="C5" s="20" t="s">
        <v>1392</v>
      </c>
      <c r="D5" s="117" t="n">
        <v>420</v>
      </c>
      <c r="E5" s="20" t="s">
        <v>1393</v>
      </c>
      <c r="F5" s="118" t="n">
        <v>1383</v>
      </c>
      <c r="G5" s="56" t="n">
        <f aca="false">IF(ISNUMBER(F5),F5/D5*1000,"n/a")</f>
        <v>3292.85714285714</v>
      </c>
      <c r="H5" s="20" t="s">
        <v>1394</v>
      </c>
      <c r="I5" s="20" t="s">
        <v>1395</v>
      </c>
      <c r="J5" s="20" t="s">
        <v>1396</v>
      </c>
      <c r="K5" s="20" t="s">
        <v>1397</v>
      </c>
      <c r="L5" s="20" t="s">
        <v>1398</v>
      </c>
    </row>
    <row r="6" customFormat="false" ht="23.25" hidden="false" customHeight="true" outlineLevel="0" collapsed="false">
      <c r="A6" s="20" t="s">
        <v>1399</v>
      </c>
      <c r="B6" s="20" t="s">
        <v>1400</v>
      </c>
      <c r="C6" s="20" t="s">
        <v>1401</v>
      </c>
      <c r="D6" s="117" t="n">
        <v>250</v>
      </c>
      <c r="E6" s="20" t="s">
        <v>1402</v>
      </c>
      <c r="F6" s="118" t="n">
        <v>862</v>
      </c>
      <c r="G6" s="56" t="n">
        <f aca="false">IF(ISNUMBER(F6),F6/D6*1000,"n/a")</f>
        <v>3448</v>
      </c>
      <c r="H6" s="20" t="s">
        <v>1403</v>
      </c>
      <c r="I6" s="20" t="s">
        <v>1404</v>
      </c>
      <c r="J6" s="20" t="s">
        <v>1405</v>
      </c>
      <c r="K6" s="20" t="s">
        <v>1406</v>
      </c>
      <c r="L6" s="20" t="s">
        <v>1407</v>
      </c>
    </row>
    <row r="7" customFormat="false" ht="23.25" hidden="false" customHeight="true" outlineLevel="0" collapsed="false">
      <c r="A7" s="20" t="s">
        <v>1408</v>
      </c>
      <c r="B7" s="20" t="s">
        <v>1409</v>
      </c>
      <c r="C7" s="20" t="s">
        <v>1410</v>
      </c>
      <c r="D7" s="117" t="n">
        <v>400</v>
      </c>
      <c r="E7" s="20" t="s">
        <v>1411</v>
      </c>
      <c r="F7" s="118" t="n">
        <v>790</v>
      </c>
      <c r="G7" s="56" t="n">
        <f aca="false">IF(ISNUMBER(F7),F7/D7*1000,"n/a")</f>
        <v>1975</v>
      </c>
      <c r="H7" s="20" t="s">
        <v>1412</v>
      </c>
      <c r="I7" s="20" t="s">
        <v>1413</v>
      </c>
      <c r="J7" s="20" t="s">
        <v>1414</v>
      </c>
      <c r="K7" s="20" t="s">
        <v>1415</v>
      </c>
      <c r="L7" s="20" t="s">
        <v>1416</v>
      </c>
    </row>
    <row r="8" customFormat="false" ht="23.25" hidden="false" customHeight="true" outlineLevel="0" collapsed="false">
      <c r="A8" s="20" t="s">
        <v>1417</v>
      </c>
      <c r="B8" s="20" t="s">
        <v>1418</v>
      </c>
      <c r="C8" s="20" t="s">
        <v>1419</v>
      </c>
      <c r="D8" s="117" t="n">
        <v>750</v>
      </c>
      <c r="E8" s="20" t="s">
        <v>1420</v>
      </c>
      <c r="F8" s="118" t="n">
        <v>2000</v>
      </c>
      <c r="G8" s="56" t="n">
        <f aca="false">IF(ISNUMBER(F8),F8/D8*1000,"n/a")</f>
        <v>2666.66666666667</v>
      </c>
      <c r="H8" s="20" t="s">
        <v>1421</v>
      </c>
      <c r="I8" s="20" t="s">
        <v>1422</v>
      </c>
      <c r="J8" s="20" t="s">
        <v>1423</v>
      </c>
      <c r="K8" s="20" t="s">
        <v>1424</v>
      </c>
      <c r="L8" s="20" t="s">
        <v>1425</v>
      </c>
    </row>
    <row r="9" customFormat="false" ht="15" hidden="false" customHeight="true" outlineLevel="0" collapsed="false">
      <c r="A9" s="20" t="s">
        <v>1426</v>
      </c>
      <c r="B9" s="20" t="s">
        <v>1400</v>
      </c>
      <c r="C9" s="20" t="s">
        <v>1427</v>
      </c>
      <c r="D9" s="117" t="n">
        <v>183</v>
      </c>
      <c r="E9" s="20" t="s">
        <v>1428</v>
      </c>
      <c r="F9" s="118" t="n">
        <v>567.7</v>
      </c>
      <c r="G9" s="56" t="n">
        <f aca="false">IF(ISNUMBER(F9),F9/D9*1000,"n/a")</f>
        <v>3102.18579234973</v>
      </c>
      <c r="H9" s="20" t="s">
        <v>1429</v>
      </c>
      <c r="I9" s="20" t="s">
        <v>1430</v>
      </c>
      <c r="J9" s="20" t="s">
        <v>1431</v>
      </c>
      <c r="K9" s="20" t="s">
        <v>1432</v>
      </c>
      <c r="L9" s="20" t="s">
        <v>1433</v>
      </c>
    </row>
    <row r="10" customFormat="false" ht="15" hidden="false" customHeight="true" outlineLevel="0" collapsed="false">
      <c r="A10" s="20" t="s">
        <v>1434</v>
      </c>
      <c r="B10" s="20" t="s">
        <v>1400</v>
      </c>
      <c r="C10" s="20" t="s">
        <v>1427</v>
      </c>
      <c r="D10" s="117" t="n">
        <v>600</v>
      </c>
      <c r="E10" s="20" t="s">
        <v>1435</v>
      </c>
      <c r="F10" s="118" t="n">
        <v>1700</v>
      </c>
      <c r="G10" s="56" t="n">
        <f aca="false">IF(ISNUMBER(F10),F10/D10*1000,"n/a")</f>
        <v>2833.33333333333</v>
      </c>
      <c r="H10" s="20" t="s">
        <v>1436</v>
      </c>
      <c r="I10" s="20" t="s">
        <v>1437</v>
      </c>
      <c r="J10" s="20" t="s">
        <v>1431</v>
      </c>
      <c r="K10" s="20" t="s">
        <v>1438</v>
      </c>
      <c r="L10" s="20" t="s">
        <v>1439</v>
      </c>
    </row>
    <row r="11" customFormat="false" ht="23.25" hidden="false" customHeight="true" outlineLevel="0" collapsed="false">
      <c r="A11" s="20" t="s">
        <v>1440</v>
      </c>
      <c r="B11" s="20" t="s">
        <v>1441</v>
      </c>
      <c r="C11" s="20" t="s">
        <v>1442</v>
      </c>
      <c r="D11" s="117" t="n">
        <v>2115</v>
      </c>
      <c r="E11" s="20" t="s">
        <v>1443</v>
      </c>
      <c r="F11" s="118" t="n">
        <v>2850</v>
      </c>
      <c r="G11" s="56" t="n">
        <f aca="false">IF(ISNUMBER(F11),F11/D11*1000,"n/a")</f>
        <v>1347.51773049645</v>
      </c>
      <c r="H11" s="20" t="s">
        <v>1444</v>
      </c>
      <c r="I11" s="20" t="s">
        <v>1445</v>
      </c>
      <c r="J11" s="20" t="s">
        <v>1446</v>
      </c>
      <c r="K11" s="20" t="s">
        <v>1447</v>
      </c>
      <c r="L11" s="20" t="s">
        <v>1448</v>
      </c>
    </row>
    <row r="12" customFormat="false" ht="34.5" hidden="false" customHeight="true" outlineLevel="0" collapsed="false">
      <c r="A12" s="20" t="s">
        <v>1449</v>
      </c>
      <c r="B12" s="20" t="s">
        <v>1450</v>
      </c>
      <c r="C12" s="20" t="s">
        <v>1451</v>
      </c>
      <c r="D12" s="117" t="n">
        <v>80</v>
      </c>
      <c r="E12" s="20" t="s">
        <v>1452</v>
      </c>
      <c r="F12" s="118" t="n">
        <v>468.9</v>
      </c>
      <c r="G12" s="56" t="n">
        <f aca="false">IF(ISNUMBER(F12),F12/D12*1000,"n/a")</f>
        <v>5861.25</v>
      </c>
      <c r="H12" s="20" t="s">
        <v>1453</v>
      </c>
      <c r="I12" s="20" t="s">
        <v>1454</v>
      </c>
      <c r="J12" s="20" t="s">
        <v>1455</v>
      </c>
      <c r="K12" s="20" t="s">
        <v>1456</v>
      </c>
      <c r="L12" s="20" t="s">
        <v>1457</v>
      </c>
    </row>
    <row r="13" customFormat="false" ht="23.25" hidden="false" customHeight="true" outlineLevel="0" collapsed="false">
      <c r="A13" s="20" t="s">
        <v>1458</v>
      </c>
      <c r="B13" s="20" t="s">
        <v>1459</v>
      </c>
      <c r="C13" s="20" t="s">
        <v>1460</v>
      </c>
      <c r="D13" s="117" t="n">
        <v>358.5</v>
      </c>
      <c r="E13" s="20" t="s">
        <v>1461</v>
      </c>
      <c r="F13" s="118" t="n">
        <v>1636</v>
      </c>
      <c r="G13" s="56" t="n">
        <f aca="false">IF(ISNUMBER(F13),F13/D13*1000,"n/a")</f>
        <v>4563.45885634589</v>
      </c>
      <c r="H13" s="20" t="s">
        <v>1462</v>
      </c>
      <c r="I13" s="20" t="s">
        <v>1463</v>
      </c>
      <c r="J13" s="20" t="s">
        <v>1464</v>
      </c>
      <c r="K13" s="20" t="s">
        <v>1465</v>
      </c>
      <c r="L13" s="20" t="s">
        <v>1466</v>
      </c>
    </row>
    <row r="14" customFormat="false" ht="23.25" hidden="false" customHeight="true" outlineLevel="0" collapsed="false">
      <c r="A14" s="20" t="s">
        <v>1467</v>
      </c>
      <c r="B14" s="20" t="s">
        <v>1468</v>
      </c>
      <c r="C14" s="20" t="s">
        <v>1469</v>
      </c>
      <c r="D14" s="117" t="n">
        <v>206</v>
      </c>
      <c r="E14" s="20" t="s">
        <v>1470</v>
      </c>
      <c r="F14" s="118" t="n">
        <v>760</v>
      </c>
      <c r="G14" s="56" t="n">
        <f aca="false">IF(ISNUMBER(F14),F14/D14*1000,"n/a")</f>
        <v>3689.32038834952</v>
      </c>
      <c r="H14" s="20" t="s">
        <v>1471</v>
      </c>
      <c r="I14" s="20" t="s">
        <v>1472</v>
      </c>
      <c r="J14" s="20" t="s">
        <v>1473</v>
      </c>
      <c r="K14" s="20" t="s">
        <v>1474</v>
      </c>
      <c r="L14" s="20" t="s">
        <v>1475</v>
      </c>
    </row>
    <row r="15" customFormat="false" ht="23.25" hidden="false" customHeight="true" outlineLevel="0" collapsed="false">
      <c r="A15" s="20" t="s">
        <v>1476</v>
      </c>
      <c r="B15" s="20" t="s">
        <v>1477</v>
      </c>
      <c r="C15" s="20" t="s">
        <v>1478</v>
      </c>
      <c r="D15" s="117" t="n">
        <v>5150</v>
      </c>
      <c r="E15" s="20" t="s">
        <v>1479</v>
      </c>
      <c r="F15" s="118" t="n">
        <v>5000</v>
      </c>
      <c r="G15" s="56" t="n">
        <f aca="false">IF(ISNUMBER(F15),F15/D15*1000,"n/a")</f>
        <v>970.873786407767</v>
      </c>
      <c r="H15" s="20" t="s">
        <v>1480</v>
      </c>
      <c r="I15" s="20" t="s">
        <v>1481</v>
      </c>
      <c r="J15" s="20" t="s">
        <v>1482</v>
      </c>
      <c r="K15" s="20" t="s">
        <v>1483</v>
      </c>
      <c r="L15" s="20" t="s">
        <v>1484</v>
      </c>
    </row>
    <row r="16" customFormat="false" ht="15" hidden="false" customHeight="true" outlineLevel="0" collapsed="false">
      <c r="A16" s="20" t="s">
        <v>1485</v>
      </c>
      <c r="B16" s="20" t="s">
        <v>1477</v>
      </c>
      <c r="C16" s="20" t="s">
        <v>1486</v>
      </c>
      <c r="D16" s="117" t="n">
        <v>1870</v>
      </c>
      <c r="E16" s="20" t="s">
        <v>1487</v>
      </c>
      <c r="F16" s="118"/>
      <c r="G16" s="56" t="str">
        <f aca="false">IF(ISNUMBER(F16),F16/D16*1000,"n/a")</f>
        <v>n/a</v>
      </c>
      <c r="H16" s="20" t="s">
        <v>1488</v>
      </c>
      <c r="I16" s="20" t="s">
        <v>1489</v>
      </c>
      <c r="J16" s="20" t="s">
        <v>1490</v>
      </c>
      <c r="K16" s="20" t="s">
        <v>1491</v>
      </c>
      <c r="L16" s="20" t="s">
        <v>1492</v>
      </c>
    </row>
    <row r="17" customFormat="false" ht="23.25" hidden="false" customHeight="true" outlineLevel="0" collapsed="false">
      <c r="A17" s="20" t="s">
        <v>1493</v>
      </c>
      <c r="B17" s="20" t="s">
        <v>1494</v>
      </c>
      <c r="C17" s="20" t="s">
        <v>1495</v>
      </c>
      <c r="D17" s="117" t="n">
        <v>1070</v>
      </c>
      <c r="E17" s="20" t="s">
        <v>1496</v>
      </c>
      <c r="F17" s="118" t="n">
        <v>1450</v>
      </c>
      <c r="G17" s="56" t="n">
        <f aca="false">IF(ISNUMBER(F17),F17/D17*1000,"n/a")</f>
        <v>1355.14018691589</v>
      </c>
      <c r="H17" s="20" t="s">
        <v>1497</v>
      </c>
      <c r="I17" s="20" t="s">
        <v>1498</v>
      </c>
      <c r="J17" s="20" t="s">
        <v>1499</v>
      </c>
      <c r="K17" s="20" t="s">
        <v>1500</v>
      </c>
      <c r="L17" s="20" t="s">
        <v>1501</v>
      </c>
    </row>
    <row r="18" customFormat="false" ht="23.25" hidden="false" customHeight="true" outlineLevel="0" collapsed="false">
      <c r="A18" s="20" t="s">
        <v>1502</v>
      </c>
      <c r="B18" s="20" t="s">
        <v>1503</v>
      </c>
      <c r="C18" s="20" t="s">
        <v>1504</v>
      </c>
      <c r="D18" s="117" t="n">
        <v>216</v>
      </c>
      <c r="E18" s="20" t="s">
        <v>1505</v>
      </c>
      <c r="F18" s="118" t="n">
        <v>647.4</v>
      </c>
      <c r="G18" s="56" t="n">
        <f aca="false">IF(ISNUMBER(F18),F18/D18*1000,"n/a")</f>
        <v>2997.22222222222</v>
      </c>
      <c r="H18" s="20" t="s">
        <v>1506</v>
      </c>
      <c r="I18" s="20" t="s">
        <v>1507</v>
      </c>
      <c r="J18" s="20" t="s">
        <v>1508</v>
      </c>
      <c r="K18" s="20" t="s">
        <v>1509</v>
      </c>
      <c r="L18" s="20" t="s">
        <v>1510</v>
      </c>
    </row>
    <row r="19" customFormat="false" ht="23.25" hidden="false" customHeight="true" outlineLevel="0" collapsed="false">
      <c r="A19" s="20" t="s">
        <v>1511</v>
      </c>
      <c r="B19" s="20" t="s">
        <v>1512</v>
      </c>
      <c r="C19" s="20" t="s">
        <v>1513</v>
      </c>
      <c r="D19" s="117" t="n">
        <v>305.5</v>
      </c>
      <c r="E19" s="20" t="s">
        <v>1514</v>
      </c>
      <c r="F19" s="118" t="n">
        <v>1400</v>
      </c>
      <c r="G19" s="56" t="n">
        <f aca="false">IF(ISNUMBER(F19),F19/D19*1000,"n/a")</f>
        <v>4582.65139116203</v>
      </c>
      <c r="H19" s="20" t="s">
        <v>1515</v>
      </c>
      <c r="I19" s="20" t="s">
        <v>1516</v>
      </c>
      <c r="J19" s="20" t="s">
        <v>1517</v>
      </c>
      <c r="K19" s="20" t="s">
        <v>1518</v>
      </c>
      <c r="L19" s="20" t="s">
        <v>1519</v>
      </c>
    </row>
    <row r="20" customFormat="false" ht="15" hidden="false" customHeight="true" outlineLevel="0" collapsed="false">
      <c r="A20" s="19" t="s">
        <v>1520</v>
      </c>
      <c r="B20" s="23" t="s">
        <v>1521</v>
      </c>
      <c r="C20" s="119" t="str">
        <f aca="false">'17A_STRUCTURES'!$C$5</f>
        <v>PIE (BOOT privé)</v>
      </c>
      <c r="D20" s="79" t="n">
        <f aca="false">'02_PROJECT_INPUTS'!$C$15</f>
        <v>60</v>
      </c>
      <c r="E20" s="23" t="s">
        <v>1522</v>
      </c>
      <c r="F20" s="120" t="n">
        <f aca="false">'17_PROJECT_FINANCE'!$C$5</f>
        <v>164.826159609375</v>
      </c>
      <c r="G20" s="56" t="n">
        <f aca="false">F20/D20*1000</f>
        <v>2747.10266015625</v>
      </c>
      <c r="H20" s="113" t="str">
        <f aca="false">"FC "&amp;'02_PROJECT_INPUTS'!$C$10&amp;" → COD "&amp;'06_CONSTRUCTION'!$C$8</f>
        <v>FC 2027 → COD 2030</v>
      </c>
    </row>
    <row r="22" customFormat="false" ht="15" hidden="false" customHeight="true" outlineLevel="0" collapsed="false">
      <c r="A22" s="19" t="s">
        <v>1523</v>
      </c>
      <c r="B22" s="23" t="s">
        <v>353</v>
      </c>
      <c r="C22" s="59" t="n">
        <f aca="false">MEDIAN(G5:G19)</f>
        <v>3049.70400728597</v>
      </c>
    </row>
    <row r="23" customFormat="false" ht="15" hidden="false" customHeight="true" outlineLevel="0" collapsed="false">
      <c r="A23" s="19" t="s">
        <v>1524</v>
      </c>
      <c r="B23" s="23" t="s">
        <v>119</v>
      </c>
      <c r="C23" s="46" t="n">
        <f aca="false">G20/C22</f>
        <v>0.900776814272209</v>
      </c>
    </row>
    <row r="25" customFormat="false" ht="15" hidden="false" customHeight="true" outlineLevel="0" collapsed="false">
      <c r="A25" s="25" t="s">
        <v>1525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49.3"/>
    <col collapsed="false" customWidth="true" hidden="false" outlineLevel="0" max="2" min="2" style="1" width="18"/>
    <col collapsed="false" customWidth="true" hidden="false" outlineLevel="0" max="3" min="3" style="1" width="4"/>
    <col collapsed="false" customWidth="true" hidden="false" outlineLevel="0" max="4" min="4" style="1" width="44"/>
    <col collapsed="false" customWidth="true" hidden="false" outlineLevel="0" max="5" min="5" style="1" width="18"/>
    <col collapsed="false" customWidth="true" hidden="false" outlineLevel="0" max="6" min="6" style="1" width="4"/>
    <col collapsed="false" customWidth="true" hidden="false" outlineLevel="0" max="7" min="7" style="1" width="40"/>
    <col collapsed="false" customWidth="true" hidden="false" outlineLevel="0" max="8" min="8" style="1" width="22"/>
  </cols>
  <sheetData>
    <row r="1" customFormat="false" ht="17.25" hidden="false" customHeight="true" outlineLevel="0" collapsed="false">
      <c r="A1" s="16" t="s">
        <v>1526</v>
      </c>
      <c r="B1" s="17"/>
      <c r="C1" s="17"/>
      <c r="D1" s="17"/>
      <c r="E1" s="17"/>
      <c r="F1" s="17"/>
      <c r="G1" s="17"/>
      <c r="H1" s="17"/>
      <c r="I1" s="17"/>
      <c r="J1" s="17"/>
    </row>
    <row r="2" customFormat="false" ht="15" hidden="false" customHeight="true" outlineLevel="0" collapsed="false">
      <c r="A2" s="18"/>
      <c r="B2" s="17"/>
      <c r="C2" s="17"/>
      <c r="D2" s="17"/>
      <c r="E2" s="17"/>
      <c r="F2" s="17"/>
      <c r="G2" s="17"/>
      <c r="H2" s="17"/>
      <c r="I2" s="17"/>
      <c r="J2" s="17"/>
    </row>
    <row r="3" customFormat="false" ht="15" hidden="false" customHeight="true" outlineLevel="0" collapsed="false">
      <c r="A3" s="19" t="str">
        <f aca="false">"Projet : "&amp;'02_PROJECT_INPUTS'!$C$5&amp;"  |  Structure : "&amp;'17A_STRUCTURES'!$C$5&amp;"  |  Cas : "&amp;CHOOSE('01_CONTROL_PANEL'!$C$5,"Base","Low","High")&amp;"  |  Stress actifs : "&amp;SUM('01_CONTROL_PANEL'!$C$15,'01_CONTROL_PANEL'!$C$16,'01_CONTROL_PANEL'!$C$17,'01_CONTROL_PANEL'!$C$18,'01_CONTROL_PANEL'!$C$19,'01_CONTROL_PANEL'!$C$20,'01_CONTROL_PANEL'!$C$21,'01_CONTROL_PANEL'!$C$22,'01_CONTROL_PANEL'!$C$23)</f>
        <v>Projet : Kasiri River Hydro (KRH)  |  Structure : PIE (BOOT privé)  |  Cas : Base  |  Stress actifs : 0</v>
      </c>
    </row>
    <row r="4" customFormat="false" ht="15" hidden="false" customHeight="true" outlineLevel="0" collapsed="false">
      <c r="A4" s="121" t="str">
        <f aca="false">"FILTRE À 9 PORTES (stade du développement) : "&amp;'30_BANKABILITY'!$C$58&amp;"   |   MATURITÉ À 23 PORTES (stade de la transaction) : "&amp;'30A_CLOSE_READINESS'!$C$34&amp;"   |   FILTRE BUDGÉTAIRE : "&amp;'26_DEBT_SUSTAINABILITY'!$C$35</f>
        <v>FILTRE À 9 PORTES (stade du développement) : NOT BANKABLE : lacune(s) critique(s) à combler   |   MATURITÉ À 23 PORTES (stade de la transaction) : STOP : une porte critique n'est pas franchie   |   FILTRE BUDGÉTAIRE : LOW : faible pression budgétaire supplémentaire</v>
      </c>
    </row>
    <row r="6" customFormat="false" ht="15" hidden="false" customHeight="true" outlineLevel="0" collapsed="false">
      <c r="A6" s="34" t="s">
        <v>1527</v>
      </c>
      <c r="B6" s="54"/>
      <c r="D6" s="34" t="s">
        <v>1528</v>
      </c>
      <c r="E6" s="54"/>
      <c r="G6" s="34" t="s">
        <v>1529</v>
      </c>
      <c r="H6" s="54"/>
    </row>
    <row r="7" customFormat="false" ht="15" hidden="false" customHeight="true" outlineLevel="0" collapsed="false">
      <c r="A7" s="23" t="s">
        <v>1530</v>
      </c>
      <c r="B7" s="66" t="n">
        <f aca="false">'02_PROJECT_INPUTS'!$C$15</f>
        <v>60</v>
      </c>
      <c r="D7" s="23" t="s">
        <v>831</v>
      </c>
      <c r="E7" s="101" t="n">
        <f aca="false">'17_PROJECT_FINANCE'!$C$31</f>
        <v>0.112182480312486</v>
      </c>
      <c r="G7" s="23" t="s">
        <v>1531</v>
      </c>
      <c r="H7" s="45" t="n">
        <f aca="false">'01A_DEVELOPMENT'!$C$12</f>
        <v>9</v>
      </c>
    </row>
    <row r="8" customFormat="false" ht="15" hidden="false" customHeight="true" outlineLevel="0" collapsed="false">
      <c r="A8" s="23" t="s">
        <v>1532</v>
      </c>
      <c r="B8" s="122" t="n">
        <f aca="false">'03_HYDROLOGY'!$C$33</f>
        <v>292.481378037504</v>
      </c>
      <c r="D8" s="23" t="s">
        <v>117</v>
      </c>
      <c r="E8" s="101" t="n">
        <f aca="false">'17_PROJECT_FINANCE'!$C$33</f>
        <v>0.137581200828486</v>
      </c>
      <c r="G8" s="23" t="s">
        <v>1533</v>
      </c>
      <c r="H8" s="45" t="n">
        <f aca="false">'01A_DEVELOPMENT'!$C$13</f>
        <v>6</v>
      </c>
    </row>
    <row r="9" customFormat="false" ht="15" hidden="false" customHeight="true" outlineLevel="0" collapsed="false">
      <c r="A9" s="23" t="s">
        <v>1534</v>
      </c>
      <c r="B9" s="101" t="n">
        <f aca="false">'03_HYDROLOGY'!$C$38</f>
        <v>0.556471419401644</v>
      </c>
      <c r="D9" s="23" t="s">
        <v>1535</v>
      </c>
      <c r="E9" s="66" t="n">
        <f aca="false">'17_PROJECT_FINANCE'!$C$32</f>
        <v>16.3209991584039</v>
      </c>
      <c r="G9" s="23" t="s">
        <v>1536</v>
      </c>
      <c r="H9" s="101" t="n">
        <f aca="false">'01A_DEVELOPMENT'!$C$14</f>
        <v>0.145656</v>
      </c>
    </row>
    <row r="10" customFormat="false" ht="15" hidden="false" customHeight="true" outlineLevel="0" collapsed="false">
      <c r="A10" s="23" t="s">
        <v>1537</v>
      </c>
      <c r="B10" s="66" t="n">
        <f aca="false">'06_CONSTRUCTION'!$C$9</f>
        <v>156.86</v>
      </c>
      <c r="D10" s="23" t="s">
        <v>1538</v>
      </c>
      <c r="E10" s="123" t="n">
        <f aca="false">'17_PROJECT_FINANCE'!$C$37</f>
        <v>1.52720627268227</v>
      </c>
      <c r="G10" s="23" t="s">
        <v>1539</v>
      </c>
      <c r="H10" s="45" t="n">
        <f aca="false">'01A_DEVELOPMENT'!$C$44</f>
        <v>-0.952496487925857</v>
      </c>
    </row>
    <row r="11" customFormat="false" ht="15" hidden="false" customHeight="true" outlineLevel="0" collapsed="false">
      <c r="A11" s="23" t="s">
        <v>1540</v>
      </c>
      <c r="B11" s="122" t="n">
        <f aca="false">'05_PLANT_CAPEX'!$C$16</f>
        <v>2614.33333333333</v>
      </c>
      <c r="D11" s="23" t="s">
        <v>1541</v>
      </c>
      <c r="E11" s="123" t="n">
        <f aca="false">'17_PROJECT_FINANCE'!$C$38</f>
        <v>1.60321355093966</v>
      </c>
      <c r="G11" s="23" t="s">
        <v>1542</v>
      </c>
      <c r="H11" s="101" t="n">
        <f aca="false">'01A_DEVELOPMENT'!$C$72</f>
        <v>0.159572040576511</v>
      </c>
    </row>
    <row r="12" customFormat="false" ht="15" hidden="false" customHeight="true" outlineLevel="0" collapsed="false">
      <c r="A12" s="23" t="s">
        <v>1543</v>
      </c>
      <c r="B12" s="124" t="n">
        <f aca="false">'06_CONSTRUCTION'!$C$8</f>
        <v>2030</v>
      </c>
      <c r="D12" s="23" t="s">
        <v>834</v>
      </c>
      <c r="E12" s="123" t="n">
        <f aca="false">'17_PROJECT_FINANCE'!$C$39</f>
        <v>1.5905442481781</v>
      </c>
      <c r="G12" s="23" t="s">
        <v>1544</v>
      </c>
      <c r="H12" s="123" t="n">
        <f aca="false">'01A_DEVELOPMENT'!$C$73</f>
        <v>4.97148916609306</v>
      </c>
    </row>
    <row r="13" customFormat="false" ht="15" hidden="false" customHeight="true" outlineLevel="0" collapsed="false">
      <c r="A13" s="23" t="s">
        <v>1545</v>
      </c>
      <c r="B13" s="44" t="n">
        <f aca="false">SUMPRODUCT(('06_CONSTRUCTION'!$E$5:$AR$5=2)*'15_TARIFF'!$E$9:$AR$9)</f>
        <v>117.8285249792</v>
      </c>
      <c r="D13" s="23" t="s">
        <v>1546</v>
      </c>
      <c r="E13" s="66" t="n">
        <f aca="false">'17_PROJECT_FINANCE'!$C$24</f>
        <v>147.82091832187</v>
      </c>
      <c r="G13" s="23" t="s">
        <v>1547</v>
      </c>
      <c r="H13" s="101" t="n">
        <f aca="false">'01A_DEVELOPMENT'!$C$46</f>
        <v>0.189031395969956</v>
      </c>
    </row>
    <row r="14" customFormat="false" ht="15" hidden="false" customHeight="true" outlineLevel="0" collapsed="false">
      <c r="A14" s="23" t="s">
        <v>1548</v>
      </c>
      <c r="B14" s="45" t="n">
        <f aca="false">'17_PROJECT_FINANCE'!$C$35</f>
        <v>105.948882101081</v>
      </c>
      <c r="D14" s="23" t="s">
        <v>1549</v>
      </c>
      <c r="E14" s="60" t="n">
        <f aca="false">'17_PROJECT_FINANCE'!$C$16+'17_PROJECT_FINANCE'!$C$17</f>
        <v>145.352217909853</v>
      </c>
      <c r="G14" s="23" t="s">
        <v>1550</v>
      </c>
      <c r="H14" s="45" t="n">
        <f aca="false">'01A_DEVELOPMENT'!$C$64</f>
        <v>18.2880309519115</v>
      </c>
    </row>
    <row r="15" customFormat="false" ht="15" hidden="false" customHeight="true" outlineLevel="0" collapsed="false">
      <c r="A15" s="23" t="s">
        <v>1551</v>
      </c>
      <c r="B15" s="45" t="n">
        <f aca="false">'17_PROJECT_FINANCE'!$C$36</f>
        <v>108.111104184777</v>
      </c>
      <c r="D15" s="23" t="s">
        <v>1552</v>
      </c>
      <c r="E15" s="66" t="n">
        <f aca="false">'17_PROJECT_FINANCE'!$C$27</f>
        <v>4.05435072721588</v>
      </c>
      <c r="G15" s="23" t="s">
        <v>845</v>
      </c>
      <c r="H15" s="26" t="str">
        <f aca="false">'30A_CLOSE_READINESS'!$C$34</f>
        <v>STOP : une porte critique n'est pas franchie</v>
      </c>
    </row>
    <row r="17" customFormat="false" ht="15" hidden="false" customHeight="true" outlineLevel="0" collapsed="false">
      <c r="A17" s="34" t="s">
        <v>1553</v>
      </c>
      <c r="B17" s="54"/>
      <c r="D17" s="34" t="s">
        <v>1554</v>
      </c>
      <c r="E17" s="54"/>
      <c r="G17" s="34" t="s">
        <v>1555</v>
      </c>
      <c r="H17" s="54"/>
    </row>
    <row r="18" customFormat="false" ht="15" hidden="false" customHeight="true" outlineLevel="0" collapsed="false">
      <c r="A18" s="23" t="s">
        <v>1556</v>
      </c>
      <c r="B18" s="125" t="n">
        <f aca="false">'08_TRANSMISSION'!$C$26</f>
        <v>0</v>
      </c>
      <c r="D18" s="23" t="s">
        <v>1557</v>
      </c>
      <c r="E18" s="60" t="n">
        <f aca="false">SUMPRODUCT(('06_CONSTRUCTION'!$E$5:$AR$5=2)*'12_UTILITY'!$E$48:$AR$48)</f>
        <v>361.814265554604</v>
      </c>
      <c r="G18" s="23" t="s">
        <v>1311</v>
      </c>
      <c r="H18" s="88" t="str">
        <f aca="false">'30A_CLOSE_READINESS'!E40&amp;" sur "&amp;'30A_CLOSE_READINESS'!D40&amp;" franchies ; "&amp;'30A_CLOSE_READINESS'!F40&amp;" critiques non franchies"</f>
        <v>0 sur 4 franchies ; 2 critiques non franchies</v>
      </c>
    </row>
    <row r="19" customFormat="false" ht="15" hidden="false" customHeight="true" outlineLevel="0" collapsed="false">
      <c r="A19" s="23" t="s">
        <v>1558</v>
      </c>
      <c r="B19" s="122" t="n">
        <f aca="false">'09_GRID'!$C$20</f>
        <v>120</v>
      </c>
      <c r="D19" s="23" t="s">
        <v>549</v>
      </c>
      <c r="E19" s="77" t="n">
        <f aca="false">'12_UTILITY'!$C$13+'27_SCENARIOS'!$C$31</f>
        <v>0.88</v>
      </c>
      <c r="G19" s="23" t="s">
        <v>1322</v>
      </c>
      <c r="H19" s="88" t="str">
        <f aca="false">'30A_CLOSE_READINESS'!E41&amp;" sur "&amp;'30A_CLOSE_READINESS'!D41&amp;" franchies ; "&amp;'30A_CLOSE_READINESS'!F41&amp;" critiques non franchies"</f>
        <v>1 sur 6 franchies ; 2 critiques non franchies</v>
      </c>
    </row>
    <row r="20" customFormat="false" ht="15" hidden="false" customHeight="true" outlineLevel="0" collapsed="false">
      <c r="A20" s="23" t="s">
        <v>1559</v>
      </c>
      <c r="B20" s="101" t="n">
        <f aca="false">'09_GRID'!$C$21</f>
        <v>0.0325505955729917</v>
      </c>
      <c r="D20" s="23" t="s">
        <v>1560</v>
      </c>
      <c r="E20" s="29" t="n">
        <f aca="false">SUMPRODUCT(('06_CONSTRUCTION'!$E$5:$AR$5=2)*'12_UTILITY'!$E$55:$AR$55)</f>
        <v>119.724108764304</v>
      </c>
      <c r="G20" s="23" t="s">
        <v>1336</v>
      </c>
      <c r="H20" s="88" t="str">
        <f aca="false">'30A_CLOSE_READINESS'!E42&amp;" sur "&amp;'30A_CLOSE_READINESS'!D42&amp;" franchies ; "&amp;'30A_CLOSE_READINESS'!F42&amp;" critiques non franchies"</f>
        <v>2 sur 2 franchies ; 0 critiques non franchies</v>
      </c>
    </row>
    <row r="21" customFormat="false" ht="15" hidden="false" customHeight="true" outlineLevel="0" collapsed="false">
      <c r="A21" s="23" t="s">
        <v>1561</v>
      </c>
      <c r="B21" s="123" t="n">
        <f aca="false">'10_DEMAND'!$C$37</f>
        <v>1</v>
      </c>
      <c r="D21" s="23" t="s">
        <v>1562</v>
      </c>
      <c r="E21" s="123" t="n">
        <f aca="false">'12_UTILITY'!$C$45</f>
        <v>5.95931544276934</v>
      </c>
      <c r="G21" s="23" t="s">
        <v>1360</v>
      </c>
      <c r="H21" s="88" t="str">
        <f aca="false">'30A_CLOSE_READINESS'!E43&amp;" sur "&amp;'30A_CLOSE_READINESS'!D43&amp;" franchies ; "&amp;'30A_CLOSE_READINESS'!F43&amp;" critiques non franchies"</f>
        <v>0 sur 1 franchies ; 1 critiques non franchies</v>
      </c>
    </row>
    <row r="22" customFormat="false" ht="15" hidden="false" customHeight="true" outlineLevel="0" collapsed="false">
      <c r="A22" s="23" t="s">
        <v>1563</v>
      </c>
      <c r="B22" s="62" t="n">
        <f aca="false">'04_GENERATION'!$C$19+'04_GENERATION'!$C$21</f>
        <v>0</v>
      </c>
      <c r="D22" s="23" t="s">
        <v>1564</v>
      </c>
      <c r="E22" s="66" t="n">
        <f aca="false">'12_UTILITY'!$C$43</f>
        <v>0</v>
      </c>
      <c r="G22" s="23" t="s">
        <v>1354</v>
      </c>
      <c r="H22" s="88" t="str">
        <f aca="false">'30A_CLOSE_READINESS'!E44&amp;" sur "&amp;'30A_CLOSE_READINESS'!D44&amp;" franchies ; "&amp;'30A_CLOSE_READINESS'!F44&amp;" critiques non franchies"</f>
        <v>1 sur 4 franchies ; 1 critiques non franchies</v>
      </c>
    </row>
    <row r="23" customFormat="false" ht="15" hidden="false" customHeight="true" outlineLevel="0" collapsed="false">
      <c r="A23" s="23" t="s">
        <v>1565</v>
      </c>
      <c r="B23" s="122" t="n">
        <f aca="false">'16_REVENUE'!$C$7</f>
        <v>0</v>
      </c>
      <c r="D23" s="23" t="s">
        <v>1566</v>
      </c>
      <c r="E23" s="66" t="n">
        <f aca="false">'16_REVENUE'!$C$24</f>
        <v>0</v>
      </c>
      <c r="G23" s="23" t="s">
        <v>1342</v>
      </c>
      <c r="H23" s="88" t="str">
        <f aca="false">'30A_CLOSE_READINESS'!E45&amp;" sur "&amp;'30A_CLOSE_READINESS'!D45&amp;" franchies ; "&amp;'30A_CLOSE_READINESS'!F45&amp;" critiques non franchies"</f>
        <v>0 sur 3 franchies ; 0 critiques non franchies</v>
      </c>
    </row>
    <row r="24" customFormat="false" ht="15" hidden="false" customHeight="true" outlineLevel="0" collapsed="false">
      <c r="G24" s="23" t="s">
        <v>1348</v>
      </c>
      <c r="H24" s="88" t="str">
        <f aca="false">'30A_CLOSE_READINESS'!E46&amp;" sur "&amp;'30A_CLOSE_READINESS'!D46&amp;" franchies ; "&amp;'30A_CLOSE_READINESS'!F46&amp;" critiques non franchies"</f>
        <v>2 sur 3 franchies ; 1 critiques non franchies</v>
      </c>
    </row>
    <row r="25" customFormat="false" ht="15" hidden="false" customHeight="true" outlineLevel="0" collapsed="false">
      <c r="A25" s="34" t="s">
        <v>1567</v>
      </c>
      <c r="B25" s="54"/>
      <c r="D25" s="34" t="s">
        <v>1568</v>
      </c>
      <c r="E25" s="54"/>
      <c r="G25" s="23" t="s">
        <v>1378</v>
      </c>
      <c r="H25" s="88" t="str">
        <f aca="false">'30A_CLOSE_READINESS'!E47&amp;" sur "&amp;'30A_CLOSE_READINESS'!D47&amp;" franchies ; "&amp;'30A_CLOSE_READINESS'!F47&amp;" critiques non franchies"</f>
        <v>6 sur 23 franchies ; 7 critiques non franchies</v>
      </c>
    </row>
    <row r="26" customFormat="false" ht="15" hidden="false" customHeight="true" outlineLevel="0" collapsed="false">
      <c r="A26" s="23" t="s">
        <v>1569</v>
      </c>
      <c r="B26" s="60" t="n">
        <f aca="false">'22_GOVERNMENT_SUPPORT'!$C$6+'22_GOVERNMENT_SUPPORT'!$C$7+'22_GOVERNMENT_SUPPORT'!$C$8</f>
        <v>0</v>
      </c>
      <c r="D26" s="23" t="s">
        <v>1234</v>
      </c>
      <c r="E26" s="26" t="str">
        <f aca="false">'30_BANKABILITY'!$H$5</f>
        <v>DEVELOPMENT GAP</v>
      </c>
      <c r="G26" s="19" t="s">
        <v>1570</v>
      </c>
      <c r="H26" s="26" t="str">
        <f aca="false">'30A_CLOSE_READINESS'!$C$34</f>
        <v>STOP : une porte critique n'est pas franchie</v>
      </c>
    </row>
    <row r="27" customFormat="false" ht="15" hidden="false" customHeight="true" outlineLevel="0" collapsed="false">
      <c r="A27" s="23" t="s">
        <v>1571</v>
      </c>
      <c r="B27" s="66" t="n">
        <f aca="false">'24_CONTINGENT_LIABILITIES'!$C$20</f>
        <v>225.401649065097</v>
      </c>
      <c r="D27" s="23" t="s">
        <v>1240</v>
      </c>
      <c r="E27" s="26" t="str">
        <f aca="false">'30_BANKABILITY'!$H$9</f>
        <v>READY</v>
      </c>
    </row>
    <row r="28" customFormat="false" ht="15" hidden="false" customHeight="true" outlineLevel="0" collapsed="false">
      <c r="A28" s="23" t="s">
        <v>1572</v>
      </c>
      <c r="B28" s="66" t="n">
        <f aca="false">'24_CONTINGENT_LIABILITIES'!$C$21</f>
        <v>20.3881612061118</v>
      </c>
      <c r="D28" s="23" t="s">
        <v>1246</v>
      </c>
      <c r="E28" s="26" t="str">
        <f aca="false">'30_BANKABILITY'!$H$12</f>
        <v>CONDITIONAL</v>
      </c>
    </row>
    <row r="29" customFormat="false" ht="15" hidden="false" customHeight="true" outlineLevel="0" collapsed="false">
      <c r="A29" s="23" t="s">
        <v>1573</v>
      </c>
      <c r="B29" s="66" t="n">
        <f aca="false">'25_FISCAL_IMPACT'!$C$20</f>
        <v>34.7880224785295</v>
      </c>
      <c r="D29" s="23" t="s">
        <v>1251</v>
      </c>
      <c r="E29" s="26" t="str">
        <f aca="false">'30_BANKABILITY'!$H$16</f>
        <v>READY</v>
      </c>
    </row>
    <row r="30" customFormat="false" ht="15" hidden="false" customHeight="true" outlineLevel="0" collapsed="false">
      <c r="A30" s="23" t="s">
        <v>1574</v>
      </c>
      <c r="B30" s="66" t="n">
        <f aca="false">'25_FISCAL_IMPACT'!$C$21</f>
        <v>-27.5809643867341</v>
      </c>
      <c r="D30" s="23" t="s">
        <v>1256</v>
      </c>
      <c r="E30" s="26" t="str">
        <f aca="false">'30_BANKABILITY'!$H$20</f>
        <v>DEVELOPMENT GAP</v>
      </c>
    </row>
    <row r="31" customFormat="false" ht="15" hidden="false" customHeight="true" outlineLevel="0" collapsed="false">
      <c r="A31" s="23" t="s">
        <v>1575</v>
      </c>
      <c r="B31" s="126" t="n">
        <f aca="false">'25_FISCAL_IMPACT'!$C$24</f>
        <v>0</v>
      </c>
      <c r="D31" s="23" t="s">
        <v>1262</v>
      </c>
      <c r="E31" s="26" t="str">
        <f aca="false">'30_BANKABILITY'!$H$24</f>
        <v>CRITICAL GAP</v>
      </c>
    </row>
    <row r="32" customFormat="false" ht="15" hidden="false" customHeight="true" outlineLevel="0" collapsed="false">
      <c r="A32" s="23" t="s">
        <v>1064</v>
      </c>
      <c r="B32" s="126" t="n">
        <f aca="false">'26_DEBT_SUSTAINABILITY'!$C$31</f>
        <v>0.00556315483524079</v>
      </c>
      <c r="D32" s="23" t="s">
        <v>1268</v>
      </c>
      <c r="E32" s="26" t="str">
        <f aca="false">'30_BANKABILITY'!$H$28</f>
        <v>CONDITIONAL</v>
      </c>
    </row>
    <row r="33" customFormat="false" ht="15" hidden="false" customHeight="true" outlineLevel="0" collapsed="false">
      <c r="A33" s="23" t="s">
        <v>1576</v>
      </c>
      <c r="B33" s="26" t="str">
        <f aca="false">'26_DEBT_SUSTAINABILITY'!$C$35</f>
        <v>LOW : faible pression budgétaire supplémentaire</v>
      </c>
      <c r="D33" s="23" t="s">
        <v>1275</v>
      </c>
      <c r="E33" s="26" t="str">
        <f aca="false">'30_BANKABILITY'!$H$32</f>
        <v>CONDITIONAL</v>
      </c>
    </row>
    <row r="34" customFormat="false" ht="15" hidden="false" customHeight="true" outlineLevel="0" collapsed="false">
      <c r="D34" s="23" t="s">
        <v>1284</v>
      </c>
      <c r="E34" s="26" t="str">
        <f aca="false">'30_BANKABILITY'!$H$38</f>
        <v>CONDITIONAL</v>
      </c>
    </row>
    <row r="37" customFormat="false" ht="15" hidden="false" customHeight="true" outlineLevel="0" collapsed="false">
      <c r="A37" s="34" t="s">
        <v>1577</v>
      </c>
      <c r="B37" s="54"/>
      <c r="D37" s="34" t="s">
        <v>1578</v>
      </c>
      <c r="E37" s="54"/>
      <c r="F37" s="54"/>
      <c r="G37" s="54"/>
      <c r="H37" s="54"/>
    </row>
    <row r="38" customFormat="false" ht="15" hidden="false" customHeight="true" outlineLevel="0" collapsed="false">
      <c r="A38" s="113" t="str">
        <f aca="false">"1. "&amp;INDEX('30_BANKABILITY'!$A$45:$A$53,MATCH(SMALL('30_BANKABILITY'!$C$45:$C$53,1),'30_BANKABILITY'!$C$45:$C$53,0))</f>
        <v>1. GATE 6 — RÉGLEMENTATION / CAE</v>
      </c>
      <c r="B38" s="113" t="str">
        <f aca="false">INDEX('30_BANKABILITY'!$D$45:$D$53,MATCH(SMALL('30_BANKABILITY'!$C$45:$C$53,1),'30_BANKABILITY'!$C$45:$C$53,0))</f>
        <v>CRITICAL GAP</v>
      </c>
      <c r="D38" s="113" t="str">
        <f aca="false">"1. "&amp;INDEX('30_BANKABILITY'!$E$45:$E$53,MATCH(SMALL('30_BANKABILITY'!$C$45:$C$53,1),'30_BANKABILITY'!$C$45:$C$53,0))</f>
        <v>1. Combler les lacunes juridiques et réglementaires critiques (répercussion tarifaire, foncier, change) avant la signature du CAE</v>
      </c>
    </row>
    <row r="39" customFormat="false" ht="15" hidden="false" customHeight="true" outlineLevel="0" collapsed="false">
      <c r="A39" s="113" t="str">
        <f aca="false">"2. "&amp;INDEX('30_BANKABILITY'!$A$45:$A$53,MATCH(SMALL('30_BANKABILITY'!$C$45:$C$53,2),'30_BANKABILITY'!$C$45:$C$53,0))</f>
        <v>2. GATE 1 — RESSOURCE</v>
      </c>
      <c r="B39" s="113" t="str">
        <f aca="false">INDEX('30_BANKABILITY'!$D$45:$D$53,MATCH(SMALL('30_BANKABILITY'!$C$45:$C$53,2),'30_BANKABILITY'!$C$45:$C$53,0))</f>
        <v>DEVELOPMENT GAP</v>
      </c>
      <c r="D39" s="113" t="str">
        <f aca="false">"2. "&amp;INDEX('30_BANKABILITY'!$E$45:$E$53,MATCH(SMALL('30_BANKABILITY'!$C$45:$C$53,2),'30_BANKABILITY'!$C$45:$C$53,0))</f>
        <v>2. Commander une revue hydrologique indépendante ; allonger la série par corrélation régionale ; calculer le P90 sur séries simulées</v>
      </c>
    </row>
    <row r="40" customFormat="false" ht="15" hidden="false" customHeight="true" outlineLevel="0" collapsed="false">
      <c r="A40" s="113" t="str">
        <f aca="false">"3. "&amp;INDEX('30_BANKABILITY'!$A$45:$A$53,MATCH(SMALL('30_BANKABILITY'!$C$45:$C$53,3),'30_BANKABILITY'!$C$45:$C$53,0))</f>
        <v>3. GATE 5 — ACHETEUR / COMPAGNIE</v>
      </c>
      <c r="B40" s="113" t="str">
        <f aca="false">INDEX('30_BANKABILITY'!$D$45:$D$53,MATCH(SMALL('30_BANKABILITY'!$C$45:$C$53,3),'30_BANKABILITY'!$C$45:$C$53,0))</f>
        <v>DEVELOPMENT GAP</v>
      </c>
      <c r="D40" s="113" t="str">
        <f aca="false">"3. "&amp;INDEX('30_BANKABILITY'!$E$45:$E$53,MATCH(SMALL('30_BANKABILITY'!$C$45:$C$53,3),'30_BANKABILITY'!$C$45:$C$53,0))</f>
        <v>3. Convenir d'un plan de redressement de la compagnie (trajectoire tarifaire, réduction des pertes), séquestre des créances, facilité de liquidité / dimensionnement de la LC</v>
      </c>
    </row>
    <row r="41" customFormat="false" ht="15" hidden="false" customHeight="true" outlineLevel="0" collapsed="false">
      <c r="A41" s="113" t="str">
        <f aca="false">"4. "&amp;INDEX('30_BANKABILITY'!$A$45:$A$53,MATCH(SMALL('30_BANKABILITY'!$C$45:$C$53,4),'30_BANKABILITY'!$C$45:$C$53,0))</f>
        <v>4. GATE 3 — CONFIGURATION</v>
      </c>
      <c r="B41" s="113" t="str">
        <f aca="false">INDEX('30_BANKABILITY'!$D$45:$D$53,MATCH(SMALL('30_BANKABILITY'!$C$45:$C$53,4),'30_BANKABILITY'!$C$45:$C$53,0))</f>
        <v>CONDITIONAL</v>
      </c>
      <c r="D41" s="113" t="str">
        <f aca="false">"4. "&amp;INDEX('30_BANKABILITY'!$E$45:$E$53,MATCH(SMALL('30_BANKABILITY'!$C$45:$C$53,4),'30_BANKABILITY'!$C$45:$C$53,0))</f>
        <v>4. Finaliser l'étude de faisabilité bancable et la revue du conseiller technique des prêteurs</v>
      </c>
    </row>
    <row r="42" customFormat="false" ht="15" hidden="false" customHeight="true" outlineLevel="0" collapsed="false">
      <c r="A42" s="113" t="str">
        <f aca="false">"5. "&amp;INDEX('30_BANKABILITY'!$A$45:$A$53,MATCH(SMALL('30_BANKABILITY'!$C$45:$C$53,5),'30_BANKABILITY'!$C$45:$C$53,0))</f>
        <v>5. GATE 7 — FINANCEMENT</v>
      </c>
      <c r="B42" s="113" t="str">
        <f aca="false">INDEX('30_BANKABILITY'!$D$45:$D$53,MATCH(SMALL('30_BANKABILITY'!$C$45:$C$53,5),'30_BANKABILITY'!$C$45:$C$53,0))</f>
        <v>CONDITIONAL</v>
      </c>
      <c r="D42" s="113" t="str">
        <f aca="false">"5. "&amp;INDEX('30_BANKABILITY'!$E$45:$E$53,MATCH(SMALL('30_BANKABILITY'!$C$45:$C$53,5),'30_BANKABILITY'!$C$45:$C$53,0))</f>
        <v>5. Figer les conditions de financement ; passer les cas de stress des prêteurs ; convenir des covenants de DSCR</v>
      </c>
    </row>
  </sheetData>
  <conditionalFormatting sqref="E26:E34">
    <cfRule type="cellIs" priority="2" operator="equal" aboveAverage="0" equalAverage="0" bottom="0" percent="0" rank="0" text="" dxfId="0">
      <formula>"READY"</formula>
    </cfRule>
    <cfRule type="cellIs" priority="3" operator="equal" aboveAverage="0" equalAverage="0" bottom="0" percent="0" rank="0" text="" dxfId="1">
      <formula>"CONDITIONAL"</formula>
    </cfRule>
    <cfRule type="cellIs" priority="4" operator="equal" aboveAverage="0" equalAverage="0" bottom="0" percent="0" rank="0" text="" dxfId="2">
      <formula>"DEVELOPMENT GAP"</formula>
    </cfRule>
    <cfRule type="cellIs" priority="5" operator="equal" aboveAverage="0" equalAverage="0" bottom="0" percent="0" rank="0" text="" dxfId="3">
      <formula>"CRITICAL GAP"</formula>
    </cfRule>
  </conditionalFormatting>
  <conditionalFormatting sqref="B38:B42">
    <cfRule type="cellIs" priority="6" operator="equal" aboveAverage="0" equalAverage="0" bottom="0" percent="0" rank="0" text="" dxfId="0">
      <formula>"READY"</formula>
    </cfRule>
    <cfRule type="cellIs" priority="7" operator="equal" aboveAverage="0" equalAverage="0" bottom="0" percent="0" rank="0" text="" dxfId="1">
      <formula>"CONDITIONAL"</formula>
    </cfRule>
    <cfRule type="cellIs" priority="8" operator="equal" aboveAverage="0" equalAverage="0" bottom="0" percent="0" rank="0" text="" dxfId="2">
      <formula>"DEVELOPMENT GAP"</formula>
    </cfRule>
    <cfRule type="cellIs" priority="9" operator="equal" aboveAverage="0" equalAverage="0" bottom="0" percent="0" rank="0" text="" dxfId="3">
      <formula>"CRITICAL GAP"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2" min="2" style="1" width="14"/>
    <col collapsed="false" customWidth="true" hidden="false" outlineLevel="0" max="3" min="3" style="1" width="16"/>
    <col collapsed="false" customWidth="true" hidden="false" outlineLevel="0" max="4" min="4" style="1" width="60"/>
  </cols>
  <sheetData>
    <row r="1" customFormat="false" ht="17.25" hidden="false" customHeight="true" outlineLevel="0" collapsed="false">
      <c r="A1" s="16" t="s">
        <v>1579</v>
      </c>
      <c r="B1" s="17"/>
      <c r="C1" s="17"/>
      <c r="D1" s="17"/>
      <c r="E1" s="17"/>
      <c r="F1" s="17"/>
      <c r="G1" s="17"/>
      <c r="H1" s="17"/>
      <c r="I1" s="17"/>
      <c r="J1" s="17"/>
    </row>
    <row r="2" customFormat="false" ht="15" hidden="false" customHeight="true" outlineLevel="0" collapsed="false">
      <c r="A2" s="18" t="s">
        <v>1580</v>
      </c>
      <c r="B2" s="17"/>
      <c r="C2" s="17"/>
      <c r="D2" s="17"/>
      <c r="E2" s="17"/>
      <c r="F2" s="17"/>
      <c r="G2" s="17"/>
      <c r="H2" s="17"/>
      <c r="I2" s="17"/>
      <c r="J2" s="17"/>
    </row>
    <row r="4" customFormat="false" ht="15" hidden="false" customHeight="true" outlineLevel="0" collapsed="false">
      <c r="A4" s="23" t="s">
        <v>1581</v>
      </c>
      <c r="C4" s="113" t="str">
        <f aca="false">IF(ABS('17_PROJECT_FINANCE'!$C$21-'17_PROJECT_FINANCE'!$C$12)&lt;0.01,"OK","ERROR")</f>
        <v>OK</v>
      </c>
    </row>
    <row r="5" customFormat="false" ht="15" hidden="false" customHeight="true" outlineLevel="0" collapsed="false">
      <c r="A5" s="23" t="s">
        <v>1582</v>
      </c>
      <c r="C5" s="113" t="str">
        <f aca="false">IF(ABS(SUM('20_CASH_FLOW'!$E$7:$AR$7)-SUM('20_CASH_FLOW'!$E$8:$AR$8)-SUM('20_CASH_FLOW'!$E$9:$AR$9)-SUM('20_CASH_FLOW'!$E$10:$AR$10))&lt;0.01,"OK","ERROR")</f>
        <v>OK</v>
      </c>
    </row>
    <row r="6" customFormat="false" ht="15" hidden="false" customHeight="true" outlineLevel="0" collapsed="false">
      <c r="A6" s="23" t="s">
        <v>1583</v>
      </c>
      <c r="C6" s="113" t="str">
        <f aca="false">IF(ABS('06_CONSTRUCTION'!$C$23-1)&lt;0.0001,"OK","ERROR")</f>
        <v>OK</v>
      </c>
    </row>
    <row r="7" customFormat="false" ht="15" hidden="false" customHeight="true" outlineLevel="0" collapsed="false">
      <c r="A7" s="23" t="s">
        <v>1584</v>
      </c>
      <c r="C7" s="113" t="str">
        <f aca="false">IF(ABS('18_DEBT'!$AR$29)&lt;0.01,"OK","ERROR")</f>
        <v>OK</v>
      </c>
    </row>
    <row r="8" customFormat="false" ht="15" hidden="false" customHeight="true" outlineLevel="0" collapsed="false">
      <c r="A8" s="23" t="s">
        <v>1585</v>
      </c>
      <c r="C8" s="113" t="str">
        <f aca="false">IF(ABS('18_DEBT'!$AR$37)&lt;0.01,"OK","ERROR")</f>
        <v>OK</v>
      </c>
    </row>
    <row r="9" customFormat="false" ht="15" hidden="false" customHeight="true" outlineLevel="0" collapsed="false">
      <c r="A9" s="23" t="s">
        <v>1586</v>
      </c>
      <c r="C9" s="113" t="str">
        <f aca="false">IF('17A_STRUCTURES'!$C$18+'17A_STRUCTURES'!$C$19&lt;='02_PROJECT_INPUTS'!$C$13,"OK","ERROR")</f>
        <v>OK</v>
      </c>
    </row>
    <row r="10" customFormat="false" ht="15" hidden="false" customHeight="true" outlineLevel="0" collapsed="false">
      <c r="A10" s="23" t="s">
        <v>1587</v>
      </c>
      <c r="C10" s="113" t="str">
        <f aca="false">IF('17A_STRUCTURES'!$C$21&lt;='02_PROJECT_INPUTS'!$C$13,"OK","ERROR")</f>
        <v>OK</v>
      </c>
    </row>
    <row r="11" customFormat="false" ht="15" hidden="false" customHeight="true" outlineLevel="0" collapsed="false">
      <c r="A11" s="23" t="s">
        <v>1588</v>
      </c>
      <c r="C11" s="113" t="str">
        <f aca="false">IF('06_CONSTRUCTION'!$C$7+'02_PROJECT_INPUTS'!$C$13&lt;=40,"OK","ERROR")</f>
        <v>OK</v>
      </c>
    </row>
    <row r="12" customFormat="false" ht="15" hidden="false" customHeight="true" outlineLevel="0" collapsed="false">
      <c r="A12" s="23" t="s">
        <v>1589</v>
      </c>
      <c r="C12" s="113" t="str">
        <f aca="false">IF('04_GENERATION'!$C$20&lt;='04_GENERATION'!$C$17+0.001,"OK","ERROR")</f>
        <v>OK</v>
      </c>
    </row>
    <row r="13" customFormat="false" ht="15" hidden="false" customHeight="true" outlineLevel="0" collapsed="false">
      <c r="A13" s="23" t="s">
        <v>1590</v>
      </c>
      <c r="C13" s="113" t="str">
        <f aca="false">IF(MIN('16_REVENUE'!$E$24:$AR$24)&gt;=-0.001,"OK","ERROR")</f>
        <v>OK</v>
      </c>
    </row>
    <row r="14" customFormat="false" ht="15" hidden="false" customHeight="true" outlineLevel="0" collapsed="false">
      <c r="A14" s="23" t="s">
        <v>1591</v>
      </c>
      <c r="C14" s="113" t="str">
        <f aca="false">IF(SUMPRODUCT(('06_CONSTRUCTION'!$E$5:$AR$5='17A_STRUCTURES'!$C$21)*('18_DEBT'!$E$36:$AR$36-('18_DEBT'!$E$35:$AR$35-'18_DEBT'!$E$34:$AR$34)))&lt;0.5,"OK","WARNING")</f>
        <v>OK</v>
      </c>
    </row>
    <row r="15" customFormat="false" ht="15" hidden="false" customHeight="true" outlineLevel="0" collapsed="false">
      <c r="A15" s="23" t="s">
        <v>1592</v>
      </c>
      <c r="C15" s="113" t="str">
        <f aca="false">IF(MIN('20_CASH_FLOW'!$E$26:$AR$26)&gt;=-0.001,"OK","ERROR")</f>
        <v>OK</v>
      </c>
    </row>
    <row r="16" customFormat="false" ht="15" hidden="false" customHeight="true" outlineLevel="0" collapsed="false">
      <c r="A16" s="23" t="s">
        <v>1593</v>
      </c>
      <c r="C16" s="113" t="str">
        <f aca="false">IF(ABS('08_TRANSMISSION'!$C$33-'17_PROJECT_FINANCE'!$C$6-SUMPRODUCT('08_TRANSMISSION'!$E$33:$AR$33,'06_CONSTRUCTION'!$E$14:$AR$14))&lt;0.01,"OK","ERROR")</f>
        <v>OK</v>
      </c>
    </row>
    <row r="17" customFormat="false" ht="15" hidden="false" customHeight="true" outlineLevel="0" collapsed="false">
      <c r="A17" s="23" t="s">
        <v>1594</v>
      </c>
      <c r="C17" s="113" t="str">
        <f aca="false">IF(LEFT('17A_STRUCTURES'!$C$24,2)="OK","OK","WARNING")</f>
        <v>OK</v>
      </c>
    </row>
    <row r="19" customFormat="false" ht="15" hidden="false" customHeight="true" outlineLevel="0" collapsed="false">
      <c r="A19" s="19" t="s">
        <v>1595</v>
      </c>
      <c r="B19" s="23"/>
      <c r="C19" s="103" t="str">
        <f aca="false">IF(COUNTIF(C4:C17,"OK")=14,"ALL OK",COUNTIF(C4:C17,"&lt;&gt;OK")&amp;" anomalie(s)")</f>
        <v>ALL OK</v>
      </c>
    </row>
  </sheetData>
  <conditionalFormatting sqref="C4:C19">
    <cfRule type="cellIs" priority="2" operator="equal" aboveAverage="0" equalAverage="0" bottom="0" percent="0" rank="0" text="" dxfId="0">
      <formula>"OK"</formula>
    </cfRule>
    <cfRule type="cellIs" priority="3" operator="equal" aboveAverage="0" equalAverage="0" bottom="0" percent="0" rank="0" text="" dxfId="0">
      <formula>"ALL OK"</formula>
    </cfRule>
    <cfRule type="cellIs" priority="4" operator="equal" aboveAverage="0" equalAverage="0" bottom="0" percent="0" rank="0" text="" dxfId="3">
      <formula>"ERROR"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6"/>
    <col collapsed="false" customWidth="true" hidden="false" outlineLevel="0" max="2" min="2" style="1" width="50"/>
    <col collapsed="false" customWidth="true" hidden="false" outlineLevel="0" max="3" min="3" style="1" width="30"/>
    <col collapsed="false" customWidth="true" hidden="false" outlineLevel="0" max="4" min="4" style="1" width="22"/>
    <col collapsed="false" customWidth="true" hidden="false" outlineLevel="0" max="5" min="5" style="1" width="9"/>
    <col collapsed="false" customWidth="true" hidden="false" outlineLevel="0" max="6" min="6" style="1" width="26"/>
    <col collapsed="false" customWidth="true" hidden="false" outlineLevel="0" max="7" min="7" style="1" width="46"/>
    <col collapsed="false" customWidth="true" hidden="false" outlineLevel="0" max="8" min="8" style="1" width="12"/>
    <col collapsed="false" customWidth="true" hidden="false" outlineLevel="0" max="9" min="9" style="1" width="14"/>
    <col collapsed="false" customWidth="true" hidden="false" outlineLevel="0" max="10" min="10" style="1" width="26"/>
  </cols>
  <sheetData>
    <row r="1" customFormat="false" ht="17.25" hidden="false" customHeight="true" outlineLevel="0" collapsed="false">
      <c r="A1" s="16" t="s">
        <v>1596</v>
      </c>
      <c r="B1" s="17"/>
      <c r="C1" s="17"/>
      <c r="D1" s="17"/>
      <c r="E1" s="17"/>
      <c r="F1" s="17"/>
      <c r="G1" s="17"/>
      <c r="H1" s="17"/>
      <c r="I1" s="17"/>
      <c r="J1" s="17"/>
    </row>
    <row r="2" customFormat="false" ht="15" hidden="false" customHeight="true" outlineLevel="0" collapsed="false">
      <c r="A2" s="18" t="s">
        <v>1597</v>
      </c>
      <c r="B2" s="17"/>
      <c r="C2" s="17"/>
      <c r="D2" s="17"/>
      <c r="E2" s="17"/>
      <c r="F2" s="17"/>
      <c r="G2" s="17"/>
      <c r="H2" s="17"/>
      <c r="I2" s="17"/>
      <c r="J2" s="17"/>
    </row>
    <row r="4" customFormat="false" ht="15" hidden="false" customHeight="true" outlineLevel="0" collapsed="false">
      <c r="A4" s="34" t="s">
        <v>115</v>
      </c>
      <c r="B4" s="34" t="s">
        <v>1289</v>
      </c>
      <c r="C4" s="34" t="s">
        <v>1304</v>
      </c>
      <c r="D4" s="34" t="s">
        <v>1305</v>
      </c>
      <c r="E4" s="34" t="s">
        <v>1300</v>
      </c>
      <c r="F4" s="34" t="s">
        <v>1598</v>
      </c>
      <c r="G4" s="34" t="s">
        <v>1599</v>
      </c>
      <c r="H4" s="34" t="s">
        <v>1600</v>
      </c>
      <c r="I4" s="34" t="s">
        <v>1601</v>
      </c>
      <c r="J4" s="34" t="s">
        <v>1602</v>
      </c>
    </row>
    <row r="5" customFormat="false" ht="15" hidden="false" customHeight="true" outlineLevel="0" collapsed="false">
      <c r="A5" s="20" t="n">
        <v>1</v>
      </c>
      <c r="B5" s="20" t="s">
        <v>1306</v>
      </c>
      <c r="C5" s="20" t="s">
        <v>1311</v>
      </c>
      <c r="D5" s="20" t="s">
        <v>1312</v>
      </c>
      <c r="E5" s="20" t="s">
        <v>1191</v>
      </c>
      <c r="F5" s="20" t="s">
        <v>1237</v>
      </c>
      <c r="G5" s="20" t="s">
        <v>1603</v>
      </c>
      <c r="H5" s="20" t="s">
        <v>1604</v>
      </c>
      <c r="I5" s="119" t="str">
        <f aca="false">'30A_CLOSE_READINESS'!F5</f>
        <v>NOT MET</v>
      </c>
      <c r="J5" s="23" t="s">
        <v>1605</v>
      </c>
    </row>
    <row r="6" customFormat="false" ht="15" hidden="false" customHeight="true" outlineLevel="0" collapsed="false">
      <c r="A6" s="20" t="n">
        <v>2</v>
      </c>
      <c r="B6" s="20" t="s">
        <v>1313</v>
      </c>
      <c r="C6" s="20" t="s">
        <v>1311</v>
      </c>
      <c r="D6" s="20" t="s">
        <v>1312</v>
      </c>
      <c r="E6" s="20" t="s">
        <v>1191</v>
      </c>
      <c r="F6" s="20" t="s">
        <v>1237</v>
      </c>
      <c r="G6" s="20" t="s">
        <v>1606</v>
      </c>
      <c r="H6" s="20" t="s">
        <v>1607</v>
      </c>
      <c r="I6" s="119" t="str">
        <f aca="false">'30A_CLOSE_READINESS'!F6</f>
        <v>PARTIAL</v>
      </c>
      <c r="J6" s="23" t="s">
        <v>1605</v>
      </c>
    </row>
    <row r="7" customFormat="false" ht="15" hidden="false" customHeight="true" outlineLevel="0" collapsed="false">
      <c r="A7" s="20" t="n">
        <v>3</v>
      </c>
      <c r="B7" s="20" t="s">
        <v>1315</v>
      </c>
      <c r="C7" s="20" t="s">
        <v>1311</v>
      </c>
      <c r="D7" s="20" t="s">
        <v>1312</v>
      </c>
      <c r="E7" s="20" t="s">
        <v>1191</v>
      </c>
      <c r="F7" s="20" t="s">
        <v>1248</v>
      </c>
      <c r="G7" s="20" t="s">
        <v>1608</v>
      </c>
      <c r="H7" s="20" t="s">
        <v>1604</v>
      </c>
      <c r="I7" s="119" t="str">
        <f aca="false">'30A_CLOSE_READINESS'!F7</f>
        <v>NOT MET</v>
      </c>
      <c r="J7" s="23" t="s">
        <v>1605</v>
      </c>
    </row>
    <row r="8" customFormat="false" ht="15" hidden="false" customHeight="true" outlineLevel="0" collapsed="false">
      <c r="A8" s="20" t="n">
        <v>4</v>
      </c>
      <c r="B8" s="20" t="s">
        <v>1318</v>
      </c>
      <c r="C8" s="20" t="s">
        <v>1311</v>
      </c>
      <c r="D8" s="20" t="s">
        <v>1312</v>
      </c>
      <c r="E8" s="20" t="s">
        <v>1191</v>
      </c>
      <c r="F8" s="20" t="s">
        <v>1248</v>
      </c>
      <c r="G8" s="20" t="s">
        <v>1606</v>
      </c>
      <c r="H8" s="20" t="s">
        <v>1607</v>
      </c>
      <c r="I8" s="119" t="str">
        <f aca="false">'30A_CLOSE_READINESS'!F8</f>
        <v>PARTIAL</v>
      </c>
      <c r="J8" s="23" t="s">
        <v>1605</v>
      </c>
    </row>
    <row r="9" customFormat="false" ht="15" hidden="false" customHeight="true" outlineLevel="0" collapsed="false">
      <c r="A9" s="20" t="n">
        <v>5</v>
      </c>
      <c r="B9" s="20" t="s">
        <v>1319</v>
      </c>
      <c r="C9" s="20" t="s">
        <v>1322</v>
      </c>
      <c r="D9" s="20" t="s">
        <v>1323</v>
      </c>
      <c r="E9" s="20" t="s">
        <v>1191</v>
      </c>
      <c r="F9" s="20" t="s">
        <v>1264</v>
      </c>
      <c r="G9" s="20" t="s">
        <v>1609</v>
      </c>
      <c r="H9" s="20" t="s">
        <v>1604</v>
      </c>
      <c r="I9" s="119" t="str">
        <f aca="false">'30A_CLOSE_READINESS'!F9</f>
        <v>NOT MET</v>
      </c>
      <c r="J9" s="23" t="s">
        <v>1610</v>
      </c>
    </row>
    <row r="10" customFormat="false" ht="15" hidden="false" customHeight="true" outlineLevel="0" collapsed="false">
      <c r="A10" s="20" t="n">
        <v>6</v>
      </c>
      <c r="B10" s="20" t="s">
        <v>1324</v>
      </c>
      <c r="C10" s="20" t="s">
        <v>1322</v>
      </c>
      <c r="D10" s="20" t="s">
        <v>1323</v>
      </c>
      <c r="E10" s="20" t="s">
        <v>1191</v>
      </c>
      <c r="F10" s="20" t="s">
        <v>1264</v>
      </c>
      <c r="G10" s="20" t="s">
        <v>1611</v>
      </c>
      <c r="H10" s="20" t="s">
        <v>1604</v>
      </c>
      <c r="I10" s="119" t="str">
        <f aca="false">'30A_CLOSE_READINESS'!F10</f>
        <v>MET</v>
      </c>
      <c r="J10" s="23" t="s">
        <v>1610</v>
      </c>
    </row>
    <row r="11" customFormat="false" ht="15" hidden="false" customHeight="true" outlineLevel="0" collapsed="false">
      <c r="A11" s="20" t="n">
        <v>7</v>
      </c>
      <c r="B11" s="20" t="s">
        <v>1326</v>
      </c>
      <c r="C11" s="20" t="s">
        <v>1322</v>
      </c>
      <c r="D11" s="20" t="s">
        <v>1323</v>
      </c>
      <c r="E11" s="20" t="s">
        <v>1191</v>
      </c>
      <c r="F11" s="20" t="s">
        <v>1264</v>
      </c>
      <c r="G11" s="20" t="s">
        <v>1606</v>
      </c>
      <c r="H11" s="20" t="s">
        <v>1607</v>
      </c>
      <c r="I11" s="119" t="str">
        <f aca="false">'30A_CLOSE_READINESS'!F11</f>
        <v>PARTIAL</v>
      </c>
      <c r="J11" s="23" t="s">
        <v>1610</v>
      </c>
    </row>
    <row r="12" customFormat="false" ht="15" hidden="false" customHeight="true" outlineLevel="0" collapsed="false">
      <c r="A12" s="20" t="n">
        <v>8</v>
      </c>
      <c r="B12" s="20" t="s">
        <v>1328</v>
      </c>
      <c r="C12" s="20" t="s">
        <v>1322</v>
      </c>
      <c r="D12" s="20" t="s">
        <v>1323</v>
      </c>
      <c r="E12" s="20" t="s">
        <v>1191</v>
      </c>
      <c r="F12" s="20" t="s">
        <v>1264</v>
      </c>
      <c r="G12" s="20" t="s">
        <v>1606</v>
      </c>
      <c r="H12" s="20" t="s">
        <v>1607</v>
      </c>
      <c r="I12" s="119" t="str">
        <f aca="false">'30A_CLOSE_READINESS'!F12</f>
        <v>NOT MET</v>
      </c>
      <c r="J12" s="23" t="s">
        <v>1610</v>
      </c>
    </row>
    <row r="13" customFormat="false" ht="15" hidden="false" customHeight="true" outlineLevel="0" collapsed="false">
      <c r="A13" s="20" t="n">
        <v>9</v>
      </c>
      <c r="B13" s="20" t="s">
        <v>1330</v>
      </c>
      <c r="C13" s="20" t="s">
        <v>1322</v>
      </c>
      <c r="D13" s="20" t="s">
        <v>1323</v>
      </c>
      <c r="E13" s="20" t="s">
        <v>1191</v>
      </c>
      <c r="F13" s="20" t="s">
        <v>1612</v>
      </c>
      <c r="G13" s="20" t="s">
        <v>1606</v>
      </c>
      <c r="H13" s="20" t="s">
        <v>1607</v>
      </c>
      <c r="I13" s="119" t="str">
        <f aca="false">'30A_CLOSE_READINESS'!F13</f>
        <v>PARTIAL</v>
      </c>
      <c r="J13" s="23" t="s">
        <v>1610</v>
      </c>
    </row>
    <row r="14" customFormat="false" ht="15" hidden="false" customHeight="true" outlineLevel="0" collapsed="false">
      <c r="A14" s="20" t="n">
        <v>10</v>
      </c>
      <c r="B14" s="20" t="s">
        <v>1332</v>
      </c>
      <c r="C14" s="20" t="s">
        <v>1322</v>
      </c>
      <c r="D14" s="20" t="s">
        <v>1323</v>
      </c>
      <c r="E14" s="20" t="s">
        <v>1191</v>
      </c>
      <c r="F14" s="20" t="s">
        <v>1612</v>
      </c>
      <c r="G14" s="20" t="s">
        <v>1606</v>
      </c>
      <c r="H14" s="20" t="s">
        <v>1607</v>
      </c>
      <c r="I14" s="119" t="str">
        <f aca="false">'30A_CLOSE_READINESS'!F14</f>
        <v>PARTIAL</v>
      </c>
      <c r="J14" s="23" t="s">
        <v>1610</v>
      </c>
    </row>
    <row r="15" customFormat="false" ht="23.25" hidden="false" customHeight="true" outlineLevel="0" collapsed="false">
      <c r="A15" s="20" t="n">
        <v>11</v>
      </c>
      <c r="B15" s="20" t="s">
        <v>1333</v>
      </c>
      <c r="C15" s="20" t="s">
        <v>1336</v>
      </c>
      <c r="D15" s="20" t="s">
        <v>1157</v>
      </c>
      <c r="E15" s="20" t="s">
        <v>1191</v>
      </c>
      <c r="F15" s="20" t="s">
        <v>1254</v>
      </c>
      <c r="G15" s="20" t="s">
        <v>1613</v>
      </c>
      <c r="H15" s="20" t="s">
        <v>1604</v>
      </c>
      <c r="I15" s="119" t="str">
        <f aca="false">'30A_CLOSE_READINESS'!F15</f>
        <v>MET</v>
      </c>
      <c r="J15" s="23" t="s">
        <v>1614</v>
      </c>
    </row>
    <row r="16" customFormat="false" ht="15" hidden="false" customHeight="true" outlineLevel="0" collapsed="false">
      <c r="A16" s="20" t="n">
        <v>12</v>
      </c>
      <c r="B16" s="20" t="s">
        <v>1337</v>
      </c>
      <c r="C16" s="20" t="s">
        <v>1336</v>
      </c>
      <c r="D16" s="20" t="s">
        <v>1157</v>
      </c>
      <c r="E16" s="20" t="s">
        <v>1615</v>
      </c>
      <c r="F16" s="20" t="s">
        <v>1254</v>
      </c>
      <c r="G16" s="20" t="s">
        <v>1616</v>
      </c>
      <c r="H16" s="20" t="s">
        <v>1604</v>
      </c>
      <c r="I16" s="119" t="str">
        <f aca="false">'30A_CLOSE_READINESS'!F16</f>
        <v>MET</v>
      </c>
      <c r="J16" s="23" t="s">
        <v>1614</v>
      </c>
    </row>
    <row r="17" customFormat="false" ht="15" hidden="false" customHeight="true" outlineLevel="0" collapsed="false">
      <c r="A17" s="20" t="n">
        <v>13</v>
      </c>
      <c r="B17" s="20" t="s">
        <v>1340</v>
      </c>
      <c r="C17" s="20" t="s">
        <v>1342</v>
      </c>
      <c r="D17" s="20" t="s">
        <v>1312</v>
      </c>
      <c r="E17" s="20" t="s">
        <v>1191</v>
      </c>
      <c r="F17" s="20" t="s">
        <v>1617</v>
      </c>
      <c r="G17" s="20" t="s">
        <v>1606</v>
      </c>
      <c r="H17" s="20" t="s">
        <v>1607</v>
      </c>
      <c r="I17" s="119" t="str">
        <f aca="false">'30A_CLOSE_READINESS'!F17</f>
        <v>PARTIAL</v>
      </c>
      <c r="J17" s="23" t="s">
        <v>1618</v>
      </c>
    </row>
    <row r="18" customFormat="false" ht="15" hidden="false" customHeight="true" outlineLevel="0" collapsed="false">
      <c r="A18" s="20" t="n">
        <v>14</v>
      </c>
      <c r="B18" s="20" t="s">
        <v>1343</v>
      </c>
      <c r="C18" s="20" t="s">
        <v>1342</v>
      </c>
      <c r="D18" s="20" t="s">
        <v>1312</v>
      </c>
      <c r="E18" s="20" t="s">
        <v>1615</v>
      </c>
      <c r="F18" s="20" t="s">
        <v>1619</v>
      </c>
      <c r="G18" s="20" t="s">
        <v>1606</v>
      </c>
      <c r="H18" s="20" t="s">
        <v>1607</v>
      </c>
      <c r="I18" s="119" t="str">
        <f aca="false">'30A_CLOSE_READINESS'!F18</f>
        <v>PARTIAL</v>
      </c>
      <c r="J18" s="23" t="s">
        <v>1618</v>
      </c>
    </row>
    <row r="19" customFormat="false" ht="15" hidden="false" customHeight="true" outlineLevel="0" collapsed="false">
      <c r="A19" s="20" t="n">
        <v>15</v>
      </c>
      <c r="B19" s="20" t="s">
        <v>1345</v>
      </c>
      <c r="C19" s="20" t="s">
        <v>1348</v>
      </c>
      <c r="D19" s="20" t="s">
        <v>1157</v>
      </c>
      <c r="E19" s="20" t="s">
        <v>1191</v>
      </c>
      <c r="F19" s="20" t="s">
        <v>1261</v>
      </c>
      <c r="G19" s="20" t="s">
        <v>1620</v>
      </c>
      <c r="H19" s="20" t="s">
        <v>1604</v>
      </c>
      <c r="I19" s="119" t="str">
        <f aca="false">'30A_CLOSE_READINESS'!F19</f>
        <v>NOT MET</v>
      </c>
      <c r="J19" s="23" t="s">
        <v>1621</v>
      </c>
    </row>
    <row r="20" customFormat="false" ht="15" hidden="false" customHeight="true" outlineLevel="0" collapsed="false">
      <c r="A20" s="20" t="n">
        <v>16</v>
      </c>
      <c r="B20" s="20" t="s">
        <v>1349</v>
      </c>
      <c r="C20" s="20" t="s">
        <v>1348</v>
      </c>
      <c r="D20" s="20" t="s">
        <v>1157</v>
      </c>
      <c r="E20" s="20" t="s">
        <v>1191</v>
      </c>
      <c r="F20" s="20" t="s">
        <v>1258</v>
      </c>
      <c r="G20" s="20" t="s">
        <v>1622</v>
      </c>
      <c r="H20" s="20" t="s">
        <v>1604</v>
      </c>
      <c r="I20" s="119" t="str">
        <f aca="false">'30A_CLOSE_READINESS'!F20</f>
        <v>MET</v>
      </c>
      <c r="J20" s="23" t="s">
        <v>1621</v>
      </c>
    </row>
    <row r="21" customFormat="false" ht="15" hidden="false" customHeight="true" outlineLevel="0" collapsed="false">
      <c r="A21" s="20" t="n">
        <v>17</v>
      </c>
      <c r="B21" s="20" t="s">
        <v>1351</v>
      </c>
      <c r="C21" s="20" t="s">
        <v>1354</v>
      </c>
      <c r="D21" s="20" t="s">
        <v>1355</v>
      </c>
      <c r="E21" s="20" t="s">
        <v>1191</v>
      </c>
      <c r="F21" s="20" t="s">
        <v>1272</v>
      </c>
      <c r="G21" s="20" t="s">
        <v>1623</v>
      </c>
      <c r="H21" s="20" t="s">
        <v>1604</v>
      </c>
      <c r="I21" s="119" t="str">
        <f aca="false">'30A_CLOSE_READINESS'!F21</f>
        <v>NOT MET</v>
      </c>
      <c r="J21" s="23" t="s">
        <v>1624</v>
      </c>
    </row>
    <row r="22" customFormat="false" ht="23.25" hidden="false" customHeight="true" outlineLevel="0" collapsed="false">
      <c r="A22" s="20" t="n">
        <v>18</v>
      </c>
      <c r="B22" s="20" t="s">
        <v>1356</v>
      </c>
      <c r="C22" s="20" t="s">
        <v>1354</v>
      </c>
      <c r="D22" s="20" t="s">
        <v>1355</v>
      </c>
      <c r="E22" s="20" t="s">
        <v>1191</v>
      </c>
      <c r="F22" s="20" t="s">
        <v>1625</v>
      </c>
      <c r="G22" s="20" t="s">
        <v>1626</v>
      </c>
      <c r="H22" s="20" t="s">
        <v>1604</v>
      </c>
      <c r="I22" s="119" t="str">
        <f aca="false">'30A_CLOSE_READINESS'!F22</f>
        <v>MET</v>
      </c>
      <c r="J22" s="23" t="s">
        <v>1624</v>
      </c>
    </row>
    <row r="23" customFormat="false" ht="23.25" hidden="false" customHeight="true" outlineLevel="0" collapsed="false">
      <c r="A23" s="20" t="n">
        <v>19</v>
      </c>
      <c r="B23" s="20" t="s">
        <v>1358</v>
      </c>
      <c r="C23" s="20" t="s">
        <v>1360</v>
      </c>
      <c r="D23" s="20" t="s">
        <v>1158</v>
      </c>
      <c r="E23" s="20" t="s">
        <v>1191</v>
      </c>
      <c r="F23" s="20" t="s">
        <v>1625</v>
      </c>
      <c r="G23" s="20" t="s">
        <v>1627</v>
      </c>
      <c r="H23" s="20" t="s">
        <v>1604</v>
      </c>
      <c r="I23" s="119" t="str">
        <f aca="false">'30A_CLOSE_READINESS'!F23</f>
        <v>NOT MET</v>
      </c>
      <c r="J23" s="23" t="s">
        <v>1628</v>
      </c>
    </row>
    <row r="24" customFormat="false" ht="15" hidden="false" customHeight="true" outlineLevel="0" collapsed="false">
      <c r="A24" s="20" t="n">
        <v>20</v>
      </c>
      <c r="B24" s="20" t="s">
        <v>1361</v>
      </c>
      <c r="C24" s="20" t="s">
        <v>1354</v>
      </c>
      <c r="D24" s="20" t="s">
        <v>1355</v>
      </c>
      <c r="E24" s="20" t="s">
        <v>1615</v>
      </c>
      <c r="F24" s="20" t="s">
        <v>1629</v>
      </c>
      <c r="G24" s="20" t="s">
        <v>1606</v>
      </c>
      <c r="H24" s="20" t="s">
        <v>1607</v>
      </c>
      <c r="I24" s="119" t="str">
        <f aca="false">'30A_CLOSE_READINESS'!F24</f>
        <v>NO EVIDENCE</v>
      </c>
      <c r="J24" s="23" t="s">
        <v>1624</v>
      </c>
    </row>
    <row r="25" customFormat="false" ht="23.25" hidden="false" customHeight="true" outlineLevel="0" collapsed="false">
      <c r="A25" s="20" t="n">
        <v>21</v>
      </c>
      <c r="B25" s="20" t="s">
        <v>1363</v>
      </c>
      <c r="C25" s="20" t="s">
        <v>1348</v>
      </c>
      <c r="D25" s="20" t="s">
        <v>1157</v>
      </c>
      <c r="E25" s="20" t="s">
        <v>1191</v>
      </c>
      <c r="F25" s="20" t="s">
        <v>1277</v>
      </c>
      <c r="G25" s="20" t="s">
        <v>1630</v>
      </c>
      <c r="H25" s="20" t="s">
        <v>1604</v>
      </c>
      <c r="I25" s="119" t="str">
        <f aca="false">'30A_CLOSE_READINESS'!F25</f>
        <v>MET</v>
      </c>
      <c r="J25" s="23" t="s">
        <v>1621</v>
      </c>
    </row>
    <row r="26" customFormat="false" ht="15" hidden="false" customHeight="true" outlineLevel="0" collapsed="false">
      <c r="A26" s="20" t="n">
        <v>22</v>
      </c>
      <c r="B26" s="20" t="s">
        <v>1366</v>
      </c>
      <c r="C26" s="20" t="s">
        <v>1342</v>
      </c>
      <c r="D26" s="20" t="s">
        <v>1312</v>
      </c>
      <c r="E26" s="20" t="s">
        <v>1615</v>
      </c>
      <c r="F26" s="20" t="s">
        <v>1629</v>
      </c>
      <c r="G26" s="20" t="s">
        <v>1606</v>
      </c>
      <c r="H26" s="20" t="s">
        <v>1607</v>
      </c>
      <c r="I26" s="119" t="str">
        <f aca="false">'30A_CLOSE_READINESS'!F26</f>
        <v>PARTIAL</v>
      </c>
      <c r="J26" s="23" t="s">
        <v>1618</v>
      </c>
    </row>
    <row r="27" customFormat="false" ht="15" hidden="false" customHeight="true" outlineLevel="0" collapsed="false">
      <c r="A27" s="20" t="n">
        <v>23</v>
      </c>
      <c r="B27" s="20" t="s">
        <v>1367</v>
      </c>
      <c r="C27" s="20" t="s">
        <v>1354</v>
      </c>
      <c r="D27" s="20" t="s">
        <v>1355</v>
      </c>
      <c r="E27" s="20" t="s">
        <v>1615</v>
      </c>
      <c r="F27" s="20" t="s">
        <v>1272</v>
      </c>
      <c r="G27" s="20" t="s">
        <v>1606</v>
      </c>
      <c r="H27" s="20" t="s">
        <v>1607</v>
      </c>
      <c r="I27" s="119" t="str">
        <f aca="false">'30A_CLOSE_READINESS'!F27</f>
        <v>NO EVIDENCE</v>
      </c>
      <c r="J27" s="23" t="s">
        <v>1624</v>
      </c>
    </row>
    <row r="30" customFormat="false" ht="15" hidden="false" customHeight="true" outlineLevel="0" collapsed="false">
      <c r="A30" s="21" t="s">
        <v>1631</v>
      </c>
      <c r="B30" s="22"/>
      <c r="C30" s="22"/>
      <c r="D30" s="22"/>
      <c r="E30" s="22"/>
      <c r="F30" s="22"/>
      <c r="G30" s="22"/>
      <c r="H30" s="22"/>
      <c r="I30" s="22"/>
      <c r="J30" s="22"/>
    </row>
    <row r="31" customFormat="false" ht="15" hidden="false" customHeight="true" outlineLevel="0" collapsed="false">
      <c r="A31" s="34" t="s">
        <v>1632</v>
      </c>
      <c r="B31" s="34"/>
      <c r="C31" s="34" t="s">
        <v>1633</v>
      </c>
      <c r="D31" s="34" t="s">
        <v>1601</v>
      </c>
    </row>
    <row r="32" customFormat="false" ht="15" hidden="false" customHeight="true" outlineLevel="0" collapsed="false">
      <c r="A32" s="23" t="s">
        <v>1634</v>
      </c>
      <c r="B32" s="23" t="s">
        <v>1234</v>
      </c>
      <c r="C32" s="23" t="s">
        <v>1311</v>
      </c>
      <c r="D32" s="119" t="str">
        <f aca="false">'30_BANKABILITY'!$H$5</f>
        <v>DEVELOPMENT GAP</v>
      </c>
    </row>
    <row r="33" customFormat="false" ht="15" hidden="false" customHeight="true" outlineLevel="0" collapsed="false">
      <c r="A33" s="23" t="s">
        <v>1635</v>
      </c>
      <c r="B33" s="23" t="s">
        <v>1240</v>
      </c>
      <c r="C33" s="23" t="s">
        <v>1336</v>
      </c>
      <c r="D33" s="119" t="str">
        <f aca="false">'30_BANKABILITY'!$H$9</f>
        <v>READY</v>
      </c>
    </row>
    <row r="34" customFormat="false" ht="15" hidden="false" customHeight="true" outlineLevel="0" collapsed="false">
      <c r="A34" s="23" t="s">
        <v>1636</v>
      </c>
      <c r="B34" s="23" t="s">
        <v>1246</v>
      </c>
      <c r="C34" s="23" t="s">
        <v>1311</v>
      </c>
      <c r="D34" s="119" t="str">
        <f aca="false">'30_BANKABILITY'!$H$12</f>
        <v>CONDITIONAL</v>
      </c>
    </row>
    <row r="35" customFormat="false" ht="15" hidden="false" customHeight="true" outlineLevel="0" collapsed="false">
      <c r="A35" s="23" t="s">
        <v>1637</v>
      </c>
      <c r="B35" s="23" t="s">
        <v>1251</v>
      </c>
      <c r="C35" s="23" t="s">
        <v>1336</v>
      </c>
      <c r="D35" s="119" t="str">
        <f aca="false">'30_BANKABILITY'!$H$16</f>
        <v>READY</v>
      </c>
    </row>
    <row r="36" customFormat="false" ht="15" hidden="false" customHeight="true" outlineLevel="0" collapsed="false">
      <c r="A36" s="23" t="s">
        <v>1638</v>
      </c>
      <c r="B36" s="23" t="s">
        <v>1256</v>
      </c>
      <c r="C36" s="23" t="s">
        <v>1348</v>
      </c>
      <c r="D36" s="119" t="str">
        <f aca="false">'30_BANKABILITY'!$H$20</f>
        <v>DEVELOPMENT GAP</v>
      </c>
    </row>
    <row r="37" customFormat="false" ht="15" hidden="false" customHeight="true" outlineLevel="0" collapsed="false">
      <c r="A37" s="23" t="s">
        <v>1639</v>
      </c>
      <c r="B37" s="23" t="s">
        <v>1262</v>
      </c>
      <c r="C37" s="23" t="s">
        <v>1322</v>
      </c>
      <c r="D37" s="119" t="str">
        <f aca="false">'30_BANKABILITY'!$H$24</f>
        <v>CRITICAL GAP</v>
      </c>
    </row>
    <row r="38" customFormat="false" ht="15" hidden="false" customHeight="true" outlineLevel="0" collapsed="false">
      <c r="A38" s="23" t="s">
        <v>1640</v>
      </c>
      <c r="B38" s="23" t="s">
        <v>1268</v>
      </c>
      <c r="C38" s="23" t="s">
        <v>1354</v>
      </c>
      <c r="D38" s="119" t="str">
        <f aca="false">'30_BANKABILITY'!$H$28</f>
        <v>CONDITIONAL</v>
      </c>
    </row>
    <row r="39" customFormat="false" ht="15" hidden="false" customHeight="true" outlineLevel="0" collapsed="false">
      <c r="A39" s="23" t="s">
        <v>1641</v>
      </c>
      <c r="B39" s="23" t="s">
        <v>1275</v>
      </c>
      <c r="C39" s="23" t="s">
        <v>1348</v>
      </c>
      <c r="D39" s="119" t="str">
        <f aca="false">'30_BANKABILITY'!$H$32</f>
        <v>CONDITIONAL</v>
      </c>
    </row>
    <row r="40" customFormat="false" ht="15" hidden="false" customHeight="true" outlineLevel="0" collapsed="false">
      <c r="A40" s="23" t="s">
        <v>1642</v>
      </c>
      <c r="B40" s="23" t="s">
        <v>1284</v>
      </c>
      <c r="C40" s="23" t="s">
        <v>1322</v>
      </c>
      <c r="D40" s="119" t="str">
        <f aca="false">'30_BANKABILITY'!$H$38</f>
        <v>CONDITIONAL</v>
      </c>
    </row>
    <row r="42" customFormat="false" ht="15" hidden="false" customHeight="true" outlineLevel="0" collapsed="false">
      <c r="A42" s="25" t="s">
        <v>1643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58.2"/>
    <col collapsed="false" customWidth="true" hidden="false" outlineLevel="0" max="3" min="2" style="1" width="16"/>
    <col collapsed="false" customWidth="true" hidden="false" outlineLevel="0" max="4" min="4" style="1" width="12"/>
    <col collapsed="false" customWidth="true" hidden="false" outlineLevel="0" max="5" min="5" style="1" width="10"/>
    <col collapsed="false" customWidth="true" hidden="false" outlineLevel="0" max="6" min="6" style="1" width="40"/>
  </cols>
  <sheetData>
    <row r="1" customFormat="false" ht="17.25" hidden="false" customHeight="true" outlineLevel="0" collapsed="false">
      <c r="A1" s="16" t="s">
        <v>1644</v>
      </c>
      <c r="B1" s="17"/>
      <c r="C1" s="17"/>
      <c r="D1" s="17"/>
      <c r="E1" s="17"/>
      <c r="F1" s="17"/>
      <c r="G1" s="17"/>
      <c r="H1" s="17"/>
      <c r="I1" s="17"/>
      <c r="J1" s="17"/>
    </row>
    <row r="2" customFormat="false" ht="15" hidden="false" customHeight="true" outlineLevel="0" collapsed="false">
      <c r="A2" s="18" t="s">
        <v>1645</v>
      </c>
      <c r="B2" s="17"/>
      <c r="C2" s="17"/>
      <c r="D2" s="17"/>
      <c r="E2" s="17"/>
      <c r="F2" s="17"/>
      <c r="G2" s="17"/>
      <c r="H2" s="17"/>
      <c r="I2" s="17"/>
      <c r="J2" s="17"/>
    </row>
    <row r="4" customFormat="false" ht="15" hidden="false" customHeight="true" outlineLevel="0" collapsed="false">
      <c r="A4" s="34" t="s">
        <v>1646</v>
      </c>
      <c r="B4" s="34" t="s">
        <v>1647</v>
      </c>
      <c r="C4" s="34" t="s">
        <v>1648</v>
      </c>
      <c r="D4" s="34" t="s">
        <v>1649</v>
      </c>
      <c r="E4" s="34" t="s">
        <v>1650</v>
      </c>
      <c r="F4" s="34" t="s">
        <v>1651</v>
      </c>
    </row>
    <row r="5" customFormat="false" ht="15" hidden="false" customHeight="true" outlineLevel="0" collapsed="false">
      <c r="A5" s="23" t="s">
        <v>1530</v>
      </c>
      <c r="B5" s="55" t="n">
        <v>60</v>
      </c>
      <c r="C5" s="81" t="n">
        <f aca="false">'02_PROJECT_INPUTS'!$C$15</f>
        <v>60</v>
      </c>
      <c r="D5" s="23" t="n">
        <v>0.5</v>
      </c>
      <c r="E5" s="113" t="str">
        <f aca="false">IF(ISNUMBER(C5),IF(ABS(C5-B5)&lt;=D5+0.000000001,"PASS","CHECK"),"CHECK")</f>
        <v>PASS</v>
      </c>
      <c r="F5" s="23" t="s">
        <v>1652</v>
      </c>
    </row>
    <row r="6" customFormat="false" ht="15" hidden="false" customHeight="true" outlineLevel="0" collapsed="false">
      <c r="A6" s="23" t="s">
        <v>1653</v>
      </c>
      <c r="B6" s="55" t="n">
        <v>292</v>
      </c>
      <c r="C6" s="81" t="n">
        <f aca="false">'03_HYDROLOGY'!$C$33</f>
        <v>292.481378037504</v>
      </c>
      <c r="D6" s="23" t="n">
        <v>0.5</v>
      </c>
      <c r="E6" s="113" t="str">
        <f aca="false">IF(ISNUMBER(C6),IF(ABS(C6-B6)&lt;=D6+0.000000001,"PASS","CHECK"),"CHECK")</f>
        <v>PASS</v>
      </c>
      <c r="F6" s="23" t="s">
        <v>1654</v>
      </c>
    </row>
    <row r="7" customFormat="false" ht="15" hidden="false" customHeight="true" outlineLevel="0" collapsed="false">
      <c r="A7" s="23" t="s">
        <v>1655</v>
      </c>
      <c r="B7" s="127" t="n">
        <v>0.556</v>
      </c>
      <c r="C7" s="115" t="n">
        <f aca="false">'03_HYDROLOGY'!$C$38</f>
        <v>0.556471419401644</v>
      </c>
      <c r="D7" s="23" t="n">
        <v>0.0005</v>
      </c>
      <c r="E7" s="113" t="str">
        <f aca="false">IF(ISNUMBER(C7),IF(ABS(C7-B7)&lt;=D7+0.000000001,"PASS","CHECK"),"CHECK")</f>
        <v>PASS</v>
      </c>
      <c r="F7" s="23" t="s">
        <v>1656</v>
      </c>
    </row>
    <row r="8" customFormat="false" ht="15" hidden="false" customHeight="true" outlineLevel="0" collapsed="false">
      <c r="A8" s="23" t="s">
        <v>1657</v>
      </c>
      <c r="B8" s="55" t="n">
        <v>236</v>
      </c>
      <c r="C8" s="81" t="n">
        <f aca="false">'03_HYDROLOGY'!$C$35</f>
        <v>236.254757923574</v>
      </c>
      <c r="D8" s="23" t="n">
        <v>0.5</v>
      </c>
      <c r="E8" s="113" t="str">
        <f aca="false">IF(ISNUMBER(C8),IF(ABS(C8-B8)&lt;=D8+0.000000001,"PASS","CHECK"),"CHECK")</f>
        <v>PASS</v>
      </c>
      <c r="F8" s="23" t="s">
        <v>1658</v>
      </c>
    </row>
    <row r="9" customFormat="false" ht="15" hidden="false" customHeight="true" outlineLevel="0" collapsed="false">
      <c r="A9" s="23" t="s">
        <v>1659</v>
      </c>
      <c r="B9" s="55" t="n">
        <v>268</v>
      </c>
      <c r="C9" s="81" t="n">
        <f aca="false">'03_HYDROLOGY'!$C$37</f>
        <v>268.250752043978</v>
      </c>
      <c r="D9" s="23" t="n">
        <v>0.5</v>
      </c>
      <c r="E9" s="113" t="str">
        <f aca="false">IF(ISNUMBER(C9),IF(ABS(C9-B9)&lt;=D9+0.000000001,"PASS","CHECK"),"CHECK")</f>
        <v>PASS</v>
      </c>
      <c r="F9" s="23" t="s">
        <v>1658</v>
      </c>
    </row>
    <row r="10" customFormat="false" ht="15" hidden="false" customHeight="true" outlineLevel="0" collapsed="false">
      <c r="A10" s="23" t="s">
        <v>1660</v>
      </c>
      <c r="B10" s="55" t="n">
        <v>157</v>
      </c>
      <c r="C10" s="81" t="n">
        <f aca="false">'06_CONSTRUCTION'!$C$9</f>
        <v>156.86</v>
      </c>
      <c r="D10" s="23" t="n">
        <v>0.5</v>
      </c>
      <c r="E10" s="113" t="str">
        <f aca="false">IF(ISNUMBER(C10),IF(ABS(C10-B10)&lt;=D10+0.000000001,"PASS","CHECK"),"CHECK")</f>
        <v>PASS</v>
      </c>
      <c r="F10" s="23" t="s">
        <v>1652</v>
      </c>
    </row>
    <row r="11" customFormat="false" ht="15" hidden="false" customHeight="true" outlineLevel="0" collapsed="false">
      <c r="A11" s="23" t="s">
        <v>1661</v>
      </c>
      <c r="B11" s="55" t="n">
        <v>2614</v>
      </c>
      <c r="C11" s="81" t="n">
        <f aca="false">'05_PLANT_CAPEX'!$C$16</f>
        <v>2614.33333333333</v>
      </c>
      <c r="D11" s="23" t="n">
        <v>0.5</v>
      </c>
      <c r="E11" s="113" t="str">
        <f aca="false">IF(ISNUMBER(C11),IF(ABS(C11-B11)&lt;=D11+0.000000001,"PASS","CHECK"),"CHECK")</f>
        <v>PASS</v>
      </c>
      <c r="F11" s="23" t="s">
        <v>1662</v>
      </c>
    </row>
    <row r="12" customFormat="false" ht="15" hidden="false" customHeight="true" outlineLevel="0" collapsed="false">
      <c r="A12" s="23" t="s">
        <v>1663</v>
      </c>
      <c r="B12" s="55" t="n">
        <v>215</v>
      </c>
      <c r="C12" s="81" t="n">
        <f aca="false">'17_PROJECT_FINANCE'!$C$12</f>
        <v>214.960418914413</v>
      </c>
      <c r="D12" s="23" t="n">
        <v>0.5</v>
      </c>
      <c r="E12" s="113" t="str">
        <f aca="false">IF(ISNUMBER(C12),IF(ABS(C12-B12)&lt;=D12+0.000000001,"PASS","CHECK"),"CHECK")</f>
        <v>PASS</v>
      </c>
      <c r="F12" s="23" t="s">
        <v>1664</v>
      </c>
    </row>
    <row r="13" customFormat="false" ht="15" hidden="false" customHeight="true" outlineLevel="0" collapsed="false">
      <c r="A13" s="23" t="s">
        <v>1665</v>
      </c>
      <c r="B13" s="55" t="n">
        <v>145</v>
      </c>
      <c r="C13" s="81" t="n">
        <f aca="false">'17_PROJECT_FINANCE'!$C$17</f>
        <v>145.352217909853</v>
      </c>
      <c r="D13" s="23" t="n">
        <v>0.5</v>
      </c>
      <c r="E13" s="113" t="str">
        <f aca="false">IF(ISNUMBER(C13),IF(ABS(C13-B13)&lt;=D13+0.000000001,"PASS","CHECK"),"CHECK")</f>
        <v>PASS</v>
      </c>
      <c r="F13" s="23" t="s">
        <v>1666</v>
      </c>
    </row>
    <row r="14" customFormat="false" ht="15" hidden="false" customHeight="true" outlineLevel="0" collapsed="false">
      <c r="A14" s="23" t="s">
        <v>1667</v>
      </c>
      <c r="B14" s="127" t="n">
        <v>0.68</v>
      </c>
      <c r="C14" s="115" t="n">
        <f aca="false">'17_PROJECT_FINANCE'!$C$25</f>
        <v>0.676181311163734</v>
      </c>
      <c r="D14" s="23" t="n">
        <v>0.005</v>
      </c>
      <c r="E14" s="113" t="str">
        <f aca="false">IF(ISNUMBER(C14),IF(ABS(C14-B14)&lt;=D14+0.000000001,"PASS","CHECK"),"CHECK")</f>
        <v>PASS</v>
      </c>
      <c r="F14" s="23" t="s">
        <v>1666</v>
      </c>
    </row>
    <row r="15" customFormat="false" ht="15" hidden="false" customHeight="true" outlineLevel="0" collapsed="false">
      <c r="A15" s="23" t="s">
        <v>1668</v>
      </c>
      <c r="B15" s="55" t="n">
        <v>106</v>
      </c>
      <c r="C15" s="81" t="n">
        <f aca="false">'17_PROJECT_FINANCE'!$C$35</f>
        <v>105.948882101081</v>
      </c>
      <c r="D15" s="23" t="n">
        <v>0.5</v>
      </c>
      <c r="E15" s="113" t="str">
        <f aca="false">IF(ISNUMBER(C15),IF(ABS(C15-B15)&lt;=D15+0.000000001,"PASS","CHECK"),"CHECK")</f>
        <v>PASS</v>
      </c>
      <c r="F15" s="23" t="s">
        <v>1669</v>
      </c>
    </row>
    <row r="16" customFormat="false" ht="15" hidden="false" customHeight="true" outlineLevel="0" collapsed="false">
      <c r="A16" s="23" t="s">
        <v>117</v>
      </c>
      <c r="B16" s="127" t="n">
        <v>0.138</v>
      </c>
      <c r="C16" s="115" t="n">
        <f aca="false">'17_PROJECT_FINANCE'!$C$33</f>
        <v>0.137581200828486</v>
      </c>
      <c r="D16" s="23" t="n">
        <v>0.0005</v>
      </c>
      <c r="E16" s="113" t="str">
        <f aca="false">IF(ISNUMBER(C16),IF(ABS(C16-B16)&lt;=D16+0.000000001,"PASS","CHECK"),"CHECK")</f>
        <v>PASS</v>
      </c>
      <c r="F16" s="23" t="s">
        <v>1666</v>
      </c>
    </row>
    <row r="17" customFormat="false" ht="15" hidden="false" customHeight="true" outlineLevel="0" collapsed="false">
      <c r="A17" s="23" t="s">
        <v>1670</v>
      </c>
      <c r="B17" s="55" t="n">
        <v>1.53</v>
      </c>
      <c r="C17" s="81" t="n">
        <f aca="false">'17_PROJECT_FINANCE'!$C$37</f>
        <v>1.52720627268227</v>
      </c>
      <c r="D17" s="23" t="n">
        <v>0.005</v>
      </c>
      <c r="E17" s="113" t="str">
        <f aca="false">IF(ISNUMBER(C17),IF(ABS(C17-B17)&lt;=D17+0.000000001,"PASS","CHECK"),"CHECK")</f>
        <v>PASS</v>
      </c>
      <c r="F17" s="23" t="s">
        <v>1666</v>
      </c>
    </row>
    <row r="18" customFormat="false" ht="15" hidden="false" customHeight="true" outlineLevel="0" collapsed="false">
      <c r="A18" s="23" t="s">
        <v>1671</v>
      </c>
      <c r="B18" s="55" t="n">
        <v>1.59</v>
      </c>
      <c r="C18" s="81" t="n">
        <f aca="false">'17_PROJECT_FINANCE'!$C$39</f>
        <v>1.5905442481781</v>
      </c>
      <c r="D18" s="23" t="n">
        <v>0.005</v>
      </c>
      <c r="E18" s="113" t="str">
        <f aca="false">IF(ISNUMBER(C18),IF(ABS(C18-B18)&lt;=D18+0.000000001,"PASS","CHECK"),"CHECK")</f>
        <v>PASS</v>
      </c>
      <c r="F18" s="23" t="s">
        <v>1666</v>
      </c>
    </row>
    <row r="19" customFormat="false" ht="15" hidden="false" customHeight="true" outlineLevel="0" collapsed="false">
      <c r="A19" s="23" t="s">
        <v>1552</v>
      </c>
      <c r="B19" s="55" t="n">
        <v>4.1</v>
      </c>
      <c r="C19" s="81" t="n">
        <f aca="false">'17_PROJECT_FINANCE'!$C$27</f>
        <v>4.05435072721588</v>
      </c>
      <c r="D19" s="23" t="n">
        <v>0.05</v>
      </c>
      <c r="E19" s="113" t="str">
        <f aca="false">IF(ISNUMBER(C19),IF(ABS(C19-B19)&lt;=D19+0.000000001,"PASS","CHECK"),"CHECK")</f>
        <v>PASS</v>
      </c>
      <c r="F19" s="23" t="s">
        <v>1666</v>
      </c>
    </row>
    <row r="20" customFormat="false" ht="15" hidden="false" customHeight="true" outlineLevel="0" collapsed="false">
      <c r="A20" s="23" t="s">
        <v>1542</v>
      </c>
      <c r="B20" s="127" t="n">
        <v>0.16</v>
      </c>
      <c r="C20" s="115" t="n">
        <f aca="false">'01A_DEVELOPMENT'!$C$72</f>
        <v>0.159572040576511</v>
      </c>
      <c r="D20" s="23" t="n">
        <v>0.0005</v>
      </c>
      <c r="E20" s="113" t="str">
        <f aca="false">IF(ISNUMBER(C20),IF(ABS(C20-B20)&lt;=D20+0.000000001,"PASS","CHECK"),"CHECK")</f>
        <v>PASS</v>
      </c>
      <c r="F20" s="23" t="s">
        <v>1672</v>
      </c>
    </row>
    <row r="21" customFormat="false" ht="15" hidden="false" customHeight="true" outlineLevel="0" collapsed="false">
      <c r="A21" s="23" t="s">
        <v>1539</v>
      </c>
      <c r="B21" s="55" t="n">
        <v>-0.95</v>
      </c>
      <c r="C21" s="81" t="n">
        <f aca="false">'01A_DEVELOPMENT'!$C$44</f>
        <v>-0.952496487925857</v>
      </c>
      <c r="D21" s="23" t="n">
        <v>0.005</v>
      </c>
      <c r="E21" s="113" t="str">
        <f aca="false">IF(ISNUMBER(C21),IF(ABS(C21-B21)&lt;=D21+0.000000001,"PASS","CHECK"),"CHECK")</f>
        <v>PASS</v>
      </c>
      <c r="F21" s="23" t="s">
        <v>1672</v>
      </c>
    </row>
    <row r="22" customFormat="false" ht="15" hidden="false" customHeight="true" outlineLevel="0" collapsed="false">
      <c r="A22" s="23" t="s">
        <v>1673</v>
      </c>
      <c r="B22" s="127" t="n">
        <v>0.15</v>
      </c>
      <c r="C22" s="115" t="n">
        <f aca="false">'01A_DEVELOPMENT'!$C$14</f>
        <v>0.145656</v>
      </c>
      <c r="D22" s="23" t="n">
        <v>0.005</v>
      </c>
      <c r="E22" s="113" t="str">
        <f aca="false">IF(ISNUMBER(C22),IF(ABS(C22-B22)&lt;=D22+0.000000001,"PASS","CHECK"),"CHECK")</f>
        <v>PASS</v>
      </c>
      <c r="F22" s="23" t="s">
        <v>1674</v>
      </c>
    </row>
    <row r="23" customFormat="false" ht="15" hidden="false" customHeight="true" outlineLevel="0" collapsed="false">
      <c r="A23" s="23" t="s">
        <v>1675</v>
      </c>
      <c r="B23" s="55" t="n">
        <v>1.28</v>
      </c>
      <c r="C23" s="81" t="n">
        <f aca="false">'01A_DEVELOPMENT'!$E$54</f>
        <v>1.27739748591473</v>
      </c>
      <c r="D23" s="23" t="n">
        <v>0.005</v>
      </c>
      <c r="E23" s="113" t="str">
        <f aca="false">IF(ISNUMBER(C23),IF(ABS(C23-B23)&lt;=D23+0.000000001,"PASS","CHECK"),"CHECK")</f>
        <v>PASS</v>
      </c>
      <c r="F23" s="23" t="s">
        <v>1676</v>
      </c>
    </row>
    <row r="24" customFormat="false" ht="15" hidden="false" customHeight="true" outlineLevel="0" collapsed="false">
      <c r="A24" s="23" t="s">
        <v>1573</v>
      </c>
      <c r="B24" s="55" t="n">
        <v>35</v>
      </c>
      <c r="C24" s="81" t="n">
        <f aca="false">'25_FISCAL_IMPACT'!$C$20</f>
        <v>34.7880224785295</v>
      </c>
      <c r="D24" s="23" t="n">
        <v>0.5</v>
      </c>
      <c r="E24" s="113" t="str">
        <f aca="false">IF(ISNUMBER(C24),IF(ABS(C24-B24)&lt;=D24+0.000000001,"PASS","CHECK"),"CHECK")</f>
        <v>PASS</v>
      </c>
      <c r="F24" s="23" t="s">
        <v>1677</v>
      </c>
    </row>
    <row r="25" customFormat="false" ht="15" hidden="false" customHeight="true" outlineLevel="0" collapsed="false">
      <c r="A25" s="23" t="s">
        <v>1678</v>
      </c>
      <c r="B25" s="55" t="n">
        <v>-28</v>
      </c>
      <c r="C25" s="81" t="n">
        <f aca="false">'25_FISCAL_IMPACT'!$C$21</f>
        <v>-27.5809643867341</v>
      </c>
      <c r="D25" s="23" t="n">
        <v>0.5</v>
      </c>
      <c r="E25" s="113" t="str">
        <f aca="false">IF(ISNUMBER(C25),IF(ABS(C25-B25)&lt;=D25+0.000000001,"PASS","CHECK"),"CHECK")</f>
        <v>PASS</v>
      </c>
      <c r="F25" s="23" t="s">
        <v>1677</v>
      </c>
    </row>
    <row r="26" customFormat="false" ht="15" hidden="false" customHeight="true" outlineLevel="0" collapsed="false">
      <c r="A26" s="23" t="s">
        <v>1571</v>
      </c>
      <c r="B26" s="55" t="n">
        <v>225</v>
      </c>
      <c r="C26" s="81" t="n">
        <f aca="false">'24_CONTINGENT_LIABILITIES'!$C$20</f>
        <v>225.401649065097</v>
      </c>
      <c r="D26" s="23" t="n">
        <v>0.5</v>
      </c>
      <c r="E26" s="113" t="str">
        <f aca="false">IF(ISNUMBER(C26),IF(ABS(C26-B26)&lt;=D26+0.000000001,"PASS","CHECK"),"CHECK")</f>
        <v>PASS</v>
      </c>
      <c r="F26" s="23" t="s">
        <v>1677</v>
      </c>
    </row>
    <row r="27" customFormat="false" ht="15" hidden="false" customHeight="true" outlineLevel="0" collapsed="false">
      <c r="A27" s="23" t="s">
        <v>1679</v>
      </c>
      <c r="B27" s="55" t="n">
        <v>6</v>
      </c>
      <c r="C27" s="81" t="n">
        <f aca="false">'12_UTILITY'!$C$45</f>
        <v>5.95931544276934</v>
      </c>
      <c r="D27" s="23" t="n">
        <v>0.05</v>
      </c>
      <c r="E27" s="113" t="str">
        <f aca="false">IF(ISNUMBER(C27),IF(ABS(C27-B27)&lt;=D27+0.000000001,"PASS","CHECK"),"CHECK")</f>
        <v>PASS</v>
      </c>
      <c r="F27" s="23" t="s">
        <v>1677</v>
      </c>
    </row>
    <row r="28" customFormat="false" ht="15" hidden="false" customHeight="true" outlineLevel="0" collapsed="false">
      <c r="A28" s="23" t="s">
        <v>1680</v>
      </c>
      <c r="B28" s="128" t="n">
        <v>6</v>
      </c>
      <c r="C28" s="111" t="n">
        <f aca="false">'30A_CLOSE_READINESS'!$C$29</f>
        <v>6</v>
      </c>
      <c r="D28" s="23" t="n">
        <v>0</v>
      </c>
      <c r="E28" s="113" t="str">
        <f aca="false">IF(ISNUMBER(C28),IF(ABS(C28-B28)&lt;=D28+0.000000001,"PASS","CHECK"),"CHECK")</f>
        <v>PASS</v>
      </c>
      <c r="F28" s="23" t="s">
        <v>1681</v>
      </c>
    </row>
    <row r="29" customFormat="false" ht="15" hidden="false" customHeight="true" outlineLevel="0" collapsed="false">
      <c r="A29" s="23" t="s">
        <v>845</v>
      </c>
      <c r="B29" s="80" t="s">
        <v>849</v>
      </c>
      <c r="C29" s="119" t="str">
        <f aca="false">'30A_CLOSE_READINESS'!$C$34</f>
        <v>STOP : une porte critique n'est pas franchie</v>
      </c>
      <c r="E29" s="113" t="str">
        <f aca="false">IF(ISERROR(C29),"CHECK",IF(C29=B29,"PASS","CHECK"))</f>
        <v>PASS</v>
      </c>
      <c r="F29" s="23" t="s">
        <v>1681</v>
      </c>
    </row>
    <row r="30" customFormat="false" ht="15" hidden="false" customHeight="true" outlineLevel="0" collapsed="false">
      <c r="A30" s="23" t="s">
        <v>14</v>
      </c>
      <c r="B30" s="80" t="s">
        <v>851</v>
      </c>
      <c r="C30" s="119" t="str">
        <f aca="false">'26_DEBT_SUSTAINABILITY'!$C$35</f>
        <v>LOW : faible pression budgétaire supplémentaire</v>
      </c>
      <c r="E30" s="113" t="str">
        <f aca="false">IF(ISERROR(C30),"CHECK",IF(C30=B30,"PASS","CHECK"))</f>
        <v>PASS</v>
      </c>
      <c r="F30" s="23" t="s">
        <v>1677</v>
      </c>
    </row>
    <row r="32" customFormat="false" ht="15" hidden="false" customHeight="true" outlineLevel="0" collapsed="false">
      <c r="A32" s="19" t="s">
        <v>1682</v>
      </c>
      <c r="E32" s="19" t="str">
        <f aca="false">IF(COUNTIF(E5:E30,"CHECK")=0,"ALL PASS",COUNTIF(E5:E30,"CHECK")&amp;" À VÉRIFIER")</f>
        <v>ALL PASS</v>
      </c>
    </row>
    <row r="34" customFormat="false" ht="15" hidden="false" customHeight="true" outlineLevel="0" collapsed="false">
      <c r="A34" s="25" t="s">
        <v>1683</v>
      </c>
    </row>
  </sheetData>
  <conditionalFormatting sqref="E5:E32">
    <cfRule type="cellIs" priority="2" operator="equal" aboveAverage="0" equalAverage="0" bottom="0" percent="0" rank="0" text="" dxfId="0">
      <formula>"PASS"</formula>
    </cfRule>
    <cfRule type="cellIs" priority="3" operator="equal" aboveAverage="0" equalAverage="0" bottom="0" percent="0" rank="0" text="" dxfId="1">
      <formula>"CHECK"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2026-10-04T15:19:06Z</dcterms:created>
  <dc:creator>Bankable Hydro</dc:creator>
  <dc:description/>
  <dc:language>fr-FR</dc:language>
  <cp:lastModifiedBy/>
  <dcterms:modified xsi:type="dcterms:W3CDTF">2026-10-05T06:21:39Z</dcterms:modified>
  <cp:revision>3</cp:revision>
  <dc:subject/>
  <dc:title>MODEL 7 : modèle de développement et de financement de l'hydroélectricité</dc:title>
</cp:coreProperties>
</file>

<file path=docProps/custom.xml><?xml version="1.0" encoding="utf-8"?>
<Properties xmlns="http://schemas.openxmlformats.org/officeDocument/2006/custom-properties" xmlns:vt="http://schemas.openxmlformats.org/officeDocument/2006/docPropsVTypes"/>
</file>